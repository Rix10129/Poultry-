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SHBOARD" sheetId="2" state="visible" r:id="rId2"/>
    <sheet name="CUSTOMERS" sheetId="3" state="visible" r:id="rId3"/>
    <sheet name="MONTHLY_BILLING" sheetId="4" state="visible" r:id="rId4"/>
    <sheet name="PAYMENTS" sheetId="5" state="visible" r:id="rId5"/>
    <sheet name="PAYMENT_ENTRY" sheetId="6" state="visible" r:id="rId6"/>
    <sheet name="PRINT_CENTER" sheetId="7" state="visible" r:id="rId7"/>
    <sheet name="PRINT_SHEET" sheetId="8" state="visible" r:id="rId8"/>
    <sheet name="PRINT_SHEET_UR" sheetId="9" state="visible" r:id="rId9"/>
    <sheet name="CUSTOMER_HISTORY" sheetId="10" state="visible" r:id="rId10"/>
    <sheet name="STATEMENT" sheetId="11" state="visible" r:id="rId11"/>
    <sheet name="CASH_RECONCILIATION" sheetId="12" state="visible" r:id="rId12"/>
    <sheet name="RECOVERY_ASSIGNMENTS" sheetId="13" state="visible" r:id="rId13"/>
    <sheet name="REPORTS" sheetId="14" state="visible" r:id="rId14"/>
    <sheet name="MONTHS" sheetId="15" state="visible" r:id="rId15"/>
    <sheet name="CUSTOMER_EVENTS" sheetId="16" state="visible" r:id="rId16"/>
    <sheet name="AREAS" sheetId="17" state="visible" r:id="rId17"/>
    <sheet name="LOCATION_CODES" sheetId="18" state="visible" r:id="rId18"/>
    <sheet name="PACKAGES" sheetId="19" state="visible" r:id="rId19"/>
    <sheet name="COLLECTORS" sheetId="20" state="visible" r:id="rId20"/>
    <sheet name="IMPORT_STAGING" sheetId="21" state="visible" r:id="rId21"/>
    <sheet name="VERIFICATION_QUEUE" sheetId="22" state="visible" r:id="rId22"/>
    <sheet name="SETTINGS" sheetId="23" state="visible" r:id="rId23"/>
    <sheet name="LISTS" sheetId="24" state="hidden" r:id="rId24"/>
    <sheet name="_SNAPSHOT" sheetId="25" state="veryHidden" r:id="rId25"/>
  </sheets>
  <definedNames>
    <definedName name="_xlnm.Print_Area" localSheetId="7">OFFSET('PRINT_SHEET'!$A$1,0,0,MAX(1,'PRINT_SHEET'!$Z$1),12)</definedName>
    <definedName name="_xlnm.Print_Area" localSheetId="8">OFFSET('PRINT_SHEET_UR'!$A$1,0,0,MAX(1,'PRINT_SHEET_UR'!$Z$1),12)</definedName>
    <definedName name="_xlnm.Print_Area" localSheetId="10">OFFSET('STATEMENT'!$A$1,0,0,MAX(1,'STATEMENT'!$Z$1),8)</definedName>
    <definedName name="CFG_CompanyName">'SETTINGS'!$B$5</definedName>
    <definedName name="CFG_CompanyShortName">'SETTINGS'!$B$6</definedName>
    <definedName name="CFG_Tagline">'SETTINGS'!$B$7</definedName>
    <definedName name="CFG_CompanyPhone">'SETTINGS'!$B$8</definedName>
    <definedName name="CFG_CompanyAddress">'SETTINGS'!$B$9</definedName>
    <definedName name="CFG_CustomerIDPrefix">'SETTINGS'!$B$10</definedName>
    <definedName name="CFG_CustomerIDDigits">'SETTINGS'!$B$11</definedName>
    <definedName name="CFG_Currency">'SETTINGS'!$B$12</definedName>
    <definedName name="CFG_CurrencySymbol">'SETTINGS'!$B$13</definedName>
    <definedName name="CFG_DefaultLanguage">'SETTINGS'!$B$14</definedName>
    <definedName name="CFG_PrintLanguage">'SETTINGS'!$B$15</definedName>
    <definedName name="CFG_CurrentMonth">'SETTINGS'!$B$16</definedName>
    <definedName name="CFG_DateFormat">'SETTINGS'!$B$17</definedName>
    <definedName name="CFG_DefaultPaymentMethod">'SETTINGS'!$B$18</definedName>
    <definedName name="CFG_AllowNegativeBalance">'SETTINGS'!$B$19</definedName>
    <definedName name="CFG_OverdueGraceDays">'SETTINGS'!$B$20</definedName>
    <definedName name="CFG_OCRConfidenceThreshold">'SETTINGS'!$B$21</definedName>
    <definedName name="CFG_WhatsAppCountryCode">'SETTINGS'!$B$22</definedName>
    <definedName name="CFG_WhatsAppMessage">'SETTINGS'!$B$23</definedName>
    <definedName name="CFG_PaperSize">'SETTINGS'!$B$24</definedName>
    <definedName name="CFG_PrintOrientation">'SETTINGS'!$B$25</definedName>
    <definedName name="CFG_WorkbookType">'SETTINGS'!$B$26</definedName>
    <definedName name="L_CustStatus">'LISTS'!$A$4:$A$7</definedName>
    <definedName name="L_PayStatus">'LISTS'!$B$4:$B$6</definedName>
    <definedName name="L_Methods">'LISTS'!$C$4:$C$8</definedName>
    <definedName name="L_YesNo">'LISTS'!$D$4:$D$5</definedName>
    <definedName name="L_EventTypes">'LISTS'!$E$4:$E$18</definedName>
    <definedName name="L_AssignStatus">'LISTS'!$F$4:$F$7</definedName>
    <definedName name="L_Languages">'LISTS'!$G$4:$G$5</definedName>
    <definedName name="L_PrintModes">'LISTS'!$H$4:$H$10</definedName>
    <definedName name="L_PrintStatuses">'LISTS'!$I$4:$I$9</definedName>
    <definedName name="L_PrintStatusLabels">'LISTS'!$J$4:$J$9</definedName>
    <definedName name="L_SearchTypes">'LISTS'!$K$4:$K$10</definedName>
    <definedName name="L_Months">'LISTS'!$L$4:$L$147</definedName>
    <definedName name="L_MonthsAll">'LISTS'!$M$4:$M$148</definedName>
    <definedName name="L_DueDaysAll">'LISTS'!$N$4:$N$35</definedName>
    <definedName name="L_AreaCodes">OFFSET('LISTS'!$O$4,0,0,MAX(1,COUNTIF('LISTS'!$O$4:$O$306,"?*")),1)</definedName>
    <definedName name="L_AreaNamesAll">OFFSET('LISTS'!$P$4,0,0,MAX(1,COUNTIF('LISTS'!$P$4:$P$306,"?*")),1)</definedName>
    <definedName name="L_LocCodes">OFFSET('LISTS'!$Q$4,0,0,MAX(1,COUNTIF('LISTS'!$Q$4:$Q$306,"?*")),1)</definedName>
    <definedName name="L_LocCodesAll">OFFSET('LISTS'!$R$4,0,0,MAX(1,COUNTIF('LISTS'!$R$4:$R$306,"?*")),1)</definedName>
    <definedName name="L_Packages">OFFSET('LISTS'!$S$4,0,0,MAX(1,COUNTIF('LISTS'!$S$4:$S$306,"?*")),1)</definedName>
    <definedName name="L_CollectorIDs">OFFSET('LISTS'!$T$4,0,0,MAX(1,COUNTIF('LISTS'!$T$4:$T$306,"?*")),1)</definedName>
    <definedName name="L_CollectorNamesAll">OFFSET('LISTS'!$U$4,0,0,MAX(1,COUNTIF('LISTS'!$U$4:$U$306,"?*")),1)</definedName>
    <definedName name="L_CustomerIDs">OFFSET('LISTS'!$V$4,0,0,MAX(1,COUNTIF('LISTS'!$V$4:$V$306,"?*")),1)</definedName>
    <definedName name="DB_Month">'DASHBOARD'!$C$2</definedName>
    <definedName name="PC_Mode">'PRINT_CENTER'!$C$4</definedName>
    <definedName name="PC_Month">'PRINT_CENTER'!$C$5</definedName>
    <definedName name="PC_Area">'PRINT_CENTER'!$C$6</definedName>
    <definedName name="PC_Location">'PRINT_CENTER'!$C$7</definedName>
    <definedName name="PC_Collector">'PRINT_CENTER'!$C$8</definedName>
    <definedName name="PC_Status">'PRINT_CENTER'!$C$9</definedName>
    <definedName name="PC_DueDate">'PRINT_CENTER'!$C$10</definedName>
    <definedName name="PC_StatusEff">'PRINT_CENTER'!$C$12</definedName>
    <definedName name="PC_Count">'PRINT_CENTER'!$C$13</definedName>
    <definedName name="PC_Title">'PRINT_CENTER'!$C$14</definedName>
    <definedName name="PC_TotalFee">'PRINT_CENTER'!$C$15</definedName>
    <definedName name="PC_TotalPaid">'PRINT_CENTER'!$C$16</definedName>
    <definedName name="PC_TotalBalance">'PRINT_CENTER'!$C$17</definedName>
    <definedName name="PC_CustomIDs">'PRINT_CENTER'!$F$4:$F$103</definedName>
    <definedName name="PC_CustomCount">'PRINT_CENTER'!$G$4</definedName>
    <definedName name="PE_CustomerID">'PAYMENT_ENTRY'!$C$4</definedName>
    <definedName name="PE_Month">'PAYMENT_ENTRY'!$C$5</definedName>
    <definedName name="CH_SearchType">'CUSTOMER_HISTORY'!$C$4</definedName>
    <definedName name="CH_SearchText">'CUSTOMER_HISTORY'!$C$5</definedName>
    <definedName name="CH_CustomerID">'CUSTOMER_HISTORY'!$C$7</definedName>
    <definedName name="ST_CustomerID">'STATEMENT'!$K$2</definedName>
    <definedName name="ST_From">'STATEMENT'!$K$3</definedName>
    <definedName name="ST_To">'STATEMENT'!$K$4</definedName>
    <definedName name="_xlnm._FilterDatabase" localSheetId="1" hidden="1">'DASHBOARD'!$A$19:$K$44</definedName>
    <definedName name="_xlnm.Print_Titles" localSheetId="2">'CUSTOMERS'!$4:$4</definedName>
    <definedName name="_xlnm.Print_Titles" localSheetId="3">'MONTHLY_BILLING'!$4:$4</definedName>
    <definedName name="_xlnm.Print_Titles" localSheetId="4">'PAYMENTS'!$4:$4</definedName>
    <definedName name="_xlnm.Print_Titles" localSheetId="7">'PRINT_SHEET'!$4:$9</definedName>
    <definedName name="_xlnm.Print_Titles" localSheetId="8">'PRINT_SHEET_UR'!$4:$9</definedName>
    <definedName name="_xlnm.Print_Titles" localSheetId="10">'STATEMENT'!$14:$14</definedName>
    <definedName name="_xlnm.Print_Titles" localSheetId="11">'CASH_RECONCILIATION'!$4:$4</definedName>
    <definedName name="_xlnm.Print_Titles" localSheetId="12">'RECOVERY_ASSIGNMENTS'!$4:$4</definedName>
    <definedName name="_xlnm._FilterDatabase" localSheetId="13" hidden="1">'REPORTS'!$B$23:$J$173</definedName>
    <definedName name="_xlnm.Print_Titles" localSheetId="14">'MONTHS'!$4:$4</definedName>
    <definedName name="_xlnm.Print_Titles" localSheetId="15">'CUSTOMER_EVENTS'!$4:$4</definedName>
    <definedName name="_xlnm.Print_Titles" localSheetId="16">'AREAS'!$4:$4</definedName>
    <definedName name="_xlnm.Print_Titles" localSheetId="17">'LOCATION_CODES'!$4:$4</definedName>
    <definedName name="_xlnm.Print_Titles" localSheetId="18">'PACKAGES'!$4:$4</definedName>
    <definedName name="_xlnm.Print_Titles" localSheetId="19">'COLLECTORS'!$4:$4</definedName>
    <definedName name="_xlnm.Print_Titles" localSheetId="20">'IMPORT_STAGING'!$4:$4</definedName>
    <definedName name="_xlnm.Print_Titles" localSheetId="21">'VERIFICATION_QUEUE'!$4:$4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0"/>
    <numFmt numFmtId="165" formatCode="0.0%"/>
    <numFmt numFmtId="166" formatCode="dd-mmm-yyyy"/>
    <numFmt numFmtId="167" formatCode="+0.0%;-0.0%;0.0%"/>
  </numFmts>
  <fonts count="24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0"/>
    </font>
    <font>
      <color rgb="00595959"/>
      <sz val="9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b val="1"/>
      <sz val="11"/>
    </font>
    <font>
      <b val="1"/>
      <color rgb="00C00000"/>
      <sz val="12"/>
    </font>
    <font>
      <name val="Calibri"/>
      <b val="1"/>
      <color rgb="001F3864"/>
      <sz val="12"/>
    </font>
    <font>
      <color rgb="00595959"/>
      <sz val="10"/>
    </font>
    <font>
      <name val="Calibri"/>
      <b val="1"/>
      <color rgb="001F3864"/>
      <sz val="16"/>
    </font>
    <font>
      <b val="1"/>
      <color rgb="001F3864"/>
      <sz val="20"/>
    </font>
    <font>
      <b val="1"/>
      <color rgb="00595959"/>
      <sz val="11"/>
    </font>
    <font>
      <b val="1"/>
      <color rgb="001F3864"/>
      <sz val="16"/>
    </font>
    <font>
      <b val="1"/>
      <sz val="12"/>
    </font>
    <font>
      <color rgb="00FFFFFF"/>
    </font>
    <font>
      <sz val="10"/>
    </font>
    <font>
      <b val="1"/>
      <color rgb="00C00000"/>
      <sz val="14"/>
    </font>
    <font>
      <b val="1"/>
      <color rgb="00C00000"/>
    </font>
    <font>
      <b val="1"/>
      <color rgb="001F3864"/>
      <sz val="22"/>
    </font>
    <font>
      <b val="1"/>
      <sz val="15"/>
    </font>
    <font>
      <b val="1"/>
      <color rgb="001F3864"/>
      <sz val="28"/>
    </font>
    <font>
      <b val="1"/>
      <color rgb="00595959"/>
      <sz val="14"/>
    </font>
    <font>
      <b val="1"/>
      <color rgb="00C00000"/>
      <sz val="13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7F9FC"/>
      </patternFill>
    </fill>
    <fill>
      <patternFill patternType="solid">
        <fgColor rgb="001F3864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bottom style="hair">
        <color rgb="00BFBFBF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" fillId="0" borderId="0" pivotButton="0" quotePrefix="0" xfId="0"/>
    <xf numFmtId="49" fontId="0" fillId="5" borderId="1" applyProtection="1" pivotButton="0" quotePrefix="0" xfId="0">
      <protection locked="0" hidden="0"/>
    </xf>
    <xf numFmtId="0" fontId="6" fillId="6" borderId="1" pivotButton="0" quotePrefix="0" xfId="0"/>
    <xf numFmtId="0" fontId="2" fillId="0" borderId="0" pivotButton="0" quotePrefix="0" xfId="0"/>
    <xf numFmtId="0" fontId="9" fillId="8" borderId="0" pivotButton="0" quotePrefix="0" xfId="0"/>
    <xf numFmtId="0" fontId="0" fillId="8" borderId="0" pivotButton="0" quotePrefix="0" xfId="0"/>
    <xf numFmtId="1" fontId="10" fillId="8" borderId="0" applyAlignment="1" pivotButton="0" quotePrefix="0" xfId="0">
      <alignment horizontal="left" vertical="center"/>
    </xf>
    <xf numFmtId="3" fontId="10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left" vertical="center"/>
    </xf>
    <xf numFmtId="165" fontId="10" fillId="8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6" borderId="0" applyAlignment="1" pivotButton="0" quotePrefix="0" xfId="0">
      <alignment vertical="center"/>
    </xf>
    <xf numFmtId="3" fontId="0" fillId="6" borderId="0" applyAlignment="1" pivotButton="0" quotePrefix="0" xfId="0">
      <alignment vertical="center"/>
    </xf>
    <xf numFmtId="1" fontId="0" fillId="6" borderId="0" applyAlignment="1" pivotButton="0" quotePrefix="0" xfId="0">
      <alignment vertical="center"/>
    </xf>
    <xf numFmtId="166" fontId="0" fillId="6" borderId="0" applyAlignment="1" pivotButton="0" quotePrefix="0" xfId="0">
      <alignment vertical="center"/>
    </xf>
    <xf numFmtId="0" fontId="0" fillId="5" borderId="1" applyProtection="1" pivotButton="0" quotePrefix="0" xfId="0">
      <protection locked="0" hidden="0"/>
    </xf>
    <xf numFmtId="3" fontId="0" fillId="6" borderId="1" pivotButton="0" quotePrefix="0" xfId="0"/>
    <xf numFmtId="3" fontId="6" fillId="6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" fontId="6" fillId="6" borderId="1" pivotButton="0" quotePrefix="0" xfId="0"/>
    <xf numFmtId="0" fontId="1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1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166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1" fontId="0" fillId="6" borderId="1" pivotButton="0" quotePrefix="0" xfId="0"/>
    <xf numFmtId="0" fontId="17" fillId="6" borderId="1" pivotButton="0" quotePrefix="0" xfId="0"/>
    <xf numFmtId="0" fontId="18" fillId="0" borderId="0" pivotButton="0" quotePrefix="0" xfId="0"/>
    <xf numFmtId="0" fontId="0" fillId="6" borderId="1" applyAlignment="1" pivotButton="0" quotePrefix="0" xfId="0">
      <alignment horizontal="left" vertical="center"/>
    </xf>
    <xf numFmtId="166" fontId="6" fillId="6" borderId="1" pivotButton="0" quotePrefix="0" xfId="0"/>
    <xf numFmtId="3" fontId="0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left" vertical="center"/>
    </xf>
    <xf numFmtId="49" fontId="0" fillId="0" borderId="2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2" pivotButton="0" quotePrefix="0" xfId="0"/>
    <xf numFmtId="166" fontId="0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left" vertical="center"/>
    </xf>
    <xf numFmtId="0" fontId="16" fillId="0" borderId="0" pivotButton="0" quotePrefix="0" xfId="0"/>
    <xf numFmtId="3" fontId="16" fillId="0" borderId="0" pivotButton="0" quotePrefix="0" xfId="0"/>
    <xf numFmtId="166" fontId="16" fillId="0" borderId="0" pivotButton="0" quotePrefix="0" xfId="0"/>
    <xf numFmtId="1" fontId="16" fillId="0" borderId="0" pivotButton="0" quotePrefix="0" xfId="0"/>
    <xf numFmtId="164" fontId="0" fillId="6" borderId="0" applyAlignment="1" pivotButton="0" quotePrefix="0" xfId="0">
      <alignment vertical="center"/>
    </xf>
    <xf numFmtId="0" fontId="6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165" fontId="0" fillId="6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5" borderId="1" applyAlignment="1" applyProtection="1" pivotButton="0" quotePrefix="0" xfId="0">
      <alignment vertical="top" wrapText="1"/>
      <protection locked="0" hidden="0"/>
    </xf>
    <xf numFmtId="164" fontId="10" fillId="8" borderId="0" applyAlignment="1" pivotButton="0" quotePrefix="0" xfId="0">
      <alignment horizontal="left" vertical="center"/>
    </xf>
    <xf numFmtId="165" fontId="10" fillId="8" borderId="0" applyAlignment="1" pivotButton="0" quotePrefix="0" xfId="0">
      <alignment horizontal="left" vertical="center"/>
    </xf>
    <xf numFmtId="165" fontId="0" fillId="0" borderId="0" pivotButton="0" quotePrefix="0" xfId="0"/>
    <xf numFmtId="164" fontId="0" fillId="0" borderId="0" pivotButton="0" quotePrefix="0" xfId="0"/>
    <xf numFmtId="164" fontId="0" fillId="6" borderId="0" applyAlignment="1" pivotButton="0" quotePrefix="0" xfId="0">
      <alignment vertical="center"/>
    </xf>
    <xf numFmtId="165" fontId="0" fillId="0" borderId="1" pivotButton="0" quotePrefix="0" xfId="0"/>
    <xf numFmtId="165" fontId="0" fillId="6" borderId="0" applyAlignment="1" pivotButton="0" quotePrefix="0" xfId="0">
      <alignment vertical="center"/>
    </xf>
  </cellXfs>
  <cellStyles count="1">
    <cellStyle name="Normal" xfId="0" builtinId="0" hidden="0"/>
  </cellStyles>
  <dxfs count="13">
    <dxf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color rgb="00808080"/>
      </font>
    </dxf>
    <dxf>
      <fill>
        <patternFill patternType="solid">
          <fgColor rgb="00C6EFCE"/>
        </patternFill>
      </fill>
    </dxf>
    <dxf>
      <font>
        <b val="1"/>
        <color rgb="00C00000"/>
      </font>
    </dxf>
    <dxf>
      <font>
        <strike val="1"/>
        <color rgb="00808080"/>
      </font>
    </dxf>
    <dxf>
      <font>
        <b val="1"/>
      </font>
      <fill>
        <patternFill patternType="solid">
          <fgColor rgb="00D9E1F2"/>
        </patternFill>
      </fill>
      <border>
        <left style="thin">
          <color rgb="00A6A6A6"/>
        </left>
        <right style="thin">
          <color rgb="00A6A6A6"/>
        </right>
        <top style="thin">
          <color rgb="00A6A6A6"/>
        </top>
        <bottom style="thin">
          <color rgb="00A6A6A6"/>
        </bottom>
      </border>
    </dxf>
    <dxf>
      <font>
        <b val="1"/>
      </font>
    </dxf>
    <dxf>
      <font>
        <b val="1"/>
        <sz val="11"/>
      </font>
    </dxf>
    <dxf>
      <font>
        <b val="1"/>
      </font>
      <fill>
        <patternFill patternType="solid">
          <fgColor rgb="00FFEB9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CITY LINKS</author>
  </authors>
  <commentList>
    <comment ref="A4" authorId="0" shapeId="0">
      <text>
        <t>Permanent ID e.g. CL-0001. Never change it. (required)</t>
      </text>
    </comment>
    <comment ref="B4" authorId="0" shapeId="0">
      <text>
        <t>Urdu or English, exactly as written (required)</t>
      </text>
    </comment>
    <comment ref="F4" authorId="0" shapeId="0">
      <text>
        <t>Optional house/shop no.</t>
      </text>
    </comment>
    <comment ref="K4" authorId="0" shapeId="0">
      <text>
        <t>Special price. Leave blank to use package fee.</t>
      </text>
    </comment>
    <comment ref="M4" authorId="0" shapeId="0">
      <text>
        <t>Day of month 1-31 (required)</t>
      </text>
    </comment>
    <comment ref="V4" authorId="0" shapeId="0">
      <text>
        <t>system helper for CUSTOMER_HISTORY search</t>
      </text>
    </comment>
  </commentList>
</comments>
</file>

<file path=xl/comments/comment2.xml><?xml version="1.0" encoding="utf-8"?>
<comments xmlns="http://schemas.openxmlformats.org/spreadsheetml/2006/main">
  <authors>
    <author>CITY LINKS</author>
  </authors>
  <commentList>
    <comment ref="Y4" authorId="0" shapeId="0">
      <text>
        <t>system helper for PRINT_CENTER</t>
      </text>
    </comment>
    <comment ref="Z4" authorId="0" shapeId="0">
      <text>
        <t>system helper for STATEMENT</t>
      </text>
    </comment>
  </commentList>
</comments>
</file>

<file path=xl/comments/comment3.xml><?xml version="1.0" encoding="utf-8"?>
<comments xmlns="http://schemas.openxmlformats.org/spreadsheetml/2006/main">
  <authors>
    <author>CITY LINKS</author>
  </authors>
  <commentList>
    <comment ref="L4" authorId="0" shapeId="0">
      <text>
        <t>Never delete a payment. Mark Voided = Yes instead.</t>
      </text>
    </comment>
  </commentList>
</comments>
</file>

<file path=xl/comments/comment4.xml><?xml version="1.0" encoding="utf-8"?>
<comments xmlns="http://schemas.openxmlformats.org/spreadsheetml/2006/main">
  <authors>
    <author>CITY LINKS</author>
  </authors>
  <commentList>
    <comment ref="K4" authorId="0" shapeId="0">
      <text>
        <t>Explanation of any difference</t>
      </text>
    </comment>
  </commentList>
</comments>
</file>

<file path=xl/comments/comment5.xml><?xml version="1.0" encoding="utf-8"?>
<comments xmlns="http://schemas.openxmlformats.org/spreadsheetml/2006/main">
  <authors>
    <author>CITY LINKS</author>
  </authors>
  <commentList>
    <comment ref="K4" authorId="0" shapeId="0">
      <text>
        <t>system helper</t>
      </text>
    </comment>
  </commentList>
</comments>
</file>

<file path=xl/comments/comment6.xml><?xml version="1.0" encoding="utf-8"?>
<comments xmlns="http://schemas.openxmlformats.org/spreadsheetml/2006/main">
  <authors>
    <author>CITY LINKS</author>
  </authors>
  <commentList>
    <comment ref="A4" authorId="0" shapeId="0">
      <text>
        <t>Letter(s) e.g. A (required)</t>
      </text>
    </comment>
    <comment ref="C4" authorId="0" shapeId="0">
      <text>
        <t>Optional, used on Urdu print</t>
      </text>
    </comment>
  </commentList>
</comments>
</file>

<file path=xl/comments/comment7.xml><?xml version="1.0" encoding="utf-8"?>
<comments xmlns="http://schemas.openxmlformats.org/spreadsheetml/2006/main">
  <authors>
    <author>CITY LINKS</author>
  </authors>
  <commentList>
    <comment ref="A4" authorId="0" shapeId="0">
      <text>
        <t>Area Code + Street number, e.g. A1 (required)</t>
      </text>
    </comment>
    <comment ref="E4" authorId="0" shapeId="0">
      <text>
        <t>e.g. Gali 1</t>
      </text>
    </comment>
  </commentList>
</comments>
</file>

<file path=xl/comments/comment8.xml><?xml version="1.0" encoding="utf-8"?>
<comments xmlns="http://schemas.openxmlformats.org/spreadsheetml/2006/main">
  <authors>
    <author>CITY LINKS</author>
  </authors>
  <commentList>
    <comment ref="I4" authorId="0" shapeId="0">
      <text>
        <t>Type the correct value here (or answer in the menu)</t>
      </text>
    </comment>
  </commentList>
</comments>
</file>

<file path=xl/tables/table1.xml><?xml version="1.0" encoding="utf-8"?>
<table xmlns="http://schemas.openxmlformats.org/spreadsheetml/2006/main" id="1" name="tblCustomers" displayName="tblCustomers" ref="A4:V5" headerRowCount="1">
  <autoFilter ref="A4:V5"/>
  <tableColumns count="22">
    <tableColumn id="1" name="Customer ID"/>
    <tableColumn id="2" name="Customer Name"/>
    <tableColumn id="3" name="Location Code"/>
    <tableColumn id="4" name="Area">
      <calculatedColumnFormula>IFERROR(INDEX(tblLocations[Area Name],MATCH(tblCustomers[[#This Row],[Location Code]],tblLocations[Location Code],0)),"")</calculatedColumnFormula>
    </tableColumn>
    <tableColumn id="5" name="Street">
      <calculatedColumnFormula>IFERROR(INDEX(tblLocations[Street Name],MATCH(tblCustomers[[#This Row],[Location Code]],tblLocations[Location Code],0))&amp;"","")</calculatedColumnFormula>
    </tableColumn>
    <tableColumn id="6" name="Address Detail"/>
    <tableColumn id="7" name="Full Address">
      <calculatedColumnFormula>IFERROR(INDEX(tblLocations[Full Address],MATCH(tblCustomers[[#This Row],[Location Code]],tblLocations[Location Code],0)),"")&amp;IF(tblCustomers[[#This Row],[Address Detail]]="","",", "&amp;tblCustomers[[#This Row],[Address Detail]])</calculatedColumnFormula>
    </tableColumn>
    <tableColumn id="8" name="VLAN ID"/>
    <tableColumn id="9" name="Package"/>
    <tableColumn id="10" name="Package Fee">
      <calculatedColumnFormula>IFERROR(INDEX(tblPackages[Default Monthly Fee],MATCH(tblCustomers[[#This Row],[Package]],tblPackages[Package Name],0)),"")</calculatedColumnFormula>
    </tableColumn>
    <tableColumn id="11" name="Fee Override"/>
    <tableColumn id="12" name="Monthly Fee">
      <calculatedColumnFormula>IF(tblCustomers[[#This Row],[Fee Override]]&lt;&gt;"",tblCustomers[[#This Row],[Fee Override]],tblCustomers[[#This Row],[Package Fee]])</calculatedColumnFormula>
    </tableColumn>
    <tableColumn id="13" name="Due Date"/>
    <tableColumn id="14" name="Mobile Number"/>
    <tableColumn id="15" name="Default Collector ID"/>
    <tableColumn id="16" name="Connection Date"/>
    <tableColumn id="17" name="Customer Status"/>
    <tableColumn id="18" name="Notes"/>
    <tableColumn id="19" name="Created Date"/>
    <tableColumn id="20" name="Last Updated"/>
    <tableColumn id="21" name="Data Check">
      <calculatedColumnFormula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calculatedColumnFormula>
    </tableColumn>
    <tableColumn id="22" name="Search Match">
      <calculatedColumnFormula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calculatedColumnFormula>
    </tableColumn>
  </tableColumns>
  <tableStyleInfo name="TableStyleLight1" showRowStripes="0"/>
</table>
</file>

<file path=xl/tables/table2.xml><?xml version="1.0" encoding="utf-8"?>
<table xmlns="http://schemas.openxmlformats.org/spreadsheetml/2006/main" id="2" name="tblBilling" displayName="tblBilling" ref="A4:Z5" headerRowCount="1">
  <autoFilter ref="A4:Z5"/>
  <tableColumns count="26">
    <tableColumn id="1" name="Billing ID"/>
    <tableColumn id="2" name="Month"/>
    <tableColumn id="3" name="Month Name"/>
    <tableColumn id="4" name="Customer ID"/>
    <tableColumn id="5" name="Customer Name"/>
    <tableColumn id="6" name="Location Code"/>
    <tableColumn id="7" name="Area"/>
    <tableColumn id="8" name="Street"/>
    <tableColumn id="9" name="Full Address"/>
    <tableColumn id="10" name="VLAN ID"/>
    <tableColumn id="11" name="Package"/>
    <tableColumn id="12" name="Due Date"/>
    <tableColumn id="13" name="Monthly Fee"/>
    <tableColumn id="14" name="Collector ID">
      <calculatedColumnFormula>IFERROR(INDEX(tblAssignments[Collector ID],MATCH(tblBilling[[#This Row],[Month]]&amp;"|"&amp;tblBilling[[#This Row],[Customer ID]],tblAssignments[Key],0))&amp;"","")</calculatedColumnFormula>
    </tableColumn>
    <tableColumn id="15" name="Collector Name">
      <calculatedColumnFormula>IF(tblBilling[[#This Row],[Collector ID]]="","Unassigned",IFERROR(INDEX(tblCollectors[Collector Name],MATCH(tblBilling[[#This Row],[Collector ID]],tblCollectors[Collector ID],0)),tblBilling[[#This Row],[Collector ID]]))</calculatedColumnFormula>
    </tableColumn>
    <tableColumn id="16" name="Amount Paid">
      <calculatedColumnFormula>SUMIFS(tblPayments[Amount],tblPayments[Billing ID],tblBilling[[#This Row],[Billing ID]],tblPayments[Voided],"&lt;&gt;Yes")</calculatedColumnFormula>
    </tableColumn>
    <tableColumn id="17" name="Balance">
      <calculatedColumnFormula>IF(CFG_AllowNegativeBalance="Yes",tblBilling[[#This Row],[Monthly Fee]]-tblBilling[[#This Row],[Amount Paid]],MAX(0,tblBilling[[#This Row],[Monthly Fee]]-tblBilling[[#This Row],[Amount Paid]]))</calculatedColumnFormula>
    </tableColumn>
    <tableColumn id="18" name="Excess Paid">
      <calculatedColumnFormula>MAX(0,tblBilling[[#This Row],[Amount Paid]]-tblBilling[[#This Row],[Monthly Fee]])</calculatedColumnFormula>
    </tableColumn>
    <tableColumn id="19" name="Payment Status">
      <calculatedColumnFormula>IF(tblBilling[[#This Row],[Amount Paid]]&gt;=tblBilling[[#This Row],[Monthly Fee]],"PAID",IF(tblBilling[[#This Row],[Amount Paid]]&gt;0,"PARTIAL","PENDING"))</calculatedColumnFormula>
    </tableColumn>
    <tableColumn id="20" name="Overdue">
      <calculatedColumnFormula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calculatedColumnFormula>
    </tableColumn>
    <tableColumn id="21" name="Payments Count">
      <calculatedColumnFormula>COUNTIFS(tblPayments[Billing ID],tblBilling[[#This Row],[Billing ID]],tblPayments[Voided],"&lt;&gt;Yes")</calculatedColumnFormula>
    </tableColumn>
    <tableColumn id="22" name="Last Payment Date">
      <calculatedColumnFormula>IF(tblBilling[[#This Row],[Payments Count]]=0,"",IFERROR(_xlfn.MAXIFS(tblPayments[Payment Date],tblPayments[Billing ID],tblBilling[[#This Row],[Billing ID]],tblPayments[Voided],"&lt;&gt;Yes"),""))</calculatedColumnFormula>
    </tableColumn>
    <tableColumn id="23" name="Remarks"/>
    <tableColumn id="24" name="Created At"/>
    <tableColumn id="25" name="Print Match">
      <calculatedColumnFormula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calculatedColumnFormula>
    </tableColumn>
    <tableColumn id="26" name="Stmt Match">
      <calculatedColumnFormula>IF(AND(tblBilling[[#This Row],[Customer ID]]=ST_CustomerID,OR(ST_From="All",tblBilling[[#This Row],[Month]]&gt;=ST_From),OR(ST_To="All",tblBilling[[#This Row],[Month]]&lt;=ST_To)),1,0)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tblPayments" displayName="tblPayments" ref="A4:O5" headerRowCount="1">
  <autoFilter ref="A4:O5"/>
  <tableColumns count="15">
    <tableColumn id="1" name="Payment ID"/>
    <tableColumn id="2" name="Customer ID"/>
    <tableColumn id="3" name="Customer Name">
      <calculatedColumnFormula>IFERROR(INDEX(tblCustomers[Customer Name],MATCH(tblPayments[[#This Row],[Customer ID]],tblCustomers[Customer ID],0)),"CUSTOMER NOT FOUND")</calculatedColumnFormula>
    </tableColumn>
    <tableColumn id="4" name="Month"/>
    <tableColumn id="5" name="Billing ID">
      <calculatedColumnFormula>IF(OR(tblPayments[[#This Row],[Month]]="",tblPayments[[#This Row],[Customer ID]]=""),"",tblPayments[[#This Row],[Month]]&amp;"-"&amp;tblPayments[[#This Row],[Customer ID]])</calculatedColumnFormula>
    </tableColumn>
    <tableColumn id="6" name="Payment Date"/>
    <tableColumn id="7" name="Amount"/>
    <tableColumn id="8" name="Payment Method"/>
    <tableColumn id="9" name="Collector ID"/>
    <tableColumn id="10" name="Reference"/>
    <tableColumn id="11" name="Remarks"/>
    <tableColumn id="12" name="Voided"/>
    <tableColumn id="13" name="Void Reason"/>
    <tableColumn id="14" name="Created At"/>
    <tableColumn id="15" name="Data Check">
      <calculatedColumnFormula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tblCash" displayName="tblCash" ref="A4:K5" headerRowCount="1">
  <autoFilter ref="A4:K5"/>
  <tableColumns count="11">
    <tableColumn id="1" name="Month"/>
    <tableColumn id="2" name="Collector ID"/>
    <tableColumn id="3" name="Collector Name">
      <calculatedColumnFormula>IFERROR(INDEX(tblCollectors[Collector Name],MATCH(tblCash[[#This Row],[Collector ID]],tblCollectors[Collector ID],0)),"")</calculatedColumnFormula>
    </tableColumn>
    <tableColumn id="4" name="Expected Collection">
      <calculatedColumnFormula>SUMIFS(tblPayments[Amount],tblPayments[Collector ID],tblCash[[#This Row],[Collector ID]],tblPayments[Month],tblCash[[#This Row],[Month]],tblPayments[Payment Method],"Cash",tblPayments[Voided],"&lt;&gt;Yes")</calculatedColumnFormula>
    </tableColumn>
    <tableColumn id="5" name="Non Cash Collected">
      <calculatedColumnFormula>SUMIFS(tblPayments[Amount],tblPayments[Collector ID],tblCash[[#This Row],[Collector ID]],tblPayments[Month],tblCash[[#This Row],[Month]],tblPayments[Voided],"&lt;&gt;Yes")-tblCash[[#This Row],[Expected Collection]]</calculatedColumnFormula>
    </tableColumn>
    <tableColumn id="6" name="Actual Cash Submitted"/>
    <tableColumn id="7" name="Cash Difference">
      <calculatedColumnFormula>IF(tblCash[[#This Row],[Actual Cash Submitted]]="","",tblCash[[#This Row],[Actual Cash Submitted]]-tblCash[[#This Row],[Expected Collection]])</calculatedColumnFormula>
    </tableColumn>
    <tableColumn id="8" name="Reconciliation Status">
      <calculatedColumnFormula>IF(tblCash[[#This Row],[Actual Cash Submitted]]="","NOT SUBMITTED",IF(tblCash[[#This Row],[Cash Difference]]=0,"MATCHED","CASH DIFFERENCE"))</calculatedColumnFormula>
    </tableColumn>
    <tableColumn id="9" name="Submission Date"/>
    <tableColumn id="10" name="Received By"/>
    <tableColumn id="11" name="Remarks"/>
  </tableColumns>
  <tableStyleInfo name="TableStyleLight1" showRowStripes="0"/>
</table>
</file>

<file path=xl/tables/table5.xml><?xml version="1.0" encoding="utf-8"?>
<table xmlns="http://schemas.openxmlformats.org/spreadsheetml/2006/main" id="5" name="tblAssignments" displayName="tblAssignments" ref="A4:K5" headerRowCount="1">
  <autoFilter ref="A4:K5"/>
  <tableColumns count="11">
    <tableColumn id="1" name="Assignment ID"/>
    <tableColumn id="2" name="Month"/>
    <tableColumn id="3" name="Customer ID"/>
    <tableColumn id="4" name="Customer Name">
      <calculatedColumnFormula>IFERROR(INDEX(tblCustomers[Customer Name],MATCH(tblAssignments[[#This Row],[Customer ID]],tblCustomers[Customer ID],0)),"CUSTOMER NOT FOUND")</calculatedColumnFormula>
    </tableColumn>
    <tableColumn id="5" name="Location Code">
      <calculatedColumnFormula>IFERROR(INDEX(tblCustomers[Location Code],MATCH(tblAssignments[[#This Row],[Customer ID]],tblCustomers[Customer ID],0)),"")</calculatedColumnFormula>
    </tableColumn>
    <tableColumn id="6" name="Collector ID"/>
    <tableColumn id="7" name="Collector Name">
      <calculatedColumnFormula>IFERROR(INDEX(tblCollectors[Collector Name],MATCH(tblAssignments[[#This Row],[Collector ID]],tblCollectors[Collector ID],0)),"COLLECTOR NOT FOUND")</calculatedColumnFormula>
    </tableColumn>
    <tableColumn id="8" name="Assigned Date"/>
    <tableColumn id="9" name="Assignment Status"/>
    <tableColumn id="10" name="Remarks"/>
    <tableColumn id="11" name="Key">
      <calculatedColumnFormula>IF(OR(tblAssignments[[#This Row],[Assignment Status]]="Reassigned",tblAssignments[[#This Row],[Assignment Status]]="Cancelled"),"",tblAssignments[[#This Row],[Month]]&amp;"|"&amp;tblAssignments[[#This Row],[Customer ID]])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tblMonths" displayName="tblMonths" ref="A4:M5" headerRowCount="1">
  <autoFilter ref="A4:M5"/>
  <tableColumns count="13">
    <tableColumn id="1" name="Month"/>
    <tableColumn id="2" name="Month Name"/>
    <tableColumn id="3" name="Generated At"/>
    <tableColumn id="4" name="Billing Records"/>
    <tableColumn id="5" name="Notes"/>
    <tableColumn id="6" name="Customers Billed">
      <calculatedColumnFormula>COUNTIF(tblBilling[Month],tblMonths[[#This Row],[Month]])</calculatedColumnFormula>
    </tableColumn>
    <tableColumn id="7" name="Total Billing">
      <calculatedColumnFormula>SUMIFS(tblBilling[Monthly Fee],tblBilling[Month],tblMonths[[#This Row],[Month]])</calculatedColumnFormula>
    </tableColumn>
    <tableColumn id="8" name="Recovered">
      <calculatedColumnFormula>SUMIFS(tblBilling[Amount Paid],tblBilling[Month],tblMonths[[#This Row],[Month]])</calculatedColumnFormula>
    </tableColumn>
    <tableColumn id="9" name="Outstanding">
      <calculatedColumnFormula>SUMIFS(tblBilling[Balance],tblBilling[Month],tblMonths[[#This Row],[Month]])</calculatedColumnFormula>
    </tableColumn>
    <tableColumn id="10" name="Paid Count">
      <calculatedColumnFormula>COUNTIFS(tblBilling[Month],tblMonths[[#This Row],[Month]],tblBilling[Payment Status],"PAID")</calculatedColumnFormula>
    </tableColumn>
    <tableColumn id="11" name="Partial Count">
      <calculatedColumnFormula>COUNTIFS(tblBilling[Month],tblMonths[[#This Row],[Month]],tblBilling[Payment Status],"PARTIAL")</calculatedColumnFormula>
    </tableColumn>
    <tableColumn id="12" name="Pending Count">
      <calculatedColumnFormula>COUNTIFS(tblBilling[Month],tblMonths[[#This Row],[Month]],tblBilling[Payment Status],"PENDING")</calculatedColumnFormula>
    </tableColumn>
    <tableColumn id="13" name="Recovery Pct">
      <calculatedColumnFormula>IF(tblMonths[[#This Row],[Total Billing]]=0,0,tblMonths[[#This Row],[Recovered]]/tblMonths[[#This Row],[Total Billing]])</calculatedColumnFormula>
    </tableColumn>
  </tableColumns>
  <tableStyleInfo name="TableStyleLight1" showRowStripes="0"/>
</table>
</file>

<file path=xl/tables/table7.xml><?xml version="1.0" encoding="utf-8"?>
<table xmlns="http://schemas.openxmlformats.org/spreadsheetml/2006/main" id="7" name="tblEvents" displayName="tblEvents" ref="A4:I5" headerRowCount="1">
  <autoFilter ref="A4:I5"/>
  <tableColumns count="9">
    <tableColumn id="1" name="Event ID"/>
    <tableColumn id="2" name="Customer ID"/>
    <tableColumn id="3" name="Customer Name">
      <calculatedColumnFormula>IFERROR(INDEX(tblCustomers[Customer Name],MATCH(tblEvents[[#This Row],[Customer ID]],tblCustomers[Customer ID],0)),"")</calculatedColumnFormula>
    </tableColumn>
    <tableColumn id="4" name="Event Date"/>
    <tableColumn id="5" name="Event Type"/>
    <tableColumn id="6" name="Old Value"/>
    <tableColumn id="7" name="New Value"/>
    <tableColumn id="8" name="Notes"/>
    <tableColumn id="9" name="Recorded At"/>
  </tableColumns>
  <tableStyleInfo name="TableStyleLight1" showRowStripes="0"/>
</table>
</file>

<file path=xl/tables/table8.xml><?xml version="1.0" encoding="utf-8"?>
<table xmlns="http://schemas.openxmlformats.org/spreadsheetml/2006/main" id="8" name="tblAreas" displayName="tblAreas" ref="A4:E6" headerRowCount="1">
  <autoFilter ref="A4:E6"/>
  <tableColumns count="5">
    <tableColumn id="1" name="Area Code"/>
    <tableColumn id="2" name="Area Name"/>
    <tableColumn id="3" name="Area Name Urdu"/>
    <tableColumn id="4" name="Active"/>
    <tableColumn id="5" name="Notes"/>
  </tableColumns>
  <tableStyleInfo name="TableStyleLight1" showRowStripes="0"/>
</table>
</file>

<file path=xl/tables/table9.xml><?xml version="1.0" encoding="utf-8"?>
<table xmlns="http://schemas.openxmlformats.org/spreadsheetml/2006/main" id="9" name="tblLocations" displayName="tblLocations" ref="A4:I10" headerRowCount="1">
  <autoFilter ref="A4:I10"/>
  <tableColumns count="9">
    <tableColumn id="1" name="Location Code"/>
    <tableColumn id="2" name="Area Code"/>
    <tableColumn id="3" name="Area Name">
      <calculatedColumnFormula>IFERROR(INDEX(tblAreas[Area Name],MATCH(tblLocations[[#This Row],[Area Code]],tblAreas[Area Code],0)),"AREA CODE NOT FOUND")</calculatedColumnFormula>
    </tableColumn>
    <tableColumn id="4" name="Street Number"/>
    <tableColumn id="5" name="Street Name"/>
    <tableColumn id="6" name="Full Address">
      <calculatedColumnFormula>IF(tblLocations[[#This Row],[Street Name]]="",tblLocations[[#This Row],[Area Name]],tblLocations[[#This Row],[Area Name]]&amp;", "&amp;tblLocations[[#This Row],[Street Name]])</calculatedColumnFormula>
    </tableColumn>
    <tableColumn id="7" name="Active"/>
    <tableColumn id="8" name="Notes"/>
    <tableColumn id="9" name="Data Check">
      <calculatedColumnFormula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calculatedColumnFormula>
    </tableColumn>
  </tableColumns>
  <tableStyleInfo name="TableStyleLight1" showRowStripes="0"/>
</table>
</file>

<file path=xl/tables/table10.xml><?xml version="1.0" encoding="utf-8"?>
<table xmlns="http://schemas.openxmlformats.org/spreadsheetml/2006/main" id="10" name="tblPackages" displayName="tblPackages" ref="A4:F7" headerRowCount="1">
  <autoFilter ref="A4:F7"/>
  <tableColumns count="6">
    <tableColumn id="1" name="Package ID"/>
    <tableColumn id="2" name="Package Name"/>
    <tableColumn id="3" name="Speed"/>
    <tableColumn id="4" name="Default Monthly Fee"/>
    <tableColumn id="5" name="Active"/>
    <tableColumn id="6" name="Notes"/>
  </tableColumns>
  <tableStyleInfo name="TableStyleLight1" showRowStripes="0"/>
</table>
</file>

<file path=xl/tables/table11.xml><?xml version="1.0" encoding="utf-8"?>
<table xmlns="http://schemas.openxmlformats.org/spreadsheetml/2006/main" id="11" name="tblCollectors" displayName="tblCollectors" ref="A4:E7" headerRowCount="1">
  <autoFilter ref="A4:E7"/>
  <tableColumns count="5">
    <tableColumn id="1" name="Collector ID"/>
    <tableColumn id="2" name="Collector Name"/>
    <tableColumn id="3" name="Mobile"/>
    <tableColumn id="4" name="Active"/>
    <tableColumn id="5" name="Notes"/>
  </tableColumns>
  <tableStyleInfo name="TableStyleLight1" showRowStripes="0"/>
</table>
</file>

<file path=xl/tables/table12.xml><?xml version="1.0" encoding="utf-8"?>
<table xmlns="http://schemas.openxmlformats.org/spreadsheetml/2006/main" id="12" name="tblStaging" displayName="tblStaging" ref="A4:N5" headerRowCount="1">
  <autoFilter ref="A4:N5"/>
  <tableColumns count="14">
    <tableColumn id="1" name="Batch ID"/>
    <tableColumn id="2" name="Row No"/>
    <tableColumn id="3" name="Page"/>
    <tableColumn id="4" name="Customer Name"/>
    <tableColumn id="5" name="Location Code"/>
    <tableColumn id="6" name="VLAN ID"/>
    <tableColumn id="7" name="Due Date"/>
    <tableColumn id="8" name="Monthly Fee"/>
    <tableColumn id="9" name="Mobile Number"/>
    <tableColumn id="10" name="Other Fields"/>
    <tableColumn id="11" name="Source File"/>
    <tableColumn id="12" name="Row Status"/>
    <tableColumn id="13" name="Customer ID Assigned"/>
    <tableColumn id="14" name="Notes"/>
  </tableColumns>
  <tableStyleInfo name="TableStyleLight1" showRowStripes="0"/>
</table>
</file>

<file path=xl/tables/table13.xml><?xml version="1.0" encoding="utf-8"?>
<table xmlns="http://schemas.openxmlformats.org/spreadsheetml/2006/main" id="13" name="tblVerify" displayName="tblVerify" ref="A4:K5" headerRowCount="1">
  <autoFilter ref="A4:K5"/>
  <tableColumns count="11">
    <tableColumn id="1" name="Item ID"/>
    <tableColumn id="2" name="Batch ID"/>
    <tableColumn id="3" name="Row No"/>
    <tableColumn id="4" name="Field"/>
    <tableColumn id="5" name="Detected Value"/>
    <tableColumn id="6" name="Confidence"/>
    <tableColumn id="7" name="Reason"/>
    <tableColumn id="8" name="Question"/>
    <tableColumn id="9" name="Answer"/>
    <tableColumn id="10" name="Status"/>
    <tableColumn id="11" name="Resolved A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4" customWidth="1" min="4" max="4"/>
    <col width="6" customWidth="1" min="5" max="5"/>
    <col width="90" customWidth="1" min="6" max="6"/>
  </cols>
  <sheetData>
    <row r="2">
      <c r="B2" s="1">
        <f>CFG_CompanyName</f>
        <v/>
      </c>
    </row>
    <row r="3">
      <c r="B3" s="2" t="inlineStr">
        <is>
          <t>ISP CUSTOMER &amp; RECOVERY MANAGEMENT SYSTEM</t>
        </is>
      </c>
    </row>
    <row r="4">
      <c r="B4" s="3">
        <f>IF(CFG_WorkbookType&lt;&gt;"REAL DATA","*** DEMO WORKBOOK - SAMPLE DATA ONLY - NOT REAL CUSTOMERS ***","")</f>
        <v/>
      </c>
    </row>
    <row r="6">
      <c r="B6" s="4" t="inlineStr">
        <is>
          <t>Current Month:</t>
        </is>
      </c>
      <c r="C6" s="5">
        <f>CFG_CurrentMonth&amp;"   ("&amp;IFERROR(TEXT(DATE(LEFT(CFG_CurrentMonth,4),MID(CFG_CurrentMonth,6,2),1),"mmmm yyyy"),"not set")&amp;")"</f>
        <v/>
      </c>
    </row>
    <row r="7">
      <c r="B7" s="4" t="inlineStr">
        <is>
          <t>Customers (Active / Total):</t>
        </is>
      </c>
      <c r="C7">
        <f>COUNTIF(tblCustomers[Customer Status],"Active")&amp;" / "&amp;(COUNTIF(tblCustomers[Customer ID],"?*"))</f>
        <v/>
      </c>
    </row>
    <row r="8">
      <c r="B8" s="4" t="inlineStr">
        <is>
          <t>Next Customer ID:</t>
        </is>
      </c>
      <c r="C8" s="6">
        <f>CFG_CustomerIDPrefix&amp;"-"&amp;TEXT(IFERROR(AGGREGATE(14,6,--MID(tblCustomers[Customer ID],LEN(CFG_CustomerIDPrefix)+2,10)/(LEFT(tblCustomers[Customer ID],LEN(CFG_CustomerIDPrefix)+1)=CFG_CustomerIDPrefix&amp;"-"),1),0)+1,REPT("0",CFG_CustomerIDDigits))</f>
        <v/>
      </c>
    </row>
    <row r="9">
      <c r="B9" s="4" t="inlineStr">
        <is>
          <t>Open verification items:</t>
        </is>
      </c>
      <c r="C9">
        <f>COUNTIF(tblVerify[Status],"Open")</f>
        <v/>
      </c>
    </row>
    <row r="10">
      <c r="B10" s="4" t="inlineStr">
        <is>
          <t>Customers with data problems:</t>
        </is>
      </c>
      <c r="C10">
        <f>COUNTIF(tblCustomers[Data Check],"?*")</f>
        <v/>
      </c>
    </row>
    <row r="12">
      <c r="B12" s="7" t="inlineStr">
        <is>
          <t>GO TO</t>
        </is>
      </c>
      <c r="C12" s="8" t="n"/>
      <c r="E12" s="7" t="inlineStr">
        <is>
          <t>MONTHLY WORKFLOW</t>
        </is>
      </c>
      <c r="F12" s="8" t="n"/>
      <c r="G12" s="8" t="n"/>
    </row>
    <row r="13">
      <c r="B13" s="9" t="inlineStr">
        <is>
          <t>► Dashboard</t>
        </is>
      </c>
      <c r="E13" t="inlineStr">
        <is>
          <t>1. Double-click CityLinks.bat (menu program). Close this workbook in Excel first.</t>
        </is>
      </c>
    </row>
    <row r="14">
      <c r="B14" s="9" t="inlineStr">
        <is>
          <t>► Customer Master</t>
        </is>
      </c>
      <c r="E14" t="inlineStr">
        <is>
          <t>2. Menu 1: Select / generate the month (GENERATE NEW MONTH). A backup is made first.</t>
        </is>
      </c>
    </row>
    <row r="15">
      <c r="B15" s="9" t="inlineStr">
        <is>
          <t>► Add Customer</t>
        </is>
      </c>
      <c r="E15" t="inlineStr">
        <is>
          <t>3. Menu: Assign customers to collectors (by area / street / customer) if needed.</t>
        </is>
      </c>
    </row>
    <row r="16">
      <c r="B16" s="9" t="inlineStr">
        <is>
          <t>► Monthly Recovery</t>
        </is>
      </c>
      <c r="E16" t="inlineStr">
        <is>
          <t>4. PRINT_CENTER: choose Area / Street / Collector / Status  -&gt;  print PRINT_SHEET,</t>
        </is>
      </c>
    </row>
    <row r="17">
      <c r="B17" s="9" t="inlineStr">
        <is>
          <t>► Payment Entry</t>
        </is>
      </c>
      <c r="E17" t="inlineStr">
        <is>
          <t xml:space="preserve">    or use the menu to save a PDF recovery list.</t>
        </is>
      </c>
    </row>
    <row r="18">
      <c r="B18" s="9" t="inlineStr">
        <is>
          <t>► Payments</t>
        </is>
      </c>
      <c r="E18" t="inlineStr">
        <is>
          <t>5. Recovery boy collects cash and returns the signed list.</t>
        </is>
      </c>
    </row>
    <row r="19">
      <c r="B19" s="9" t="inlineStr">
        <is>
          <t>► Print Center</t>
        </is>
      </c>
      <c r="E19" t="inlineStr">
        <is>
          <t>6. Enter payments: menu 'Record payment' or 'Quick recovery entry' (whole list at once).</t>
        </is>
      </c>
    </row>
    <row r="20">
      <c r="B20" s="9" t="inlineStr">
        <is>
          <t>► Customer History</t>
        </is>
      </c>
      <c r="E20" t="inlineStr">
        <is>
          <t>7. Enter the cash he handed over in CASH_RECONCILIATION (Actual Cash Submitted).</t>
        </is>
      </c>
    </row>
    <row r="21">
      <c r="B21" s="9" t="inlineStr">
        <is>
          <t>► Customer Statement</t>
        </is>
      </c>
      <c r="E21" t="inlineStr">
        <is>
          <t>8. DASHBOARD updates automatically.</t>
        </is>
      </c>
    </row>
    <row r="22">
      <c r="B22" s="9" t="inlineStr">
        <is>
          <t>► Pending Recovery</t>
        </is>
      </c>
      <c r="E22" t="inlineStr">
        <is>
          <t>9. CUSTOMER_HISTORY: type any Customer ID (e.g. CL-0025) to see the complete history.</t>
        </is>
      </c>
    </row>
    <row r="23">
      <c r="B23" s="9" t="inlineStr">
        <is>
          <t>► Cash Reconciliation</t>
        </is>
      </c>
      <c r="E23" t="inlineStr">
        <is>
          <t>10. Menu 'Customer statement PDF' -&gt; PDF saved in exports/statements.</t>
        </is>
      </c>
    </row>
    <row r="24">
      <c r="B24" s="9" t="inlineStr">
        <is>
          <t>► Recovery Assignments</t>
        </is>
      </c>
      <c r="E24" t="inlineStr">
        <is>
          <t>11. Menu shows the WhatsApp link - attach the PDF manually and send.</t>
        </is>
      </c>
    </row>
    <row r="25">
      <c r="B25" s="9" t="inlineStr">
        <is>
          <t>► Reports</t>
        </is>
      </c>
    </row>
    <row r="26">
      <c r="B26" s="9" t="inlineStr">
        <is>
          <t>► Monthly Archive</t>
        </is>
      </c>
    </row>
    <row r="27">
      <c r="B27" s="9" t="inlineStr">
        <is>
          <t>► Connection History</t>
        </is>
      </c>
      <c r="E27" s="7" t="inlineStr">
        <is>
          <t>CELL COLOURS</t>
        </is>
      </c>
      <c r="F27" s="8" t="n"/>
      <c r="G27" s="8" t="n"/>
    </row>
    <row r="28">
      <c r="B28" s="9" t="inlineStr">
        <is>
          <t>► Areas</t>
        </is>
      </c>
      <c r="E28" s="10" t="n"/>
      <c r="F28" t="inlineStr">
        <is>
          <t>Yellow = you can type / choose here</t>
        </is>
      </c>
    </row>
    <row r="29">
      <c r="B29" s="9" t="inlineStr">
        <is>
          <t>► Location Codes</t>
        </is>
      </c>
      <c r="E29" s="11" t="n"/>
      <c r="F29" t="inlineStr">
        <is>
          <t>Grey = calculated by formula (do not type)</t>
        </is>
      </c>
    </row>
    <row r="30">
      <c r="B30" s="9" t="inlineStr">
        <is>
          <t>► Packages</t>
        </is>
      </c>
      <c r="E30" s="12" t="n"/>
      <c r="F30" t="inlineStr">
        <is>
          <t>Light blue = generated by the system (IDs, monthly snapshots)</t>
        </is>
      </c>
    </row>
    <row r="31">
      <c r="B31" s="9" t="inlineStr">
        <is>
          <t>► Collectors</t>
        </is>
      </c>
    </row>
    <row r="32">
      <c r="B32" s="9" t="inlineStr">
        <is>
          <t>► Verification Queue</t>
        </is>
      </c>
      <c r="E32" s="7" t="inlineStr">
        <is>
          <t>SAFETY RULES</t>
        </is>
      </c>
      <c r="F32" s="8" t="n"/>
      <c r="G32" s="8" t="n"/>
    </row>
    <row r="33">
      <c r="B33" s="9" t="inlineStr">
        <is>
          <t>► Settings</t>
        </is>
      </c>
      <c r="E33" t="inlineStr">
        <is>
          <t>• Never delete customers, bills or payments. Use Customer Status / Voided instead.</t>
        </is>
      </c>
    </row>
    <row r="34">
      <c r="E34" t="inlineStr">
        <is>
          <t>• Customer ID never changes. VLAN / fee / area changes are recorded in CUSTOMER_EVENTS.</t>
        </is>
      </c>
    </row>
    <row r="35">
      <c r="E35" t="inlineStr">
        <is>
          <t>• Backups are created automatically in the backups folder before major operations.</t>
        </is>
      </c>
    </row>
    <row r="36">
      <c r="E36" t="inlineStr">
        <is>
          <t>• Handwritten data is never guessed - unclear values go to VERIFICATION_QUEUE.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hyperlinks>
    <hyperlink ref="B13" location="'DASHBOARD'!A1" display="► Dashboard"/>
    <hyperlink ref="B14" location="'CUSTOMERS'!A1" display="► Customer Master"/>
    <hyperlink ref="B15" location="'CUSTOMERS'!A1" display="► Add Customer"/>
    <hyperlink ref="B16" location="'MONTHLY_BILLING'!A1" display="► Monthly Recovery"/>
    <hyperlink ref="B17" location="'PAYMENT_ENTRY'!A1" display="► Payment Entry"/>
    <hyperlink ref="B18" location="'PAYMENTS'!A1" display="► Payments"/>
    <hyperlink ref="B19" location="'PRINT_CENTER'!A1" display="► Print Center"/>
    <hyperlink ref="B20" location="'CUSTOMER_HISTORY'!A1" display="► Customer History"/>
    <hyperlink ref="B21" location="'STATEMENT'!A1" display="► Customer Statement"/>
    <hyperlink ref="B22" location="'PRINT_CENTER'!A1" display="► Pending Recovery"/>
    <hyperlink ref="B23" location="'CASH_RECONCILIATION'!A1" display="► Cash Reconciliation"/>
    <hyperlink ref="B24" location="'RECOVERY_ASSIGNMENTS'!A1" display="► Recovery Assignments"/>
    <hyperlink ref="B25" location="'REPORTS'!A1" display="► Reports"/>
    <hyperlink ref="B26" location="'MONTHS'!A1" display="► Monthly Archive"/>
    <hyperlink ref="B27" location="'CUSTOMER_EVENTS'!A1" display="► Connection History"/>
    <hyperlink ref="B28" location="'AREAS'!A1" display="► Areas"/>
    <hyperlink ref="B29" location="'LOCATION_CODES'!A1" display="► Location Codes"/>
    <hyperlink ref="B30" location="'PACKAGES'!A1" display="► Packages"/>
    <hyperlink ref="B31" location="'COLLECTORS'!A1" display="► Collectors"/>
    <hyperlink ref="B32" location="'VERIFICATION_QUEUE'!A1" display="► Verification Queue"/>
    <hyperlink ref="B33" location="'SETTINGS'!A1" display="► Settings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0" customWidth="1" min="8" max="8"/>
    <col width="14" customWidth="1" min="9" max="9"/>
    <col width="11" customWidth="1" min="10" max="10"/>
    <col width="13" customWidth="1" min="11" max="11"/>
    <col width="13" customWidth="1" min="12" max="12"/>
    <col width="12" customWidth="1" min="13" max="13"/>
    <col width="17" customWidth="1" min="14" max="14"/>
  </cols>
  <sheetData>
    <row r="1">
      <c r="A1" s="13">
        <f>CFG_CompanyName&amp;" - RECOVERY DASHBOARD"</f>
        <v/>
      </c>
      <c r="N1" s="9" t="inlineStr">
        <is>
          <t>◄ HOME</t>
        </is>
      </c>
    </row>
    <row r="2">
      <c r="A2" s="4" t="inlineStr">
        <is>
          <t>Month (YYYY-MM):</t>
        </is>
      </c>
      <c r="C2" s="14">
        <f>CFG_CurrentMonth</f>
        <v/>
      </c>
      <c r="D2" s="15">
        <f>IFERROR(TEXT(DATE(LEFT(DB_Month,4),MID(DB_Month,6,2),1),"mmmm yyyy"),"Select month")</f>
        <v/>
      </c>
      <c r="F2" s="6">
        <f>IF(CFG_WorkbookType&lt;&gt;"REAL DATA","DEMO WORKBOOK - SAMPLE DATA ONLY","")</f>
        <v/>
      </c>
    </row>
    <row r="3">
      <c r="A3" s="16" t="inlineStr">
        <is>
          <t>All figures are calculated from the workbook data. Nothing is typed by hand.</t>
        </is>
      </c>
    </row>
    <row r="5">
      <c r="A5" s="7" t="inlineStr">
        <is>
          <t>CUSTOMERS</t>
        </is>
      </c>
      <c r="B5" s="8" t="n"/>
      <c r="C5" s="8" t="n"/>
      <c r="E5" s="7" t="inlineStr">
        <is>
          <t>SELECTED MONTH</t>
        </is>
      </c>
      <c r="F5" s="8" t="n"/>
      <c r="G5" s="8" t="n"/>
      <c r="I5" s="7" t="inlineStr">
        <is>
          <t>PAYMENT STATUS</t>
        </is>
      </c>
      <c r="J5" s="8" t="n"/>
      <c r="K5" s="8" t="n"/>
      <c r="M5" s="7" t="inlineStr">
        <is>
          <t>CASH</t>
        </is>
      </c>
      <c r="N5" s="8" t="n"/>
      <c r="O5" s="8" t="n"/>
    </row>
    <row r="6">
      <c r="A6" s="17" t="inlineStr">
        <is>
          <t>Total Customers</t>
        </is>
      </c>
      <c r="B6" s="18" t="n"/>
      <c r="C6" s="18" t="n"/>
      <c r="E6" s="17" t="inlineStr">
        <is>
          <t>Customers Billed</t>
        </is>
      </c>
      <c r="F6" s="18" t="n"/>
      <c r="G6" s="18" t="n"/>
      <c r="I6" s="17" t="inlineStr">
        <is>
          <t>Paid Customers</t>
        </is>
      </c>
      <c r="J6" s="18" t="n"/>
      <c r="K6" s="18" t="n"/>
      <c r="M6" s="17" t="inlineStr">
        <is>
          <t>Today's Collection</t>
        </is>
      </c>
      <c r="N6" s="18" t="n"/>
      <c r="O6" s="18" t="n"/>
    </row>
    <row r="7">
      <c r="A7" s="19">
        <f>COUNTIF(tblCustomers[Customer ID],"?*")</f>
        <v/>
      </c>
      <c r="B7" s="18" t="n"/>
      <c r="C7" s="18" t="n"/>
      <c r="E7" s="19">
        <f>COUNTIF(tblBilling[Month],DB_Month)</f>
        <v/>
      </c>
      <c r="F7" s="18" t="n"/>
      <c r="G7" s="18" t="n"/>
      <c r="I7" s="19">
        <f>COUNTIFS(tblBilling[Month],DB_Month,tblBilling[Payment Status],"PAID")</f>
        <v/>
      </c>
      <c r="J7" s="18" t="n"/>
      <c r="K7" s="18" t="n"/>
      <c r="M7" s="20">
        <f>SUMIFS(tblPayments[Amount],tblPayments[Payment Date],TODAY(),tblPayments[Voided],"&lt;&gt;Yes")</f>
        <v/>
      </c>
      <c r="N7" s="18" t="n"/>
      <c r="O7" s="18" t="n"/>
    </row>
    <row r="8">
      <c r="A8" s="17" t="inlineStr">
        <is>
          <t>Active Customers</t>
        </is>
      </c>
      <c r="B8" s="18" t="n"/>
      <c r="C8" s="18" t="n"/>
      <c r="E8" s="17" t="inlineStr">
        <is>
          <t>Monthly Billing</t>
        </is>
      </c>
      <c r="F8" s="18" t="n"/>
      <c r="G8" s="18" t="n"/>
      <c r="I8" s="17" t="inlineStr">
        <is>
          <t>Partial Customers</t>
        </is>
      </c>
      <c r="J8" s="18" t="n"/>
      <c r="K8" s="18" t="n"/>
      <c r="M8" s="17" t="inlineStr">
        <is>
          <t>Current Month Collection</t>
        </is>
      </c>
      <c r="N8" s="18" t="n"/>
      <c r="O8" s="18" t="n"/>
    </row>
    <row r="9">
      <c r="A9" s="19">
        <f>COUNTIF(tblCustomers[Customer Status],"Active")</f>
        <v/>
      </c>
      <c r="B9" s="18" t="n"/>
      <c r="C9" s="18" t="n"/>
      <c r="E9" s="20">
        <f>SUMIFS(tblBilling[Monthly Fee],tblBilling[Month],DB_Month)</f>
        <v/>
      </c>
      <c r="F9" s="18" t="n"/>
      <c r="G9" s="18" t="n"/>
      <c r="I9" s="19">
        <f>COUNTIFS(tblBilling[Month],DB_Month,tblBilling[Payment Status],"PARTIAL")</f>
        <v/>
      </c>
      <c r="J9" s="18" t="n"/>
      <c r="K9" s="18" t="n"/>
      <c r="M9" s="20">
        <f>IFERROR(SUMIFS(tblPayments[Amount],tblPayments[Payment Date],"&gt;="&amp;DATE(LEFT(DB_Month,4),MID(DB_Month,6,2),1),tblPayments[Payment Date],"&lt;="&amp;EOMONTH(DATE(LEFT(DB_Month,4),MID(DB_Month,6,2),1),0),tblPayments[Voided],"&lt;&gt;Yes"),0)</f>
        <v/>
      </c>
      <c r="N9" s="18" t="n"/>
      <c r="O9" s="18" t="n"/>
    </row>
    <row r="10">
      <c r="A10" s="17" t="inlineStr">
        <is>
          <t>Suspended</t>
        </is>
      </c>
      <c r="B10" s="18" t="n"/>
      <c r="C10" s="18" t="n"/>
      <c r="E10" s="17" t="inlineStr">
        <is>
          <t>Total Recovered</t>
        </is>
      </c>
      <c r="F10" s="18" t="n"/>
      <c r="G10" s="18" t="n"/>
      <c r="I10" s="17" t="inlineStr">
        <is>
          <t>Total Partial (Balance)</t>
        </is>
      </c>
      <c r="J10" s="18" t="n"/>
      <c r="K10" s="18" t="n"/>
      <c r="M10" s="17" t="inlineStr">
        <is>
          <t>Outstanding Balance (All Months)</t>
        </is>
      </c>
      <c r="N10" s="18" t="n"/>
      <c r="O10" s="18" t="n"/>
    </row>
    <row r="11">
      <c r="A11" s="19">
        <f>COUNTIF(tblCustomers[Customer Status],"Suspended")</f>
        <v/>
      </c>
      <c r="B11" s="18" t="n"/>
      <c r="C11" s="18" t="n"/>
      <c r="E11" s="20">
        <f>SUMIFS(tblBilling[Amount Paid],tblBilling[Month],DB_Month)</f>
        <v/>
      </c>
      <c r="F11" s="18" t="n"/>
      <c r="G11" s="18" t="n"/>
      <c r="I11" s="20">
        <f>SUMIFS(tblBilling[Balance],tblBilling[Month],DB_Month,tblBilling[Payment Status],"PARTIAL")</f>
        <v/>
      </c>
      <c r="J11" s="18" t="n"/>
      <c r="K11" s="18" t="n"/>
      <c r="M11" s="20">
        <f>SUM(tblBilling[Balance])</f>
        <v/>
      </c>
      <c r="N11" s="18" t="n"/>
      <c r="O11" s="18" t="n"/>
    </row>
    <row r="12">
      <c r="A12" s="17" t="inlineStr">
        <is>
          <t>Disconnected Customers</t>
        </is>
      </c>
      <c r="B12" s="18" t="n"/>
      <c r="C12" s="18" t="n"/>
      <c r="E12" s="17" t="inlineStr">
        <is>
          <t>Total Pending (Balance)</t>
        </is>
      </c>
      <c r="F12" s="18" t="n"/>
      <c r="G12" s="18" t="n"/>
      <c r="I12" s="17" t="inlineStr">
        <is>
          <t>Pending Customers</t>
        </is>
      </c>
      <c r="J12" s="18" t="n"/>
      <c r="K12" s="18" t="n"/>
      <c r="M12" s="17" t="inlineStr">
        <is>
          <t>Cash Difference (Month)</t>
        </is>
      </c>
      <c r="N12" s="18" t="n"/>
      <c r="O12" s="18" t="n"/>
    </row>
    <row r="13">
      <c r="A13" s="19">
        <f>COUNTIF(tblCustomers[Customer Status],"Disconnected")</f>
        <v/>
      </c>
      <c r="B13" s="18" t="n"/>
      <c r="C13" s="18" t="n"/>
      <c r="E13" s="20">
        <f>SUMIFS(tblBilling[Balance],tblBilling[Month],DB_Month)</f>
        <v/>
      </c>
      <c r="F13" s="18" t="n"/>
      <c r="G13" s="18" t="n"/>
      <c r="I13" s="19">
        <f>COUNTIFS(tblBilling[Month],DB_Month,tblBilling[Payment Status],"PENDING")</f>
        <v/>
      </c>
      <c r="J13" s="18" t="n"/>
      <c r="K13" s="18" t="n"/>
      <c r="M13" s="89">
        <f>SUMIFS(tblCash[Cash Difference],tblCash[Month],DB_Month)</f>
        <v/>
      </c>
      <c r="N13" s="18" t="n"/>
      <c r="O13" s="18" t="n"/>
    </row>
    <row r="14">
      <c r="A14" s="17" t="inlineStr">
        <is>
          <t>On Hold</t>
        </is>
      </c>
      <c r="B14" s="18" t="n"/>
      <c r="C14" s="18" t="n"/>
      <c r="E14" s="17" t="inlineStr">
        <is>
          <t>Recovery Percentage</t>
        </is>
      </c>
      <c r="F14" s="18" t="n"/>
      <c r="G14" s="18" t="n"/>
      <c r="I14" s="17" t="inlineStr">
        <is>
          <t>Overdue Customers</t>
        </is>
      </c>
      <c r="J14" s="18" t="n"/>
      <c r="K14" s="18" t="n"/>
      <c r="M14" s="17" t="inlineStr">
        <is>
          <t>Collectors Not Submitted</t>
        </is>
      </c>
      <c r="N14" s="18" t="n"/>
      <c r="O14" s="18" t="n"/>
    </row>
    <row r="15">
      <c r="A15" s="19">
        <f>COUNTIF(tblCustomers[Customer Status],"On Hold")</f>
        <v/>
      </c>
      <c r="B15" s="18" t="n"/>
      <c r="C15" s="18" t="n"/>
      <c r="E15" s="90">
        <f>IF(SUMIFS(tblBilling[Monthly Fee],tblBilling[Month],DB_Month)=0,0,SUMIFS(tblBilling[Amount Paid],tblBilling[Month],DB_Month)/SUMIFS(tblBilling[Monthly Fee],tblBilling[Month],DB_Month))</f>
        <v/>
      </c>
      <c r="F15" s="18" t="n"/>
      <c r="G15" s="18" t="n"/>
      <c r="I15" s="19">
        <f>COUNTIFS(tblBilling[Month],DB_Month,tblBilling[Overdue],"OVERDUE")</f>
        <v/>
      </c>
      <c r="J15" s="18" t="n"/>
      <c r="K15" s="18" t="n"/>
      <c r="M15" s="19">
        <f>COUNTIFS(tblCash[Month],DB_Month,tblCash[Reconciliation Status],"NOT SUBMITTED")</f>
        <v/>
      </c>
      <c r="N15" s="18" t="n"/>
      <c r="O15" s="18" t="n"/>
    </row>
    <row r="16">
      <c r="A16" s="16" t="inlineStr">
        <is>
          <t>Current Month Collection = all payments received (by payment date) during the selected calendar month, for any bill.</t>
        </is>
      </c>
    </row>
    <row r="18">
      <c r="A18" s="7" t="inlineStr">
        <is>
          <t>AREA-WISE RECOVERY (selected month)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23" t="inlineStr">
        <is>
          <t>Area</t>
        </is>
      </c>
      <c r="B19" s="23" t="inlineStr">
        <is>
          <t>Customers</t>
        </is>
      </c>
      <c r="C19" s="23" t="inlineStr">
        <is>
          <t>Active Customers</t>
        </is>
      </c>
      <c r="D19" s="23" t="inlineStr">
        <is>
          <t>Billed</t>
        </is>
      </c>
      <c r="E19" s="23" t="inlineStr">
        <is>
          <t>Monthly Billing</t>
        </is>
      </c>
      <c r="F19" s="23" t="inlineStr">
        <is>
          <t>Recovered</t>
        </is>
      </c>
      <c r="G19" s="23" t="inlineStr">
        <is>
          <t>Pending (Balance)</t>
        </is>
      </c>
      <c r="H19" s="23" t="inlineStr">
        <is>
          <t>Paid</t>
        </is>
      </c>
      <c r="I19" s="23" t="inlineStr">
        <is>
          <t>Partial</t>
        </is>
      </c>
      <c r="J19" s="23" t="inlineStr">
        <is>
          <t>Pending</t>
        </is>
      </c>
      <c r="K19" s="23" t="inlineStr">
        <is>
          <t>Recovery %</t>
        </is>
      </c>
    </row>
    <row r="20">
      <c r="A20">
        <f>IFERROR(INDEX(tblAreas[Area Name],1)&amp;"","")</f>
        <v/>
      </c>
      <c r="B20" s="24">
        <f>IF($A20="","",COUNTIF(tblCustomers[Area],$A20))</f>
        <v/>
      </c>
      <c r="C20" s="24">
        <f>IF($A20="","",COUNTIFS(tblCustomers[Area],$A20,tblCustomers[Customer Status],"Active"))</f>
        <v/>
      </c>
      <c r="D20" s="24">
        <f>IF($A20="","",COUNTIFS(tblBilling[Month],DB_Month,tblBilling[Area],$A20))</f>
        <v/>
      </c>
      <c r="E20" s="25">
        <f>IF($A20="","",SUMIFS(tblBilling[Monthly Fee],tblBilling[Month],DB_Month,tblBilling[Area],$A20))</f>
        <v/>
      </c>
      <c r="F20" s="25">
        <f>IF($A20="","",SUMIFS(tblBilling[Amount Paid],tblBilling[Month],DB_Month,tblBilling[Area],$A20))</f>
        <v/>
      </c>
      <c r="G20" s="25">
        <f>IF($A20="","",SUMIFS(tblBilling[Balance],tblBilling[Month],DB_Month,tblBilling[Area],$A20))</f>
        <v/>
      </c>
      <c r="H20" s="24">
        <f>IF($A20="","",COUNTIFS(tblBilling[Month],DB_Month,tblBilling[Area],$A20,tblBilling[Payment Status],"PAID"))</f>
        <v/>
      </c>
      <c r="I20" s="24">
        <f>IF($A20="","",COUNTIFS(tblBilling[Month],DB_Month,tblBilling[Area],$A20,tblBilling[Payment Status],"PARTIAL"))</f>
        <v/>
      </c>
      <c r="J20" s="24">
        <f>IF($A20="","",COUNTIFS(tblBilling[Month],DB_Month,tblBilling[Area],$A20,tblBilling[Payment Status],"PENDING"))</f>
        <v/>
      </c>
      <c r="K20" s="91">
        <f>IF(OR($A20="",N(E20)=0),"",F20/E20)</f>
        <v/>
      </c>
    </row>
    <row r="21">
      <c r="A21">
        <f>IFERROR(INDEX(tblAreas[Area Name],2)&amp;"","")</f>
        <v/>
      </c>
      <c r="B21" s="24">
        <f>IF($A21="","",COUNTIF(tblCustomers[Area],$A21))</f>
        <v/>
      </c>
      <c r="C21" s="24">
        <f>IF($A21="","",COUNTIFS(tblCustomers[Area],$A21,tblCustomers[Customer Status],"Active"))</f>
        <v/>
      </c>
      <c r="D21" s="24">
        <f>IF($A21="","",COUNTIFS(tblBilling[Month],DB_Month,tblBilling[Area],$A21))</f>
        <v/>
      </c>
      <c r="E21" s="25">
        <f>IF($A21="","",SUMIFS(tblBilling[Monthly Fee],tblBilling[Month],DB_Month,tblBilling[Area],$A21))</f>
        <v/>
      </c>
      <c r="F21" s="25">
        <f>IF($A21="","",SUMIFS(tblBilling[Amount Paid],tblBilling[Month],DB_Month,tblBilling[Area],$A21))</f>
        <v/>
      </c>
      <c r="G21" s="25">
        <f>IF($A21="","",SUMIFS(tblBilling[Balance],tblBilling[Month],DB_Month,tblBilling[Area],$A21))</f>
        <v/>
      </c>
      <c r="H21" s="24">
        <f>IF($A21="","",COUNTIFS(tblBilling[Month],DB_Month,tblBilling[Area],$A21,tblBilling[Payment Status],"PAID"))</f>
        <v/>
      </c>
      <c r="I21" s="24">
        <f>IF($A21="","",COUNTIFS(tblBilling[Month],DB_Month,tblBilling[Area],$A21,tblBilling[Payment Status],"PARTIAL"))</f>
        <v/>
      </c>
      <c r="J21" s="24">
        <f>IF($A21="","",COUNTIFS(tblBilling[Month],DB_Month,tblBilling[Area],$A21,tblBilling[Payment Status],"PENDING"))</f>
        <v/>
      </c>
      <c r="K21" s="91">
        <f>IF(OR($A21="",N(E21)=0),"",F21/E21)</f>
        <v/>
      </c>
    </row>
    <row r="22">
      <c r="A22">
        <f>IFERROR(INDEX(tblAreas[Area Name],3)&amp;"","")</f>
        <v/>
      </c>
      <c r="B22" s="24">
        <f>IF($A22="","",COUNTIF(tblCustomers[Area],$A22))</f>
        <v/>
      </c>
      <c r="C22" s="24">
        <f>IF($A22="","",COUNTIFS(tblCustomers[Area],$A22,tblCustomers[Customer Status],"Active"))</f>
        <v/>
      </c>
      <c r="D22" s="24">
        <f>IF($A22="","",COUNTIFS(tblBilling[Month],DB_Month,tblBilling[Area],$A22))</f>
        <v/>
      </c>
      <c r="E22" s="25">
        <f>IF($A22="","",SUMIFS(tblBilling[Monthly Fee],tblBilling[Month],DB_Month,tblBilling[Area],$A22))</f>
        <v/>
      </c>
      <c r="F22" s="25">
        <f>IF($A22="","",SUMIFS(tblBilling[Amount Paid],tblBilling[Month],DB_Month,tblBilling[Area],$A22))</f>
        <v/>
      </c>
      <c r="G22" s="25">
        <f>IF($A22="","",SUMIFS(tblBilling[Balance],tblBilling[Month],DB_Month,tblBilling[Area],$A22))</f>
        <v/>
      </c>
      <c r="H22" s="24">
        <f>IF($A22="","",COUNTIFS(tblBilling[Month],DB_Month,tblBilling[Area],$A22,tblBilling[Payment Status],"PAID"))</f>
        <v/>
      </c>
      <c r="I22" s="24">
        <f>IF($A22="","",COUNTIFS(tblBilling[Month],DB_Month,tblBilling[Area],$A22,tblBilling[Payment Status],"PARTIAL"))</f>
        <v/>
      </c>
      <c r="J22" s="24">
        <f>IF($A22="","",COUNTIFS(tblBilling[Month],DB_Month,tblBilling[Area],$A22,tblBilling[Payment Status],"PENDING"))</f>
        <v/>
      </c>
      <c r="K22" s="91">
        <f>IF(OR($A22="",N(E22)=0),"",F22/E22)</f>
        <v/>
      </c>
    </row>
    <row r="23">
      <c r="A23">
        <f>IFERROR(INDEX(tblAreas[Area Name],4)&amp;"","")</f>
        <v/>
      </c>
      <c r="B23" s="24">
        <f>IF($A23="","",COUNTIF(tblCustomers[Area],$A23))</f>
        <v/>
      </c>
      <c r="C23" s="24">
        <f>IF($A23="","",COUNTIFS(tblCustomers[Area],$A23,tblCustomers[Customer Status],"Active"))</f>
        <v/>
      </c>
      <c r="D23" s="24">
        <f>IF($A23="","",COUNTIFS(tblBilling[Month],DB_Month,tblBilling[Area],$A23))</f>
        <v/>
      </c>
      <c r="E23" s="25">
        <f>IF($A23="","",SUMIFS(tblBilling[Monthly Fee],tblBilling[Month],DB_Month,tblBilling[Area],$A23))</f>
        <v/>
      </c>
      <c r="F23" s="25">
        <f>IF($A23="","",SUMIFS(tblBilling[Amount Paid],tblBilling[Month],DB_Month,tblBilling[Area],$A23))</f>
        <v/>
      </c>
      <c r="G23" s="25">
        <f>IF($A23="","",SUMIFS(tblBilling[Balance],tblBilling[Month],DB_Month,tblBilling[Area],$A23))</f>
        <v/>
      </c>
      <c r="H23" s="24">
        <f>IF($A23="","",COUNTIFS(tblBilling[Month],DB_Month,tblBilling[Area],$A23,tblBilling[Payment Status],"PAID"))</f>
        <v/>
      </c>
      <c r="I23" s="24">
        <f>IF($A23="","",COUNTIFS(tblBilling[Month],DB_Month,tblBilling[Area],$A23,tblBilling[Payment Status],"PARTIAL"))</f>
        <v/>
      </c>
      <c r="J23" s="24">
        <f>IF($A23="","",COUNTIFS(tblBilling[Month],DB_Month,tblBilling[Area],$A23,tblBilling[Payment Status],"PENDING"))</f>
        <v/>
      </c>
      <c r="K23" s="91">
        <f>IF(OR($A23="",N(E23)=0),"",F23/E23)</f>
        <v/>
      </c>
    </row>
    <row r="24">
      <c r="A24">
        <f>IFERROR(INDEX(tblAreas[Area Name],5)&amp;"","")</f>
        <v/>
      </c>
      <c r="B24" s="24">
        <f>IF($A24="","",COUNTIF(tblCustomers[Area],$A24))</f>
        <v/>
      </c>
      <c r="C24" s="24">
        <f>IF($A24="","",COUNTIFS(tblCustomers[Area],$A24,tblCustomers[Customer Status],"Active"))</f>
        <v/>
      </c>
      <c r="D24" s="24">
        <f>IF($A24="","",COUNTIFS(tblBilling[Month],DB_Month,tblBilling[Area],$A24))</f>
        <v/>
      </c>
      <c r="E24" s="25">
        <f>IF($A24="","",SUMIFS(tblBilling[Monthly Fee],tblBilling[Month],DB_Month,tblBilling[Area],$A24))</f>
        <v/>
      </c>
      <c r="F24" s="25">
        <f>IF($A24="","",SUMIFS(tblBilling[Amount Paid],tblBilling[Month],DB_Month,tblBilling[Area],$A24))</f>
        <v/>
      </c>
      <c r="G24" s="25">
        <f>IF($A24="","",SUMIFS(tblBilling[Balance],tblBilling[Month],DB_Month,tblBilling[Area],$A24))</f>
        <v/>
      </c>
      <c r="H24" s="24">
        <f>IF($A24="","",COUNTIFS(tblBilling[Month],DB_Month,tblBilling[Area],$A24,tblBilling[Payment Status],"PAID"))</f>
        <v/>
      </c>
      <c r="I24" s="24">
        <f>IF($A24="","",COUNTIFS(tblBilling[Month],DB_Month,tblBilling[Area],$A24,tblBilling[Payment Status],"PARTIAL"))</f>
        <v/>
      </c>
      <c r="J24" s="24">
        <f>IF($A24="","",COUNTIFS(tblBilling[Month],DB_Month,tblBilling[Area],$A24,tblBilling[Payment Status],"PENDING"))</f>
        <v/>
      </c>
      <c r="K24" s="91">
        <f>IF(OR($A24="",N(E24)=0),"",F24/E24)</f>
        <v/>
      </c>
    </row>
    <row r="25">
      <c r="A25">
        <f>IFERROR(INDEX(tblAreas[Area Name],6)&amp;"","")</f>
        <v/>
      </c>
      <c r="B25" s="24">
        <f>IF($A25="","",COUNTIF(tblCustomers[Area],$A25))</f>
        <v/>
      </c>
      <c r="C25" s="24">
        <f>IF($A25="","",COUNTIFS(tblCustomers[Area],$A25,tblCustomers[Customer Status],"Active"))</f>
        <v/>
      </c>
      <c r="D25" s="24">
        <f>IF($A25="","",COUNTIFS(tblBilling[Month],DB_Month,tblBilling[Area],$A25))</f>
        <v/>
      </c>
      <c r="E25" s="25">
        <f>IF($A25="","",SUMIFS(tblBilling[Monthly Fee],tblBilling[Month],DB_Month,tblBilling[Area],$A25))</f>
        <v/>
      </c>
      <c r="F25" s="25">
        <f>IF($A25="","",SUMIFS(tblBilling[Amount Paid],tblBilling[Month],DB_Month,tblBilling[Area],$A25))</f>
        <v/>
      </c>
      <c r="G25" s="25">
        <f>IF($A25="","",SUMIFS(tblBilling[Balance],tblBilling[Month],DB_Month,tblBilling[Area],$A25))</f>
        <v/>
      </c>
      <c r="H25" s="24">
        <f>IF($A25="","",COUNTIFS(tblBilling[Month],DB_Month,tblBilling[Area],$A25,tblBilling[Payment Status],"PAID"))</f>
        <v/>
      </c>
      <c r="I25" s="24">
        <f>IF($A25="","",COUNTIFS(tblBilling[Month],DB_Month,tblBilling[Area],$A25,tblBilling[Payment Status],"PARTIAL"))</f>
        <v/>
      </c>
      <c r="J25" s="24">
        <f>IF($A25="","",COUNTIFS(tblBilling[Month],DB_Month,tblBilling[Area],$A25,tblBilling[Payment Status],"PENDING"))</f>
        <v/>
      </c>
      <c r="K25" s="91">
        <f>IF(OR($A25="",N(E25)=0),"",F25/E25)</f>
        <v/>
      </c>
    </row>
    <row r="26">
      <c r="A26">
        <f>IFERROR(INDEX(tblAreas[Area Name],7)&amp;"","")</f>
        <v/>
      </c>
      <c r="B26" s="24">
        <f>IF($A26="","",COUNTIF(tblCustomers[Area],$A26))</f>
        <v/>
      </c>
      <c r="C26" s="24">
        <f>IF($A26="","",COUNTIFS(tblCustomers[Area],$A26,tblCustomers[Customer Status],"Active"))</f>
        <v/>
      </c>
      <c r="D26" s="24">
        <f>IF($A26="","",COUNTIFS(tblBilling[Month],DB_Month,tblBilling[Area],$A26))</f>
        <v/>
      </c>
      <c r="E26" s="25">
        <f>IF($A26="","",SUMIFS(tblBilling[Monthly Fee],tblBilling[Month],DB_Month,tblBilling[Area],$A26))</f>
        <v/>
      </c>
      <c r="F26" s="25">
        <f>IF($A26="","",SUMIFS(tblBilling[Amount Paid],tblBilling[Month],DB_Month,tblBilling[Area],$A26))</f>
        <v/>
      </c>
      <c r="G26" s="25">
        <f>IF($A26="","",SUMIFS(tblBilling[Balance],tblBilling[Month],DB_Month,tblBilling[Area],$A26))</f>
        <v/>
      </c>
      <c r="H26" s="24">
        <f>IF($A26="","",COUNTIFS(tblBilling[Month],DB_Month,tblBilling[Area],$A26,tblBilling[Payment Status],"PAID"))</f>
        <v/>
      </c>
      <c r="I26" s="24">
        <f>IF($A26="","",COUNTIFS(tblBilling[Month],DB_Month,tblBilling[Area],$A26,tblBilling[Payment Status],"PARTIAL"))</f>
        <v/>
      </c>
      <c r="J26" s="24">
        <f>IF($A26="","",COUNTIFS(tblBilling[Month],DB_Month,tblBilling[Area],$A26,tblBilling[Payment Status],"PENDING"))</f>
        <v/>
      </c>
      <c r="K26" s="91">
        <f>IF(OR($A26="",N(E26)=0),"",F26/E26)</f>
        <v/>
      </c>
    </row>
    <row r="27">
      <c r="A27">
        <f>IFERROR(INDEX(tblAreas[Area Name],8)&amp;"","")</f>
        <v/>
      </c>
      <c r="B27" s="24">
        <f>IF($A27="","",COUNTIF(tblCustomers[Area],$A27))</f>
        <v/>
      </c>
      <c r="C27" s="24">
        <f>IF($A27="","",COUNTIFS(tblCustomers[Area],$A27,tblCustomers[Customer Status],"Active"))</f>
        <v/>
      </c>
      <c r="D27" s="24">
        <f>IF($A27="","",COUNTIFS(tblBilling[Month],DB_Month,tblBilling[Area],$A27))</f>
        <v/>
      </c>
      <c r="E27" s="25">
        <f>IF($A27="","",SUMIFS(tblBilling[Monthly Fee],tblBilling[Month],DB_Month,tblBilling[Area],$A27))</f>
        <v/>
      </c>
      <c r="F27" s="25">
        <f>IF($A27="","",SUMIFS(tblBilling[Amount Paid],tblBilling[Month],DB_Month,tblBilling[Area],$A27))</f>
        <v/>
      </c>
      <c r="G27" s="25">
        <f>IF($A27="","",SUMIFS(tblBilling[Balance],tblBilling[Month],DB_Month,tblBilling[Area],$A27))</f>
        <v/>
      </c>
      <c r="H27" s="24">
        <f>IF($A27="","",COUNTIFS(tblBilling[Month],DB_Month,tblBilling[Area],$A27,tblBilling[Payment Status],"PAID"))</f>
        <v/>
      </c>
      <c r="I27" s="24">
        <f>IF($A27="","",COUNTIFS(tblBilling[Month],DB_Month,tblBilling[Area],$A27,tblBilling[Payment Status],"PARTIAL"))</f>
        <v/>
      </c>
      <c r="J27" s="24">
        <f>IF($A27="","",COUNTIFS(tblBilling[Month],DB_Month,tblBilling[Area],$A27,tblBilling[Payment Status],"PENDING"))</f>
        <v/>
      </c>
      <c r="K27" s="91">
        <f>IF(OR($A27="",N(E27)=0),"",F27/E27)</f>
        <v/>
      </c>
    </row>
    <row r="28">
      <c r="A28">
        <f>IFERROR(INDEX(tblAreas[Area Name],9)&amp;"","")</f>
        <v/>
      </c>
      <c r="B28" s="24">
        <f>IF($A28="","",COUNTIF(tblCustomers[Area],$A28))</f>
        <v/>
      </c>
      <c r="C28" s="24">
        <f>IF($A28="","",COUNTIFS(tblCustomers[Area],$A28,tblCustomers[Customer Status],"Active"))</f>
        <v/>
      </c>
      <c r="D28" s="24">
        <f>IF($A28="","",COUNTIFS(tblBilling[Month],DB_Month,tblBilling[Area],$A28))</f>
        <v/>
      </c>
      <c r="E28" s="25">
        <f>IF($A28="","",SUMIFS(tblBilling[Monthly Fee],tblBilling[Month],DB_Month,tblBilling[Area],$A28))</f>
        <v/>
      </c>
      <c r="F28" s="25">
        <f>IF($A28="","",SUMIFS(tblBilling[Amount Paid],tblBilling[Month],DB_Month,tblBilling[Area],$A28))</f>
        <v/>
      </c>
      <c r="G28" s="25">
        <f>IF($A28="","",SUMIFS(tblBilling[Balance],tblBilling[Month],DB_Month,tblBilling[Area],$A28))</f>
        <v/>
      </c>
      <c r="H28" s="24">
        <f>IF($A28="","",COUNTIFS(tblBilling[Month],DB_Month,tblBilling[Area],$A28,tblBilling[Payment Status],"PAID"))</f>
        <v/>
      </c>
      <c r="I28" s="24">
        <f>IF($A28="","",COUNTIFS(tblBilling[Month],DB_Month,tblBilling[Area],$A28,tblBilling[Payment Status],"PARTIAL"))</f>
        <v/>
      </c>
      <c r="J28" s="24">
        <f>IF($A28="","",COUNTIFS(tblBilling[Month],DB_Month,tblBilling[Area],$A28,tblBilling[Payment Status],"PENDING"))</f>
        <v/>
      </c>
      <c r="K28" s="91">
        <f>IF(OR($A28="",N(E28)=0),"",F28/E28)</f>
        <v/>
      </c>
    </row>
    <row r="29">
      <c r="A29">
        <f>IFERROR(INDEX(tblAreas[Area Name],10)&amp;"","")</f>
        <v/>
      </c>
      <c r="B29" s="24">
        <f>IF($A29="","",COUNTIF(tblCustomers[Area],$A29))</f>
        <v/>
      </c>
      <c r="C29" s="24">
        <f>IF($A29="","",COUNTIFS(tblCustomers[Area],$A29,tblCustomers[Customer Status],"Active"))</f>
        <v/>
      </c>
      <c r="D29" s="24">
        <f>IF($A29="","",COUNTIFS(tblBilling[Month],DB_Month,tblBilling[Area],$A29))</f>
        <v/>
      </c>
      <c r="E29" s="25">
        <f>IF($A29="","",SUMIFS(tblBilling[Monthly Fee],tblBilling[Month],DB_Month,tblBilling[Area],$A29))</f>
        <v/>
      </c>
      <c r="F29" s="25">
        <f>IF($A29="","",SUMIFS(tblBilling[Amount Paid],tblBilling[Month],DB_Month,tblBilling[Area],$A29))</f>
        <v/>
      </c>
      <c r="G29" s="25">
        <f>IF($A29="","",SUMIFS(tblBilling[Balance],tblBilling[Month],DB_Month,tblBilling[Area],$A29))</f>
        <v/>
      </c>
      <c r="H29" s="24">
        <f>IF($A29="","",COUNTIFS(tblBilling[Month],DB_Month,tblBilling[Area],$A29,tblBilling[Payment Status],"PAID"))</f>
        <v/>
      </c>
      <c r="I29" s="24">
        <f>IF($A29="","",COUNTIFS(tblBilling[Month],DB_Month,tblBilling[Area],$A29,tblBilling[Payment Status],"PARTIAL"))</f>
        <v/>
      </c>
      <c r="J29" s="24">
        <f>IF($A29="","",COUNTIFS(tblBilling[Month],DB_Month,tblBilling[Area],$A29,tblBilling[Payment Status],"PENDING"))</f>
        <v/>
      </c>
      <c r="K29" s="91">
        <f>IF(OR($A29="",N(E29)=0),"",F29/E29)</f>
        <v/>
      </c>
    </row>
    <row r="30">
      <c r="A30">
        <f>IFERROR(INDEX(tblAreas[Area Name],11)&amp;"","")</f>
        <v/>
      </c>
      <c r="B30" s="24">
        <f>IF($A30="","",COUNTIF(tblCustomers[Area],$A30))</f>
        <v/>
      </c>
      <c r="C30" s="24">
        <f>IF($A30="","",COUNTIFS(tblCustomers[Area],$A30,tblCustomers[Customer Status],"Active"))</f>
        <v/>
      </c>
      <c r="D30" s="24">
        <f>IF($A30="","",COUNTIFS(tblBilling[Month],DB_Month,tblBilling[Area],$A30))</f>
        <v/>
      </c>
      <c r="E30" s="25">
        <f>IF($A30="","",SUMIFS(tblBilling[Monthly Fee],tblBilling[Month],DB_Month,tblBilling[Area],$A30))</f>
        <v/>
      </c>
      <c r="F30" s="25">
        <f>IF($A30="","",SUMIFS(tblBilling[Amount Paid],tblBilling[Month],DB_Month,tblBilling[Area],$A30))</f>
        <v/>
      </c>
      <c r="G30" s="25">
        <f>IF($A30="","",SUMIFS(tblBilling[Balance],tblBilling[Month],DB_Month,tblBilling[Area],$A30))</f>
        <v/>
      </c>
      <c r="H30" s="24">
        <f>IF($A30="","",COUNTIFS(tblBilling[Month],DB_Month,tblBilling[Area],$A30,tblBilling[Payment Status],"PAID"))</f>
        <v/>
      </c>
      <c r="I30" s="24">
        <f>IF($A30="","",COUNTIFS(tblBilling[Month],DB_Month,tblBilling[Area],$A30,tblBilling[Payment Status],"PARTIAL"))</f>
        <v/>
      </c>
      <c r="J30" s="24">
        <f>IF($A30="","",COUNTIFS(tblBilling[Month],DB_Month,tblBilling[Area],$A30,tblBilling[Payment Status],"PENDING"))</f>
        <v/>
      </c>
      <c r="K30" s="91">
        <f>IF(OR($A30="",N(E30)=0),"",F30/E30)</f>
        <v/>
      </c>
    </row>
    <row r="31">
      <c r="A31">
        <f>IFERROR(INDEX(tblAreas[Area Name],12)&amp;"","")</f>
        <v/>
      </c>
      <c r="B31" s="24">
        <f>IF($A31="","",COUNTIF(tblCustomers[Area],$A31))</f>
        <v/>
      </c>
      <c r="C31" s="24">
        <f>IF($A31="","",COUNTIFS(tblCustomers[Area],$A31,tblCustomers[Customer Status],"Active"))</f>
        <v/>
      </c>
      <c r="D31" s="24">
        <f>IF($A31="","",COUNTIFS(tblBilling[Month],DB_Month,tblBilling[Area],$A31))</f>
        <v/>
      </c>
      <c r="E31" s="25">
        <f>IF($A31="","",SUMIFS(tblBilling[Monthly Fee],tblBilling[Month],DB_Month,tblBilling[Area],$A31))</f>
        <v/>
      </c>
      <c r="F31" s="25">
        <f>IF($A31="","",SUMIFS(tblBilling[Amount Paid],tblBilling[Month],DB_Month,tblBilling[Area],$A31))</f>
        <v/>
      </c>
      <c r="G31" s="25">
        <f>IF($A31="","",SUMIFS(tblBilling[Balance],tblBilling[Month],DB_Month,tblBilling[Area],$A31))</f>
        <v/>
      </c>
      <c r="H31" s="24">
        <f>IF($A31="","",COUNTIFS(tblBilling[Month],DB_Month,tblBilling[Area],$A31,tblBilling[Payment Status],"PAID"))</f>
        <v/>
      </c>
      <c r="I31" s="24">
        <f>IF($A31="","",COUNTIFS(tblBilling[Month],DB_Month,tblBilling[Area],$A31,tblBilling[Payment Status],"PARTIAL"))</f>
        <v/>
      </c>
      <c r="J31" s="24">
        <f>IF($A31="","",COUNTIFS(tblBilling[Month],DB_Month,tblBilling[Area],$A31,tblBilling[Payment Status],"PENDING"))</f>
        <v/>
      </c>
      <c r="K31" s="91">
        <f>IF(OR($A31="",N(E31)=0),"",F31/E31)</f>
        <v/>
      </c>
    </row>
    <row r="32">
      <c r="A32">
        <f>IFERROR(INDEX(tblAreas[Area Name],13)&amp;"","")</f>
        <v/>
      </c>
      <c r="B32" s="24">
        <f>IF($A32="","",COUNTIF(tblCustomers[Area],$A32))</f>
        <v/>
      </c>
      <c r="C32" s="24">
        <f>IF($A32="","",COUNTIFS(tblCustomers[Area],$A32,tblCustomers[Customer Status],"Active"))</f>
        <v/>
      </c>
      <c r="D32" s="24">
        <f>IF($A32="","",COUNTIFS(tblBilling[Month],DB_Month,tblBilling[Area],$A32))</f>
        <v/>
      </c>
      <c r="E32" s="25">
        <f>IF($A32="","",SUMIFS(tblBilling[Monthly Fee],tblBilling[Month],DB_Month,tblBilling[Area],$A32))</f>
        <v/>
      </c>
      <c r="F32" s="25">
        <f>IF($A32="","",SUMIFS(tblBilling[Amount Paid],tblBilling[Month],DB_Month,tblBilling[Area],$A32))</f>
        <v/>
      </c>
      <c r="G32" s="25">
        <f>IF($A32="","",SUMIFS(tblBilling[Balance],tblBilling[Month],DB_Month,tblBilling[Area],$A32))</f>
        <v/>
      </c>
      <c r="H32" s="24">
        <f>IF($A32="","",COUNTIFS(tblBilling[Month],DB_Month,tblBilling[Area],$A32,tblBilling[Payment Status],"PAID"))</f>
        <v/>
      </c>
      <c r="I32" s="24">
        <f>IF($A32="","",COUNTIFS(tblBilling[Month],DB_Month,tblBilling[Area],$A32,tblBilling[Payment Status],"PARTIAL"))</f>
        <v/>
      </c>
      <c r="J32" s="24">
        <f>IF($A32="","",COUNTIFS(tblBilling[Month],DB_Month,tblBilling[Area],$A32,tblBilling[Payment Status],"PENDING"))</f>
        <v/>
      </c>
      <c r="K32" s="91">
        <f>IF(OR($A32="",N(E32)=0),"",F32/E32)</f>
        <v/>
      </c>
    </row>
    <row r="33">
      <c r="A33">
        <f>IFERROR(INDEX(tblAreas[Area Name],14)&amp;"","")</f>
        <v/>
      </c>
      <c r="B33" s="24">
        <f>IF($A33="","",COUNTIF(tblCustomers[Area],$A33))</f>
        <v/>
      </c>
      <c r="C33" s="24">
        <f>IF($A33="","",COUNTIFS(tblCustomers[Area],$A33,tblCustomers[Customer Status],"Active"))</f>
        <v/>
      </c>
      <c r="D33" s="24">
        <f>IF($A33="","",COUNTIFS(tblBilling[Month],DB_Month,tblBilling[Area],$A33))</f>
        <v/>
      </c>
      <c r="E33" s="25">
        <f>IF($A33="","",SUMIFS(tblBilling[Monthly Fee],tblBilling[Month],DB_Month,tblBilling[Area],$A33))</f>
        <v/>
      </c>
      <c r="F33" s="25">
        <f>IF($A33="","",SUMIFS(tblBilling[Amount Paid],tblBilling[Month],DB_Month,tblBilling[Area],$A33))</f>
        <v/>
      </c>
      <c r="G33" s="25">
        <f>IF($A33="","",SUMIFS(tblBilling[Balance],tblBilling[Month],DB_Month,tblBilling[Area],$A33))</f>
        <v/>
      </c>
      <c r="H33" s="24">
        <f>IF($A33="","",COUNTIFS(tblBilling[Month],DB_Month,tblBilling[Area],$A33,tblBilling[Payment Status],"PAID"))</f>
        <v/>
      </c>
      <c r="I33" s="24">
        <f>IF($A33="","",COUNTIFS(tblBilling[Month],DB_Month,tblBilling[Area],$A33,tblBilling[Payment Status],"PARTIAL"))</f>
        <v/>
      </c>
      <c r="J33" s="24">
        <f>IF($A33="","",COUNTIFS(tblBilling[Month],DB_Month,tblBilling[Area],$A33,tblBilling[Payment Status],"PENDING"))</f>
        <v/>
      </c>
      <c r="K33" s="91">
        <f>IF(OR($A33="",N(E33)=0),"",F33/E33)</f>
        <v/>
      </c>
    </row>
    <row r="34">
      <c r="A34">
        <f>IFERROR(INDEX(tblAreas[Area Name],15)&amp;"","")</f>
        <v/>
      </c>
      <c r="B34" s="24">
        <f>IF($A34="","",COUNTIF(tblCustomers[Area],$A34))</f>
        <v/>
      </c>
      <c r="C34" s="24">
        <f>IF($A34="","",COUNTIFS(tblCustomers[Area],$A34,tblCustomers[Customer Status],"Active"))</f>
        <v/>
      </c>
      <c r="D34" s="24">
        <f>IF($A34="","",COUNTIFS(tblBilling[Month],DB_Month,tblBilling[Area],$A34))</f>
        <v/>
      </c>
      <c r="E34" s="25">
        <f>IF($A34="","",SUMIFS(tblBilling[Monthly Fee],tblBilling[Month],DB_Month,tblBilling[Area],$A34))</f>
        <v/>
      </c>
      <c r="F34" s="25">
        <f>IF($A34="","",SUMIFS(tblBilling[Amount Paid],tblBilling[Month],DB_Month,tblBilling[Area],$A34))</f>
        <v/>
      </c>
      <c r="G34" s="25">
        <f>IF($A34="","",SUMIFS(tblBilling[Balance],tblBilling[Month],DB_Month,tblBilling[Area],$A34))</f>
        <v/>
      </c>
      <c r="H34" s="24">
        <f>IF($A34="","",COUNTIFS(tblBilling[Month],DB_Month,tblBilling[Area],$A34,tblBilling[Payment Status],"PAID"))</f>
        <v/>
      </c>
      <c r="I34" s="24">
        <f>IF($A34="","",COUNTIFS(tblBilling[Month],DB_Month,tblBilling[Area],$A34,tblBilling[Payment Status],"PARTIAL"))</f>
        <v/>
      </c>
      <c r="J34" s="24">
        <f>IF($A34="","",COUNTIFS(tblBilling[Month],DB_Month,tblBilling[Area],$A34,tblBilling[Payment Status],"PENDING"))</f>
        <v/>
      </c>
      <c r="K34" s="91">
        <f>IF(OR($A34="",N(E34)=0),"",F34/E34)</f>
        <v/>
      </c>
    </row>
    <row r="35">
      <c r="A35">
        <f>IFERROR(INDEX(tblAreas[Area Name],16)&amp;"","")</f>
        <v/>
      </c>
      <c r="B35" s="24">
        <f>IF($A35="","",COUNTIF(tblCustomers[Area],$A35))</f>
        <v/>
      </c>
      <c r="C35" s="24">
        <f>IF($A35="","",COUNTIFS(tblCustomers[Area],$A35,tblCustomers[Customer Status],"Active"))</f>
        <v/>
      </c>
      <c r="D35" s="24">
        <f>IF($A35="","",COUNTIFS(tblBilling[Month],DB_Month,tblBilling[Area],$A35))</f>
        <v/>
      </c>
      <c r="E35" s="25">
        <f>IF($A35="","",SUMIFS(tblBilling[Monthly Fee],tblBilling[Month],DB_Month,tblBilling[Area],$A35))</f>
        <v/>
      </c>
      <c r="F35" s="25">
        <f>IF($A35="","",SUMIFS(tblBilling[Amount Paid],tblBilling[Month],DB_Month,tblBilling[Area],$A35))</f>
        <v/>
      </c>
      <c r="G35" s="25">
        <f>IF($A35="","",SUMIFS(tblBilling[Balance],tblBilling[Month],DB_Month,tblBilling[Area],$A35))</f>
        <v/>
      </c>
      <c r="H35" s="24">
        <f>IF($A35="","",COUNTIFS(tblBilling[Month],DB_Month,tblBilling[Area],$A35,tblBilling[Payment Status],"PAID"))</f>
        <v/>
      </c>
      <c r="I35" s="24">
        <f>IF($A35="","",COUNTIFS(tblBilling[Month],DB_Month,tblBilling[Area],$A35,tblBilling[Payment Status],"PARTIAL"))</f>
        <v/>
      </c>
      <c r="J35" s="24">
        <f>IF($A35="","",COUNTIFS(tblBilling[Month],DB_Month,tblBilling[Area],$A35,tblBilling[Payment Status],"PENDING"))</f>
        <v/>
      </c>
      <c r="K35" s="91">
        <f>IF(OR($A35="",N(E35)=0),"",F35/E35)</f>
        <v/>
      </c>
    </row>
    <row r="36">
      <c r="A36">
        <f>IFERROR(INDEX(tblAreas[Area Name],17)&amp;"","")</f>
        <v/>
      </c>
      <c r="B36" s="24">
        <f>IF($A36="","",COUNTIF(tblCustomers[Area],$A36))</f>
        <v/>
      </c>
      <c r="C36" s="24">
        <f>IF($A36="","",COUNTIFS(tblCustomers[Area],$A36,tblCustomers[Customer Status],"Active"))</f>
        <v/>
      </c>
      <c r="D36" s="24">
        <f>IF($A36="","",COUNTIFS(tblBilling[Month],DB_Month,tblBilling[Area],$A36))</f>
        <v/>
      </c>
      <c r="E36" s="25">
        <f>IF($A36="","",SUMIFS(tblBilling[Monthly Fee],tblBilling[Month],DB_Month,tblBilling[Area],$A36))</f>
        <v/>
      </c>
      <c r="F36" s="25">
        <f>IF($A36="","",SUMIFS(tblBilling[Amount Paid],tblBilling[Month],DB_Month,tblBilling[Area],$A36))</f>
        <v/>
      </c>
      <c r="G36" s="25">
        <f>IF($A36="","",SUMIFS(tblBilling[Balance],tblBilling[Month],DB_Month,tblBilling[Area],$A36))</f>
        <v/>
      </c>
      <c r="H36" s="24">
        <f>IF($A36="","",COUNTIFS(tblBilling[Month],DB_Month,tblBilling[Area],$A36,tblBilling[Payment Status],"PAID"))</f>
        <v/>
      </c>
      <c r="I36" s="24">
        <f>IF($A36="","",COUNTIFS(tblBilling[Month],DB_Month,tblBilling[Area],$A36,tblBilling[Payment Status],"PARTIAL"))</f>
        <v/>
      </c>
      <c r="J36" s="24">
        <f>IF($A36="","",COUNTIFS(tblBilling[Month],DB_Month,tblBilling[Area],$A36,tblBilling[Payment Status],"PENDING"))</f>
        <v/>
      </c>
      <c r="K36" s="91">
        <f>IF(OR($A36="",N(E36)=0),"",F36/E36)</f>
        <v/>
      </c>
    </row>
    <row r="37">
      <c r="A37">
        <f>IFERROR(INDEX(tblAreas[Area Name],18)&amp;"","")</f>
        <v/>
      </c>
      <c r="B37" s="24">
        <f>IF($A37="","",COUNTIF(tblCustomers[Area],$A37))</f>
        <v/>
      </c>
      <c r="C37" s="24">
        <f>IF($A37="","",COUNTIFS(tblCustomers[Area],$A37,tblCustomers[Customer Status],"Active"))</f>
        <v/>
      </c>
      <c r="D37" s="24">
        <f>IF($A37="","",COUNTIFS(tblBilling[Month],DB_Month,tblBilling[Area],$A37))</f>
        <v/>
      </c>
      <c r="E37" s="25">
        <f>IF($A37="","",SUMIFS(tblBilling[Monthly Fee],tblBilling[Month],DB_Month,tblBilling[Area],$A37))</f>
        <v/>
      </c>
      <c r="F37" s="25">
        <f>IF($A37="","",SUMIFS(tblBilling[Amount Paid],tblBilling[Month],DB_Month,tblBilling[Area],$A37))</f>
        <v/>
      </c>
      <c r="G37" s="25">
        <f>IF($A37="","",SUMIFS(tblBilling[Balance],tblBilling[Month],DB_Month,tblBilling[Area],$A37))</f>
        <v/>
      </c>
      <c r="H37" s="24">
        <f>IF($A37="","",COUNTIFS(tblBilling[Month],DB_Month,tblBilling[Area],$A37,tblBilling[Payment Status],"PAID"))</f>
        <v/>
      </c>
      <c r="I37" s="24">
        <f>IF($A37="","",COUNTIFS(tblBilling[Month],DB_Month,tblBilling[Area],$A37,tblBilling[Payment Status],"PARTIAL"))</f>
        <v/>
      </c>
      <c r="J37" s="24">
        <f>IF($A37="","",COUNTIFS(tblBilling[Month],DB_Month,tblBilling[Area],$A37,tblBilling[Payment Status],"PENDING"))</f>
        <v/>
      </c>
      <c r="K37" s="91">
        <f>IF(OR($A37="",N(E37)=0),"",F37/E37)</f>
        <v/>
      </c>
    </row>
    <row r="38">
      <c r="A38">
        <f>IFERROR(INDEX(tblAreas[Area Name],19)&amp;"","")</f>
        <v/>
      </c>
      <c r="B38" s="24">
        <f>IF($A38="","",COUNTIF(tblCustomers[Area],$A38))</f>
        <v/>
      </c>
      <c r="C38" s="24">
        <f>IF($A38="","",COUNTIFS(tblCustomers[Area],$A38,tblCustomers[Customer Status],"Active"))</f>
        <v/>
      </c>
      <c r="D38" s="24">
        <f>IF($A38="","",COUNTIFS(tblBilling[Month],DB_Month,tblBilling[Area],$A38))</f>
        <v/>
      </c>
      <c r="E38" s="25">
        <f>IF($A38="","",SUMIFS(tblBilling[Monthly Fee],tblBilling[Month],DB_Month,tblBilling[Area],$A38))</f>
        <v/>
      </c>
      <c r="F38" s="25">
        <f>IF($A38="","",SUMIFS(tblBilling[Amount Paid],tblBilling[Month],DB_Month,tblBilling[Area],$A38))</f>
        <v/>
      </c>
      <c r="G38" s="25">
        <f>IF($A38="","",SUMIFS(tblBilling[Balance],tblBilling[Month],DB_Month,tblBilling[Area],$A38))</f>
        <v/>
      </c>
      <c r="H38" s="24">
        <f>IF($A38="","",COUNTIFS(tblBilling[Month],DB_Month,tblBilling[Area],$A38,tblBilling[Payment Status],"PAID"))</f>
        <v/>
      </c>
      <c r="I38" s="24">
        <f>IF($A38="","",COUNTIFS(tblBilling[Month],DB_Month,tblBilling[Area],$A38,tblBilling[Payment Status],"PARTIAL"))</f>
        <v/>
      </c>
      <c r="J38" s="24">
        <f>IF($A38="","",COUNTIFS(tblBilling[Month],DB_Month,tblBilling[Area],$A38,tblBilling[Payment Status],"PENDING"))</f>
        <v/>
      </c>
      <c r="K38" s="91">
        <f>IF(OR($A38="",N(E38)=0),"",F38/E38)</f>
        <v/>
      </c>
    </row>
    <row r="39">
      <c r="A39">
        <f>IFERROR(INDEX(tblAreas[Area Name],20)&amp;"","")</f>
        <v/>
      </c>
      <c r="B39" s="24">
        <f>IF($A39="","",COUNTIF(tblCustomers[Area],$A39))</f>
        <v/>
      </c>
      <c r="C39" s="24">
        <f>IF($A39="","",COUNTIFS(tblCustomers[Area],$A39,tblCustomers[Customer Status],"Active"))</f>
        <v/>
      </c>
      <c r="D39" s="24">
        <f>IF($A39="","",COUNTIFS(tblBilling[Month],DB_Month,tblBilling[Area],$A39))</f>
        <v/>
      </c>
      <c r="E39" s="25">
        <f>IF($A39="","",SUMIFS(tblBilling[Monthly Fee],tblBilling[Month],DB_Month,tblBilling[Area],$A39))</f>
        <v/>
      </c>
      <c r="F39" s="25">
        <f>IF($A39="","",SUMIFS(tblBilling[Amount Paid],tblBilling[Month],DB_Month,tblBilling[Area],$A39))</f>
        <v/>
      </c>
      <c r="G39" s="25">
        <f>IF($A39="","",SUMIFS(tblBilling[Balance],tblBilling[Month],DB_Month,tblBilling[Area],$A39))</f>
        <v/>
      </c>
      <c r="H39" s="24">
        <f>IF($A39="","",COUNTIFS(tblBilling[Month],DB_Month,tblBilling[Area],$A39,tblBilling[Payment Status],"PAID"))</f>
        <v/>
      </c>
      <c r="I39" s="24">
        <f>IF($A39="","",COUNTIFS(tblBilling[Month],DB_Month,tblBilling[Area],$A39,tblBilling[Payment Status],"PARTIAL"))</f>
        <v/>
      </c>
      <c r="J39" s="24">
        <f>IF($A39="","",COUNTIFS(tblBilling[Month],DB_Month,tblBilling[Area],$A39,tblBilling[Payment Status],"PENDING"))</f>
        <v/>
      </c>
      <c r="K39" s="91">
        <f>IF(OR($A39="",N(E39)=0),"",F39/E39)</f>
        <v/>
      </c>
    </row>
    <row r="40">
      <c r="A40">
        <f>IFERROR(INDEX(tblAreas[Area Name],21)&amp;"","")</f>
        <v/>
      </c>
      <c r="B40" s="24">
        <f>IF($A40="","",COUNTIF(tblCustomers[Area],$A40))</f>
        <v/>
      </c>
      <c r="C40" s="24">
        <f>IF($A40="","",COUNTIFS(tblCustomers[Area],$A40,tblCustomers[Customer Status],"Active"))</f>
        <v/>
      </c>
      <c r="D40" s="24">
        <f>IF($A40="","",COUNTIFS(tblBilling[Month],DB_Month,tblBilling[Area],$A40))</f>
        <v/>
      </c>
      <c r="E40" s="25">
        <f>IF($A40="","",SUMIFS(tblBilling[Monthly Fee],tblBilling[Month],DB_Month,tblBilling[Area],$A40))</f>
        <v/>
      </c>
      <c r="F40" s="25">
        <f>IF($A40="","",SUMIFS(tblBilling[Amount Paid],tblBilling[Month],DB_Month,tblBilling[Area],$A40))</f>
        <v/>
      </c>
      <c r="G40" s="25">
        <f>IF($A40="","",SUMIFS(tblBilling[Balance],tblBilling[Month],DB_Month,tblBilling[Area],$A40))</f>
        <v/>
      </c>
      <c r="H40" s="24">
        <f>IF($A40="","",COUNTIFS(tblBilling[Month],DB_Month,tblBilling[Area],$A40,tblBilling[Payment Status],"PAID"))</f>
        <v/>
      </c>
      <c r="I40" s="24">
        <f>IF($A40="","",COUNTIFS(tblBilling[Month],DB_Month,tblBilling[Area],$A40,tblBilling[Payment Status],"PARTIAL"))</f>
        <v/>
      </c>
      <c r="J40" s="24">
        <f>IF($A40="","",COUNTIFS(tblBilling[Month],DB_Month,tblBilling[Area],$A40,tblBilling[Payment Status],"PENDING"))</f>
        <v/>
      </c>
      <c r="K40" s="91">
        <f>IF(OR($A40="",N(E40)=0),"",F40/E40)</f>
        <v/>
      </c>
    </row>
    <row r="41">
      <c r="A41">
        <f>IFERROR(INDEX(tblAreas[Area Name],22)&amp;"","")</f>
        <v/>
      </c>
      <c r="B41" s="24">
        <f>IF($A41="","",COUNTIF(tblCustomers[Area],$A41))</f>
        <v/>
      </c>
      <c r="C41" s="24">
        <f>IF($A41="","",COUNTIFS(tblCustomers[Area],$A41,tblCustomers[Customer Status],"Active"))</f>
        <v/>
      </c>
      <c r="D41" s="24">
        <f>IF($A41="","",COUNTIFS(tblBilling[Month],DB_Month,tblBilling[Area],$A41))</f>
        <v/>
      </c>
      <c r="E41" s="25">
        <f>IF($A41="","",SUMIFS(tblBilling[Monthly Fee],tblBilling[Month],DB_Month,tblBilling[Area],$A41))</f>
        <v/>
      </c>
      <c r="F41" s="25">
        <f>IF($A41="","",SUMIFS(tblBilling[Amount Paid],tblBilling[Month],DB_Month,tblBilling[Area],$A41))</f>
        <v/>
      </c>
      <c r="G41" s="25">
        <f>IF($A41="","",SUMIFS(tblBilling[Balance],tblBilling[Month],DB_Month,tblBilling[Area],$A41))</f>
        <v/>
      </c>
      <c r="H41" s="24">
        <f>IF($A41="","",COUNTIFS(tblBilling[Month],DB_Month,tblBilling[Area],$A41,tblBilling[Payment Status],"PAID"))</f>
        <v/>
      </c>
      <c r="I41" s="24">
        <f>IF($A41="","",COUNTIFS(tblBilling[Month],DB_Month,tblBilling[Area],$A41,tblBilling[Payment Status],"PARTIAL"))</f>
        <v/>
      </c>
      <c r="J41" s="24">
        <f>IF($A41="","",COUNTIFS(tblBilling[Month],DB_Month,tblBilling[Area],$A41,tblBilling[Payment Status],"PENDING"))</f>
        <v/>
      </c>
      <c r="K41" s="91">
        <f>IF(OR($A41="",N(E41)=0),"",F41/E41)</f>
        <v/>
      </c>
    </row>
    <row r="42">
      <c r="A42">
        <f>IFERROR(INDEX(tblAreas[Area Name],23)&amp;"","")</f>
        <v/>
      </c>
      <c r="B42" s="24">
        <f>IF($A42="","",COUNTIF(tblCustomers[Area],$A42))</f>
        <v/>
      </c>
      <c r="C42" s="24">
        <f>IF($A42="","",COUNTIFS(tblCustomers[Area],$A42,tblCustomers[Customer Status],"Active"))</f>
        <v/>
      </c>
      <c r="D42" s="24">
        <f>IF($A42="","",COUNTIFS(tblBilling[Month],DB_Month,tblBilling[Area],$A42))</f>
        <v/>
      </c>
      <c r="E42" s="25">
        <f>IF($A42="","",SUMIFS(tblBilling[Monthly Fee],tblBilling[Month],DB_Month,tblBilling[Area],$A42))</f>
        <v/>
      </c>
      <c r="F42" s="25">
        <f>IF($A42="","",SUMIFS(tblBilling[Amount Paid],tblBilling[Month],DB_Month,tblBilling[Area],$A42))</f>
        <v/>
      </c>
      <c r="G42" s="25">
        <f>IF($A42="","",SUMIFS(tblBilling[Balance],tblBilling[Month],DB_Month,tblBilling[Area],$A42))</f>
        <v/>
      </c>
      <c r="H42" s="24">
        <f>IF($A42="","",COUNTIFS(tblBilling[Month],DB_Month,tblBilling[Area],$A42,tblBilling[Payment Status],"PAID"))</f>
        <v/>
      </c>
      <c r="I42" s="24">
        <f>IF($A42="","",COUNTIFS(tblBilling[Month],DB_Month,tblBilling[Area],$A42,tblBilling[Payment Status],"PARTIAL"))</f>
        <v/>
      </c>
      <c r="J42" s="24">
        <f>IF($A42="","",COUNTIFS(tblBilling[Month],DB_Month,tblBilling[Area],$A42,tblBilling[Payment Status],"PENDING"))</f>
        <v/>
      </c>
      <c r="K42" s="91">
        <f>IF(OR($A42="",N(E42)=0),"",F42/E42)</f>
        <v/>
      </c>
    </row>
    <row r="43">
      <c r="A43">
        <f>IFERROR(INDEX(tblAreas[Area Name],24)&amp;"","")</f>
        <v/>
      </c>
      <c r="B43" s="24">
        <f>IF($A43="","",COUNTIF(tblCustomers[Area],$A43))</f>
        <v/>
      </c>
      <c r="C43" s="24">
        <f>IF($A43="","",COUNTIFS(tblCustomers[Area],$A43,tblCustomers[Customer Status],"Active"))</f>
        <v/>
      </c>
      <c r="D43" s="24">
        <f>IF($A43="","",COUNTIFS(tblBilling[Month],DB_Month,tblBilling[Area],$A43))</f>
        <v/>
      </c>
      <c r="E43" s="25">
        <f>IF($A43="","",SUMIFS(tblBilling[Monthly Fee],tblBilling[Month],DB_Month,tblBilling[Area],$A43))</f>
        <v/>
      </c>
      <c r="F43" s="25">
        <f>IF($A43="","",SUMIFS(tblBilling[Amount Paid],tblBilling[Month],DB_Month,tblBilling[Area],$A43))</f>
        <v/>
      </c>
      <c r="G43" s="25">
        <f>IF($A43="","",SUMIFS(tblBilling[Balance],tblBilling[Month],DB_Month,tblBilling[Area],$A43))</f>
        <v/>
      </c>
      <c r="H43" s="24">
        <f>IF($A43="","",COUNTIFS(tblBilling[Month],DB_Month,tblBilling[Area],$A43,tblBilling[Payment Status],"PAID"))</f>
        <v/>
      </c>
      <c r="I43" s="24">
        <f>IF($A43="","",COUNTIFS(tblBilling[Month],DB_Month,tblBilling[Area],$A43,tblBilling[Payment Status],"PARTIAL"))</f>
        <v/>
      </c>
      <c r="J43" s="24">
        <f>IF($A43="","",COUNTIFS(tblBilling[Month],DB_Month,tblBilling[Area],$A43,tblBilling[Payment Status],"PENDING"))</f>
        <v/>
      </c>
      <c r="K43" s="91">
        <f>IF(OR($A43="",N(E43)=0),"",F43/E43)</f>
        <v/>
      </c>
    </row>
    <row r="44">
      <c r="A44">
        <f>IFERROR(INDEX(tblAreas[Area Name],25)&amp;"","")</f>
        <v/>
      </c>
      <c r="B44" s="24">
        <f>IF($A44="","",COUNTIF(tblCustomers[Area],$A44))</f>
        <v/>
      </c>
      <c r="C44" s="24">
        <f>IF($A44="","",COUNTIFS(tblCustomers[Area],$A44,tblCustomers[Customer Status],"Active"))</f>
        <v/>
      </c>
      <c r="D44" s="24">
        <f>IF($A44="","",COUNTIFS(tblBilling[Month],DB_Month,tblBilling[Area],$A44))</f>
        <v/>
      </c>
      <c r="E44" s="25">
        <f>IF($A44="","",SUMIFS(tblBilling[Monthly Fee],tblBilling[Month],DB_Month,tblBilling[Area],$A44))</f>
        <v/>
      </c>
      <c r="F44" s="25">
        <f>IF($A44="","",SUMIFS(tblBilling[Amount Paid],tblBilling[Month],DB_Month,tblBilling[Area],$A44))</f>
        <v/>
      </c>
      <c r="G44" s="25">
        <f>IF($A44="","",SUMIFS(tblBilling[Balance],tblBilling[Month],DB_Month,tblBilling[Area],$A44))</f>
        <v/>
      </c>
      <c r="H44" s="24">
        <f>IF($A44="","",COUNTIFS(tblBilling[Month],DB_Month,tblBilling[Area],$A44,tblBilling[Payment Status],"PAID"))</f>
        <v/>
      </c>
      <c r="I44" s="24">
        <f>IF($A44="","",COUNTIFS(tblBilling[Month],DB_Month,tblBilling[Area],$A44,tblBilling[Payment Status],"PARTIAL"))</f>
        <v/>
      </c>
      <c r="J44" s="24">
        <f>IF($A44="","",COUNTIFS(tblBilling[Month],DB_Month,tblBilling[Area],$A44,tblBilling[Payment Status],"PENDING"))</f>
        <v/>
      </c>
      <c r="K44" s="91">
        <f>IF(OR($A44="",N(E44)=0),"",F44/E44)</f>
        <v/>
      </c>
    </row>
    <row r="47">
      <c r="A47" s="7" t="inlineStr">
        <is>
          <t>COLLECTOR-WISE RECOVERY &amp; CASH (selected month)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23" t="inlineStr">
        <is>
          <t>Collector ID</t>
        </is>
      </c>
      <c r="B48" s="23" t="inlineStr">
        <is>
          <t>Collector</t>
        </is>
      </c>
      <c r="C48" s="23" t="inlineStr">
        <is>
          <t>Assigned Customers</t>
        </is>
      </c>
      <c r="D48" s="23" t="inlineStr">
        <is>
          <t>Assigned Billing</t>
        </is>
      </c>
      <c r="E48" s="23" t="inlineStr">
        <is>
          <t>Recovered</t>
        </is>
      </c>
      <c r="F48" s="23" t="inlineStr">
        <is>
          <t>Pending (Balance)</t>
        </is>
      </c>
      <c r="G48" s="23" t="inlineStr">
        <is>
          <t>Paid</t>
        </is>
      </c>
      <c r="H48" s="23" t="inlineStr">
        <is>
          <t>Partial</t>
        </is>
      </c>
      <c r="I48" s="23" t="inlineStr">
        <is>
          <t>Pending</t>
        </is>
      </c>
      <c r="J48" s="23" t="inlineStr">
        <is>
          <t>Recovery %</t>
        </is>
      </c>
      <c r="K48" s="23" t="inlineStr">
        <is>
          <t>Expected Cash</t>
        </is>
      </c>
      <c r="L48" s="23" t="inlineStr">
        <is>
          <t>Actual Cash</t>
        </is>
      </c>
      <c r="M48" s="23" t="inlineStr">
        <is>
          <t>Difference</t>
        </is>
      </c>
      <c r="N48" s="23" t="inlineStr">
        <is>
          <t>Status</t>
        </is>
      </c>
    </row>
    <row r="49">
      <c r="A49">
        <f>IFERROR(INDEX(tblCollectors[Collector ID],1)&amp;"","")</f>
        <v/>
      </c>
      <c r="B49">
        <f>IF($A49="","",INDEX(tblCollectors[Collector Name],1))</f>
        <v/>
      </c>
      <c r="C49" s="24">
        <f>IF($B49="","",COUNTIFS(tblBilling[Month],DB_Month,tblBilling[Collector ID],$A49))</f>
        <v/>
      </c>
      <c r="D49" s="25">
        <f>IF($B49="","",SUMIFS(tblBilling[Monthly Fee],tblBilling[Month],DB_Month,tblBilling[Collector ID],$A49))</f>
        <v/>
      </c>
      <c r="E49" s="25">
        <f>IF($B49="","",SUMIFS(tblBilling[Amount Paid],tblBilling[Month],DB_Month,tblBilling[Collector ID],$A49))</f>
        <v/>
      </c>
      <c r="F49" s="25">
        <f>IF($B49="","",SUMIFS(tblBilling[Balance],tblBilling[Month],DB_Month,tblBilling[Collector ID],$A49))</f>
        <v/>
      </c>
      <c r="G49" s="24">
        <f>IF($B49="","",COUNTIFS(tblBilling[Month],DB_Month,tblBilling[Collector ID],$A49,tblBilling[Payment Status],"PAID"))</f>
        <v/>
      </c>
      <c r="H49" s="24">
        <f>IF($B49="","",COUNTIFS(tblBilling[Month],DB_Month,tblBilling[Collector ID],$A49,tblBilling[Payment Status],"PARTIAL"))</f>
        <v/>
      </c>
      <c r="I49" s="24">
        <f>IF($B49="","",COUNTIFS(tblBilling[Month],DB_Month,tblBilling[Collector ID],$A49,tblBilling[Payment Status],"PENDING"))</f>
        <v/>
      </c>
      <c r="J49" s="91">
        <f>IF(OR($B49="",N(D49)=0),"",E49/D49)</f>
        <v/>
      </c>
      <c r="K49" s="25">
        <f>IF($A49="","",SUMIFS(tblPayments[Amount],tblPayments[Collector ID],$A49,tblPayments[Month],DB_Month,tblPayments[Payment Method],"Cash",tblPayments[Voided],"&lt;&gt;Yes"))</f>
        <v/>
      </c>
      <c r="L49" s="25">
        <f>IF($A49="","",IF(COUNTIFS(tblCash[Month],DB_Month,tblCash[Collector ID],$A49,tblCash[Actual Cash Submitted],"&lt;&gt;")=0,"",SUMIFS(tblCash[Actual Cash Submitted],tblCash[Month],DB_Month,tblCash[Collector ID],$A49)))</f>
        <v/>
      </c>
      <c r="M49" s="92">
        <f>IF(OR($A49="",L49=""),"",L49-K49)</f>
        <v/>
      </c>
      <c r="N49" s="24">
        <f>IF($A49="","",IF(L49="","NOT SUBMITTED",IF(M49=0,"MATCHED","CASH DIFFERENCE")))</f>
        <v/>
      </c>
    </row>
    <row r="50">
      <c r="A50">
        <f>IFERROR(INDEX(tblCollectors[Collector ID],2)&amp;"","")</f>
        <v/>
      </c>
      <c r="B50">
        <f>IF($A50="","",INDEX(tblCollectors[Collector Name],2))</f>
        <v/>
      </c>
      <c r="C50" s="24">
        <f>IF($B50="","",COUNTIFS(tblBilling[Month],DB_Month,tblBilling[Collector ID],$A50))</f>
        <v/>
      </c>
      <c r="D50" s="25">
        <f>IF($B50="","",SUMIFS(tblBilling[Monthly Fee],tblBilling[Month],DB_Month,tblBilling[Collector ID],$A50))</f>
        <v/>
      </c>
      <c r="E50" s="25">
        <f>IF($B50="","",SUMIFS(tblBilling[Amount Paid],tblBilling[Month],DB_Month,tblBilling[Collector ID],$A50))</f>
        <v/>
      </c>
      <c r="F50" s="25">
        <f>IF($B50="","",SUMIFS(tblBilling[Balance],tblBilling[Month],DB_Month,tblBilling[Collector ID],$A50))</f>
        <v/>
      </c>
      <c r="G50" s="24">
        <f>IF($B50="","",COUNTIFS(tblBilling[Month],DB_Month,tblBilling[Collector ID],$A50,tblBilling[Payment Status],"PAID"))</f>
        <v/>
      </c>
      <c r="H50" s="24">
        <f>IF($B50="","",COUNTIFS(tblBilling[Month],DB_Month,tblBilling[Collector ID],$A50,tblBilling[Payment Status],"PARTIAL"))</f>
        <v/>
      </c>
      <c r="I50" s="24">
        <f>IF($B50="","",COUNTIFS(tblBilling[Month],DB_Month,tblBilling[Collector ID],$A50,tblBilling[Payment Status],"PENDING"))</f>
        <v/>
      </c>
      <c r="J50" s="91">
        <f>IF(OR($B50="",N(D50)=0),"",E50/D50)</f>
        <v/>
      </c>
      <c r="K50" s="25">
        <f>IF($A50="","",SUMIFS(tblPayments[Amount],tblPayments[Collector ID],$A50,tblPayments[Month],DB_Month,tblPayments[Payment Method],"Cash",tblPayments[Voided],"&lt;&gt;Yes"))</f>
        <v/>
      </c>
      <c r="L50" s="25">
        <f>IF($A50="","",IF(COUNTIFS(tblCash[Month],DB_Month,tblCash[Collector ID],$A50,tblCash[Actual Cash Submitted],"&lt;&gt;")=0,"",SUMIFS(tblCash[Actual Cash Submitted],tblCash[Month],DB_Month,tblCash[Collector ID],$A50)))</f>
        <v/>
      </c>
      <c r="M50" s="92">
        <f>IF(OR($A50="",L50=""),"",L50-K50)</f>
        <v/>
      </c>
      <c r="N50" s="24">
        <f>IF($A50="","",IF(L50="","NOT SUBMITTED",IF(M50=0,"MATCHED","CASH DIFFERENCE")))</f>
        <v/>
      </c>
    </row>
    <row r="51">
      <c r="A51">
        <f>IFERROR(INDEX(tblCollectors[Collector ID],3)&amp;"","")</f>
        <v/>
      </c>
      <c r="B51">
        <f>IF($A51="","",INDEX(tblCollectors[Collector Name],3))</f>
        <v/>
      </c>
      <c r="C51" s="24">
        <f>IF($B51="","",COUNTIFS(tblBilling[Month],DB_Month,tblBilling[Collector ID],$A51))</f>
        <v/>
      </c>
      <c r="D51" s="25">
        <f>IF($B51="","",SUMIFS(tblBilling[Monthly Fee],tblBilling[Month],DB_Month,tblBilling[Collector ID],$A51))</f>
        <v/>
      </c>
      <c r="E51" s="25">
        <f>IF($B51="","",SUMIFS(tblBilling[Amount Paid],tblBilling[Month],DB_Month,tblBilling[Collector ID],$A51))</f>
        <v/>
      </c>
      <c r="F51" s="25">
        <f>IF($B51="","",SUMIFS(tblBilling[Balance],tblBilling[Month],DB_Month,tblBilling[Collector ID],$A51))</f>
        <v/>
      </c>
      <c r="G51" s="24">
        <f>IF($B51="","",COUNTIFS(tblBilling[Month],DB_Month,tblBilling[Collector ID],$A51,tblBilling[Payment Status],"PAID"))</f>
        <v/>
      </c>
      <c r="H51" s="24">
        <f>IF($B51="","",COUNTIFS(tblBilling[Month],DB_Month,tblBilling[Collector ID],$A51,tblBilling[Payment Status],"PARTIAL"))</f>
        <v/>
      </c>
      <c r="I51" s="24">
        <f>IF($B51="","",COUNTIFS(tblBilling[Month],DB_Month,tblBilling[Collector ID],$A51,tblBilling[Payment Status],"PENDING"))</f>
        <v/>
      </c>
      <c r="J51" s="91">
        <f>IF(OR($B51="",N(D51)=0),"",E51/D51)</f>
        <v/>
      </c>
      <c r="K51" s="25">
        <f>IF($A51="","",SUMIFS(tblPayments[Amount],tblPayments[Collector ID],$A51,tblPayments[Month],DB_Month,tblPayments[Payment Method],"Cash",tblPayments[Voided],"&lt;&gt;Yes"))</f>
        <v/>
      </c>
      <c r="L51" s="25">
        <f>IF($A51="","",IF(COUNTIFS(tblCash[Month],DB_Month,tblCash[Collector ID],$A51,tblCash[Actual Cash Submitted],"&lt;&gt;")=0,"",SUMIFS(tblCash[Actual Cash Submitted],tblCash[Month],DB_Month,tblCash[Collector ID],$A51)))</f>
        <v/>
      </c>
      <c r="M51" s="92">
        <f>IF(OR($A51="",L51=""),"",L51-K51)</f>
        <v/>
      </c>
      <c r="N51" s="24">
        <f>IF($A51="","",IF(L51="","NOT SUBMITTED",IF(M51=0,"MATCHED","CASH DIFFERENCE")))</f>
        <v/>
      </c>
    </row>
    <row r="52">
      <c r="A52">
        <f>IFERROR(INDEX(tblCollectors[Collector ID],4)&amp;"","")</f>
        <v/>
      </c>
      <c r="B52">
        <f>IF($A52="","",INDEX(tblCollectors[Collector Name],4))</f>
        <v/>
      </c>
      <c r="C52" s="24">
        <f>IF($B52="","",COUNTIFS(tblBilling[Month],DB_Month,tblBilling[Collector ID],$A52))</f>
        <v/>
      </c>
      <c r="D52" s="25">
        <f>IF($B52="","",SUMIFS(tblBilling[Monthly Fee],tblBilling[Month],DB_Month,tblBilling[Collector ID],$A52))</f>
        <v/>
      </c>
      <c r="E52" s="25">
        <f>IF($B52="","",SUMIFS(tblBilling[Amount Paid],tblBilling[Month],DB_Month,tblBilling[Collector ID],$A52))</f>
        <v/>
      </c>
      <c r="F52" s="25">
        <f>IF($B52="","",SUMIFS(tblBilling[Balance],tblBilling[Month],DB_Month,tblBilling[Collector ID],$A52))</f>
        <v/>
      </c>
      <c r="G52" s="24">
        <f>IF($B52="","",COUNTIFS(tblBilling[Month],DB_Month,tblBilling[Collector ID],$A52,tblBilling[Payment Status],"PAID"))</f>
        <v/>
      </c>
      <c r="H52" s="24">
        <f>IF($B52="","",COUNTIFS(tblBilling[Month],DB_Month,tblBilling[Collector ID],$A52,tblBilling[Payment Status],"PARTIAL"))</f>
        <v/>
      </c>
      <c r="I52" s="24">
        <f>IF($B52="","",COUNTIFS(tblBilling[Month],DB_Month,tblBilling[Collector ID],$A52,tblBilling[Payment Status],"PENDING"))</f>
        <v/>
      </c>
      <c r="J52" s="91">
        <f>IF(OR($B52="",N(D52)=0),"",E52/D52)</f>
        <v/>
      </c>
      <c r="K52" s="25">
        <f>IF($A52="","",SUMIFS(tblPayments[Amount],tblPayments[Collector ID],$A52,tblPayments[Month],DB_Month,tblPayments[Payment Method],"Cash",tblPayments[Voided],"&lt;&gt;Yes"))</f>
        <v/>
      </c>
      <c r="L52" s="25">
        <f>IF($A52="","",IF(COUNTIFS(tblCash[Month],DB_Month,tblCash[Collector ID],$A52,tblCash[Actual Cash Submitted],"&lt;&gt;")=0,"",SUMIFS(tblCash[Actual Cash Submitted],tblCash[Month],DB_Month,tblCash[Collector ID],$A52)))</f>
        <v/>
      </c>
      <c r="M52" s="92">
        <f>IF(OR($A52="",L52=""),"",L52-K52)</f>
        <v/>
      </c>
      <c r="N52" s="24">
        <f>IF($A52="","",IF(L52="","NOT SUBMITTED",IF(M52=0,"MATCHED","CASH DIFFERENCE")))</f>
        <v/>
      </c>
    </row>
    <row r="53">
      <c r="A53">
        <f>IFERROR(INDEX(tblCollectors[Collector ID],5)&amp;"","")</f>
        <v/>
      </c>
      <c r="B53">
        <f>IF($A53="","",INDEX(tblCollectors[Collector Name],5))</f>
        <v/>
      </c>
      <c r="C53" s="24">
        <f>IF($B53="","",COUNTIFS(tblBilling[Month],DB_Month,tblBilling[Collector ID],$A53))</f>
        <v/>
      </c>
      <c r="D53" s="25">
        <f>IF($B53="","",SUMIFS(tblBilling[Monthly Fee],tblBilling[Month],DB_Month,tblBilling[Collector ID],$A53))</f>
        <v/>
      </c>
      <c r="E53" s="25">
        <f>IF($B53="","",SUMIFS(tblBilling[Amount Paid],tblBilling[Month],DB_Month,tblBilling[Collector ID],$A53))</f>
        <v/>
      </c>
      <c r="F53" s="25">
        <f>IF($B53="","",SUMIFS(tblBilling[Balance],tblBilling[Month],DB_Month,tblBilling[Collector ID],$A53))</f>
        <v/>
      </c>
      <c r="G53" s="24">
        <f>IF($B53="","",COUNTIFS(tblBilling[Month],DB_Month,tblBilling[Collector ID],$A53,tblBilling[Payment Status],"PAID"))</f>
        <v/>
      </c>
      <c r="H53" s="24">
        <f>IF($B53="","",COUNTIFS(tblBilling[Month],DB_Month,tblBilling[Collector ID],$A53,tblBilling[Payment Status],"PARTIAL"))</f>
        <v/>
      </c>
      <c r="I53" s="24">
        <f>IF($B53="","",COUNTIFS(tblBilling[Month],DB_Month,tblBilling[Collector ID],$A53,tblBilling[Payment Status],"PENDING"))</f>
        <v/>
      </c>
      <c r="J53" s="91">
        <f>IF(OR($B53="",N(D53)=0),"",E53/D53)</f>
        <v/>
      </c>
      <c r="K53" s="25">
        <f>IF($A53="","",SUMIFS(tblPayments[Amount],tblPayments[Collector ID],$A53,tblPayments[Month],DB_Month,tblPayments[Payment Method],"Cash",tblPayments[Voided],"&lt;&gt;Yes"))</f>
        <v/>
      </c>
      <c r="L53" s="25">
        <f>IF($A53="","",IF(COUNTIFS(tblCash[Month],DB_Month,tblCash[Collector ID],$A53,tblCash[Actual Cash Submitted],"&lt;&gt;")=0,"",SUMIFS(tblCash[Actual Cash Submitted],tblCash[Month],DB_Month,tblCash[Collector ID],$A53)))</f>
        <v/>
      </c>
      <c r="M53" s="92">
        <f>IF(OR($A53="",L53=""),"",L53-K53)</f>
        <v/>
      </c>
      <c r="N53" s="24">
        <f>IF($A53="","",IF(L53="","NOT SUBMITTED",IF(M53=0,"MATCHED","CASH DIFFERENCE")))</f>
        <v/>
      </c>
    </row>
    <row r="54">
      <c r="A54">
        <f>IFERROR(INDEX(tblCollectors[Collector ID],6)&amp;"","")</f>
        <v/>
      </c>
      <c r="B54">
        <f>IF($A54="","",INDEX(tblCollectors[Collector Name],6))</f>
        <v/>
      </c>
      <c r="C54" s="24">
        <f>IF($B54="","",COUNTIFS(tblBilling[Month],DB_Month,tblBilling[Collector ID],$A54))</f>
        <v/>
      </c>
      <c r="D54" s="25">
        <f>IF($B54="","",SUMIFS(tblBilling[Monthly Fee],tblBilling[Month],DB_Month,tblBilling[Collector ID],$A54))</f>
        <v/>
      </c>
      <c r="E54" s="25">
        <f>IF($B54="","",SUMIFS(tblBilling[Amount Paid],tblBilling[Month],DB_Month,tblBilling[Collector ID],$A54))</f>
        <v/>
      </c>
      <c r="F54" s="25">
        <f>IF($B54="","",SUMIFS(tblBilling[Balance],tblBilling[Month],DB_Month,tblBilling[Collector ID],$A54))</f>
        <v/>
      </c>
      <c r="G54" s="24">
        <f>IF($B54="","",COUNTIFS(tblBilling[Month],DB_Month,tblBilling[Collector ID],$A54,tblBilling[Payment Status],"PAID"))</f>
        <v/>
      </c>
      <c r="H54" s="24">
        <f>IF($B54="","",COUNTIFS(tblBilling[Month],DB_Month,tblBilling[Collector ID],$A54,tblBilling[Payment Status],"PARTIAL"))</f>
        <v/>
      </c>
      <c r="I54" s="24">
        <f>IF($B54="","",COUNTIFS(tblBilling[Month],DB_Month,tblBilling[Collector ID],$A54,tblBilling[Payment Status],"PENDING"))</f>
        <v/>
      </c>
      <c r="J54" s="91">
        <f>IF(OR($B54="",N(D54)=0),"",E54/D54)</f>
        <v/>
      </c>
      <c r="K54" s="25">
        <f>IF($A54="","",SUMIFS(tblPayments[Amount],tblPayments[Collector ID],$A54,tblPayments[Month],DB_Month,tblPayments[Payment Method],"Cash",tblPayments[Voided],"&lt;&gt;Yes"))</f>
        <v/>
      </c>
      <c r="L54" s="25">
        <f>IF($A54="","",IF(COUNTIFS(tblCash[Month],DB_Month,tblCash[Collector ID],$A54,tblCash[Actual Cash Submitted],"&lt;&gt;")=0,"",SUMIFS(tblCash[Actual Cash Submitted],tblCash[Month],DB_Month,tblCash[Collector ID],$A54)))</f>
        <v/>
      </c>
      <c r="M54" s="92">
        <f>IF(OR($A54="",L54=""),"",L54-K54)</f>
        <v/>
      </c>
      <c r="N54" s="24">
        <f>IF($A54="","",IF(L54="","NOT SUBMITTED",IF(M54=0,"MATCHED","CASH DIFFERENCE")))</f>
        <v/>
      </c>
    </row>
    <row r="55">
      <c r="A55">
        <f>IFERROR(INDEX(tblCollectors[Collector ID],7)&amp;"","")</f>
        <v/>
      </c>
      <c r="B55">
        <f>IF($A55="","",INDEX(tblCollectors[Collector Name],7))</f>
        <v/>
      </c>
      <c r="C55" s="24">
        <f>IF($B55="","",COUNTIFS(tblBilling[Month],DB_Month,tblBilling[Collector ID],$A55))</f>
        <v/>
      </c>
      <c r="D55" s="25">
        <f>IF($B55="","",SUMIFS(tblBilling[Monthly Fee],tblBilling[Month],DB_Month,tblBilling[Collector ID],$A55))</f>
        <v/>
      </c>
      <c r="E55" s="25">
        <f>IF($B55="","",SUMIFS(tblBilling[Amount Paid],tblBilling[Month],DB_Month,tblBilling[Collector ID],$A55))</f>
        <v/>
      </c>
      <c r="F55" s="25">
        <f>IF($B55="","",SUMIFS(tblBilling[Balance],tblBilling[Month],DB_Month,tblBilling[Collector ID],$A55))</f>
        <v/>
      </c>
      <c r="G55" s="24">
        <f>IF($B55="","",COUNTIFS(tblBilling[Month],DB_Month,tblBilling[Collector ID],$A55,tblBilling[Payment Status],"PAID"))</f>
        <v/>
      </c>
      <c r="H55" s="24">
        <f>IF($B55="","",COUNTIFS(tblBilling[Month],DB_Month,tblBilling[Collector ID],$A55,tblBilling[Payment Status],"PARTIAL"))</f>
        <v/>
      </c>
      <c r="I55" s="24">
        <f>IF($B55="","",COUNTIFS(tblBilling[Month],DB_Month,tblBilling[Collector ID],$A55,tblBilling[Payment Status],"PENDING"))</f>
        <v/>
      </c>
      <c r="J55" s="91">
        <f>IF(OR($B55="",N(D55)=0),"",E55/D55)</f>
        <v/>
      </c>
      <c r="K55" s="25">
        <f>IF($A55="","",SUMIFS(tblPayments[Amount],tblPayments[Collector ID],$A55,tblPayments[Month],DB_Month,tblPayments[Payment Method],"Cash",tblPayments[Voided],"&lt;&gt;Yes"))</f>
        <v/>
      </c>
      <c r="L55" s="25">
        <f>IF($A55="","",IF(COUNTIFS(tblCash[Month],DB_Month,tblCash[Collector ID],$A55,tblCash[Actual Cash Submitted],"&lt;&gt;")=0,"",SUMIFS(tblCash[Actual Cash Submitted],tblCash[Month],DB_Month,tblCash[Collector ID],$A55)))</f>
        <v/>
      </c>
      <c r="M55" s="92">
        <f>IF(OR($A55="",L55=""),"",L55-K55)</f>
        <v/>
      </c>
      <c r="N55" s="24">
        <f>IF($A55="","",IF(L55="","NOT SUBMITTED",IF(M55=0,"MATCHED","CASH DIFFERENCE")))</f>
        <v/>
      </c>
    </row>
    <row r="56">
      <c r="A56">
        <f>IFERROR(INDEX(tblCollectors[Collector ID],8)&amp;"","")</f>
        <v/>
      </c>
      <c r="B56">
        <f>IF($A56="","",INDEX(tblCollectors[Collector Name],8))</f>
        <v/>
      </c>
      <c r="C56" s="24">
        <f>IF($B56="","",COUNTIFS(tblBilling[Month],DB_Month,tblBilling[Collector ID],$A56))</f>
        <v/>
      </c>
      <c r="D56" s="25">
        <f>IF($B56="","",SUMIFS(tblBilling[Monthly Fee],tblBilling[Month],DB_Month,tblBilling[Collector ID],$A56))</f>
        <v/>
      </c>
      <c r="E56" s="25">
        <f>IF($B56="","",SUMIFS(tblBilling[Amount Paid],tblBilling[Month],DB_Month,tblBilling[Collector ID],$A56))</f>
        <v/>
      </c>
      <c r="F56" s="25">
        <f>IF($B56="","",SUMIFS(tblBilling[Balance],tblBilling[Month],DB_Month,tblBilling[Collector ID],$A56))</f>
        <v/>
      </c>
      <c r="G56" s="24">
        <f>IF($B56="","",COUNTIFS(tblBilling[Month],DB_Month,tblBilling[Collector ID],$A56,tblBilling[Payment Status],"PAID"))</f>
        <v/>
      </c>
      <c r="H56" s="24">
        <f>IF($B56="","",COUNTIFS(tblBilling[Month],DB_Month,tblBilling[Collector ID],$A56,tblBilling[Payment Status],"PARTIAL"))</f>
        <v/>
      </c>
      <c r="I56" s="24">
        <f>IF($B56="","",COUNTIFS(tblBilling[Month],DB_Month,tblBilling[Collector ID],$A56,tblBilling[Payment Status],"PENDING"))</f>
        <v/>
      </c>
      <c r="J56" s="91">
        <f>IF(OR($B56="",N(D56)=0),"",E56/D56)</f>
        <v/>
      </c>
      <c r="K56" s="25">
        <f>IF($A56="","",SUMIFS(tblPayments[Amount],tblPayments[Collector ID],$A56,tblPayments[Month],DB_Month,tblPayments[Payment Method],"Cash",tblPayments[Voided],"&lt;&gt;Yes"))</f>
        <v/>
      </c>
      <c r="L56" s="25">
        <f>IF($A56="","",IF(COUNTIFS(tblCash[Month],DB_Month,tblCash[Collector ID],$A56,tblCash[Actual Cash Submitted],"&lt;&gt;")=0,"",SUMIFS(tblCash[Actual Cash Submitted],tblCash[Month],DB_Month,tblCash[Collector ID],$A56)))</f>
        <v/>
      </c>
      <c r="M56" s="92">
        <f>IF(OR($A56="",L56=""),"",L56-K56)</f>
        <v/>
      </c>
      <c r="N56" s="24">
        <f>IF($A56="","",IF(L56="","NOT SUBMITTED",IF(M56=0,"MATCHED","CASH DIFFERENCE")))</f>
        <v/>
      </c>
    </row>
    <row r="57">
      <c r="A57">
        <f>IFERROR(INDEX(tblCollectors[Collector ID],9)&amp;"","")</f>
        <v/>
      </c>
      <c r="B57">
        <f>IF($A57="","",INDEX(tblCollectors[Collector Name],9))</f>
        <v/>
      </c>
      <c r="C57" s="24">
        <f>IF($B57="","",COUNTIFS(tblBilling[Month],DB_Month,tblBilling[Collector ID],$A57))</f>
        <v/>
      </c>
      <c r="D57" s="25">
        <f>IF($B57="","",SUMIFS(tblBilling[Monthly Fee],tblBilling[Month],DB_Month,tblBilling[Collector ID],$A57))</f>
        <v/>
      </c>
      <c r="E57" s="25">
        <f>IF($B57="","",SUMIFS(tblBilling[Amount Paid],tblBilling[Month],DB_Month,tblBilling[Collector ID],$A57))</f>
        <v/>
      </c>
      <c r="F57" s="25">
        <f>IF($B57="","",SUMIFS(tblBilling[Balance],tblBilling[Month],DB_Month,tblBilling[Collector ID],$A57))</f>
        <v/>
      </c>
      <c r="G57" s="24">
        <f>IF($B57="","",COUNTIFS(tblBilling[Month],DB_Month,tblBilling[Collector ID],$A57,tblBilling[Payment Status],"PAID"))</f>
        <v/>
      </c>
      <c r="H57" s="24">
        <f>IF($B57="","",COUNTIFS(tblBilling[Month],DB_Month,tblBilling[Collector ID],$A57,tblBilling[Payment Status],"PARTIAL"))</f>
        <v/>
      </c>
      <c r="I57" s="24">
        <f>IF($B57="","",COUNTIFS(tblBilling[Month],DB_Month,tblBilling[Collector ID],$A57,tblBilling[Payment Status],"PENDING"))</f>
        <v/>
      </c>
      <c r="J57" s="91">
        <f>IF(OR($B57="",N(D57)=0),"",E57/D57)</f>
        <v/>
      </c>
      <c r="K57" s="25">
        <f>IF($A57="","",SUMIFS(tblPayments[Amount],tblPayments[Collector ID],$A57,tblPayments[Month],DB_Month,tblPayments[Payment Method],"Cash",tblPayments[Voided],"&lt;&gt;Yes"))</f>
        <v/>
      </c>
      <c r="L57" s="25">
        <f>IF($A57="","",IF(COUNTIFS(tblCash[Month],DB_Month,tblCash[Collector ID],$A57,tblCash[Actual Cash Submitted],"&lt;&gt;")=0,"",SUMIFS(tblCash[Actual Cash Submitted],tblCash[Month],DB_Month,tblCash[Collector ID],$A57)))</f>
        <v/>
      </c>
      <c r="M57" s="92">
        <f>IF(OR($A57="",L57=""),"",L57-K57)</f>
        <v/>
      </c>
      <c r="N57" s="24">
        <f>IF($A57="","",IF(L57="","NOT SUBMITTED",IF(M57=0,"MATCHED","CASH DIFFERENCE")))</f>
        <v/>
      </c>
    </row>
    <row r="58">
      <c r="A58">
        <f>IFERROR(INDEX(tblCollectors[Collector ID],10)&amp;"","")</f>
        <v/>
      </c>
      <c r="B58">
        <f>IF($A58="","",INDEX(tblCollectors[Collector Name],10))</f>
        <v/>
      </c>
      <c r="C58" s="24">
        <f>IF($B58="","",COUNTIFS(tblBilling[Month],DB_Month,tblBilling[Collector ID],$A58))</f>
        <v/>
      </c>
      <c r="D58" s="25">
        <f>IF($B58="","",SUMIFS(tblBilling[Monthly Fee],tblBilling[Month],DB_Month,tblBilling[Collector ID],$A58))</f>
        <v/>
      </c>
      <c r="E58" s="25">
        <f>IF($B58="","",SUMIFS(tblBilling[Amount Paid],tblBilling[Month],DB_Month,tblBilling[Collector ID],$A58))</f>
        <v/>
      </c>
      <c r="F58" s="25">
        <f>IF($B58="","",SUMIFS(tblBilling[Balance],tblBilling[Month],DB_Month,tblBilling[Collector ID],$A58))</f>
        <v/>
      </c>
      <c r="G58" s="24">
        <f>IF($B58="","",COUNTIFS(tblBilling[Month],DB_Month,tblBilling[Collector ID],$A58,tblBilling[Payment Status],"PAID"))</f>
        <v/>
      </c>
      <c r="H58" s="24">
        <f>IF($B58="","",COUNTIFS(tblBilling[Month],DB_Month,tblBilling[Collector ID],$A58,tblBilling[Payment Status],"PARTIAL"))</f>
        <v/>
      </c>
      <c r="I58" s="24">
        <f>IF($B58="","",COUNTIFS(tblBilling[Month],DB_Month,tblBilling[Collector ID],$A58,tblBilling[Payment Status],"PENDING"))</f>
        <v/>
      </c>
      <c r="J58" s="91">
        <f>IF(OR($B58="",N(D58)=0),"",E58/D58)</f>
        <v/>
      </c>
      <c r="K58" s="25">
        <f>IF($A58="","",SUMIFS(tblPayments[Amount],tblPayments[Collector ID],$A58,tblPayments[Month],DB_Month,tblPayments[Payment Method],"Cash",tblPayments[Voided],"&lt;&gt;Yes"))</f>
        <v/>
      </c>
      <c r="L58" s="25">
        <f>IF($A58="","",IF(COUNTIFS(tblCash[Month],DB_Month,tblCash[Collector ID],$A58,tblCash[Actual Cash Submitted],"&lt;&gt;")=0,"",SUMIFS(tblCash[Actual Cash Submitted],tblCash[Month],DB_Month,tblCash[Collector ID],$A58)))</f>
        <v/>
      </c>
      <c r="M58" s="92">
        <f>IF(OR($A58="",L58=""),"",L58-K58)</f>
        <v/>
      </c>
      <c r="N58" s="24">
        <f>IF($A58="","",IF(L58="","NOT SUBMITTED",IF(M58=0,"MATCHED","CASH DIFFERENCE")))</f>
        <v/>
      </c>
    </row>
    <row r="59">
      <c r="A59">
        <f>IFERROR(INDEX(tblCollectors[Collector ID],11)&amp;"","")</f>
        <v/>
      </c>
      <c r="B59">
        <f>IF($A59="","",INDEX(tblCollectors[Collector Name],11))</f>
        <v/>
      </c>
      <c r="C59" s="24">
        <f>IF($B59="","",COUNTIFS(tblBilling[Month],DB_Month,tblBilling[Collector ID],$A59))</f>
        <v/>
      </c>
      <c r="D59" s="25">
        <f>IF($B59="","",SUMIFS(tblBilling[Monthly Fee],tblBilling[Month],DB_Month,tblBilling[Collector ID],$A59))</f>
        <v/>
      </c>
      <c r="E59" s="25">
        <f>IF($B59="","",SUMIFS(tblBilling[Amount Paid],tblBilling[Month],DB_Month,tblBilling[Collector ID],$A59))</f>
        <v/>
      </c>
      <c r="F59" s="25">
        <f>IF($B59="","",SUMIFS(tblBilling[Balance],tblBilling[Month],DB_Month,tblBilling[Collector ID],$A59))</f>
        <v/>
      </c>
      <c r="G59" s="24">
        <f>IF($B59="","",COUNTIFS(tblBilling[Month],DB_Month,tblBilling[Collector ID],$A59,tblBilling[Payment Status],"PAID"))</f>
        <v/>
      </c>
      <c r="H59" s="24">
        <f>IF($B59="","",COUNTIFS(tblBilling[Month],DB_Month,tblBilling[Collector ID],$A59,tblBilling[Payment Status],"PARTIAL"))</f>
        <v/>
      </c>
      <c r="I59" s="24">
        <f>IF($B59="","",COUNTIFS(tblBilling[Month],DB_Month,tblBilling[Collector ID],$A59,tblBilling[Payment Status],"PENDING"))</f>
        <v/>
      </c>
      <c r="J59" s="91">
        <f>IF(OR($B59="",N(D59)=0),"",E59/D59)</f>
        <v/>
      </c>
      <c r="K59" s="25">
        <f>IF($A59="","",SUMIFS(tblPayments[Amount],tblPayments[Collector ID],$A59,tblPayments[Month],DB_Month,tblPayments[Payment Method],"Cash",tblPayments[Voided],"&lt;&gt;Yes"))</f>
        <v/>
      </c>
      <c r="L59" s="25">
        <f>IF($A59="","",IF(COUNTIFS(tblCash[Month],DB_Month,tblCash[Collector ID],$A59,tblCash[Actual Cash Submitted],"&lt;&gt;")=0,"",SUMIFS(tblCash[Actual Cash Submitted],tblCash[Month],DB_Month,tblCash[Collector ID],$A59)))</f>
        <v/>
      </c>
      <c r="M59" s="92">
        <f>IF(OR($A59="",L59=""),"",L59-K59)</f>
        <v/>
      </c>
      <c r="N59" s="24">
        <f>IF($A59="","",IF(L59="","NOT SUBMITTED",IF(M59=0,"MATCHED","CASH DIFFERENCE")))</f>
        <v/>
      </c>
    </row>
    <row r="60">
      <c r="A60">
        <f>IFERROR(INDEX(tblCollectors[Collector ID],12)&amp;"","")</f>
        <v/>
      </c>
      <c r="B60">
        <f>IF($A60="","",INDEX(tblCollectors[Collector Name],12))</f>
        <v/>
      </c>
      <c r="C60" s="24">
        <f>IF($B60="","",COUNTIFS(tblBilling[Month],DB_Month,tblBilling[Collector ID],$A60))</f>
        <v/>
      </c>
      <c r="D60" s="25">
        <f>IF($B60="","",SUMIFS(tblBilling[Monthly Fee],tblBilling[Month],DB_Month,tblBilling[Collector ID],$A60))</f>
        <v/>
      </c>
      <c r="E60" s="25">
        <f>IF($B60="","",SUMIFS(tblBilling[Amount Paid],tblBilling[Month],DB_Month,tblBilling[Collector ID],$A60))</f>
        <v/>
      </c>
      <c r="F60" s="25">
        <f>IF($B60="","",SUMIFS(tblBilling[Balance],tblBilling[Month],DB_Month,tblBilling[Collector ID],$A60))</f>
        <v/>
      </c>
      <c r="G60" s="24">
        <f>IF($B60="","",COUNTIFS(tblBilling[Month],DB_Month,tblBilling[Collector ID],$A60,tblBilling[Payment Status],"PAID"))</f>
        <v/>
      </c>
      <c r="H60" s="24">
        <f>IF($B60="","",COUNTIFS(tblBilling[Month],DB_Month,tblBilling[Collector ID],$A60,tblBilling[Payment Status],"PARTIAL"))</f>
        <v/>
      </c>
      <c r="I60" s="24">
        <f>IF($B60="","",COUNTIFS(tblBilling[Month],DB_Month,tblBilling[Collector ID],$A60,tblBilling[Payment Status],"PENDING"))</f>
        <v/>
      </c>
      <c r="J60" s="91">
        <f>IF(OR($B60="",N(D60)=0),"",E60/D60)</f>
        <v/>
      </c>
      <c r="K60" s="25">
        <f>IF($A60="","",SUMIFS(tblPayments[Amount],tblPayments[Collector ID],$A60,tblPayments[Month],DB_Month,tblPayments[Payment Method],"Cash",tblPayments[Voided],"&lt;&gt;Yes"))</f>
        <v/>
      </c>
      <c r="L60" s="25">
        <f>IF($A60="","",IF(COUNTIFS(tblCash[Month],DB_Month,tblCash[Collector ID],$A60,tblCash[Actual Cash Submitted],"&lt;&gt;")=0,"",SUMIFS(tblCash[Actual Cash Submitted],tblCash[Month],DB_Month,tblCash[Collector ID],$A60)))</f>
        <v/>
      </c>
      <c r="M60" s="92">
        <f>IF(OR($A60="",L60=""),"",L60-K60)</f>
        <v/>
      </c>
      <c r="N60" s="24">
        <f>IF($A60="","",IF(L60="","NOT SUBMITTED",IF(M60=0,"MATCHED","CASH DIFFERENCE")))</f>
        <v/>
      </c>
    </row>
    <row r="61">
      <c r="A61">
        <f>IFERROR(INDEX(tblCollectors[Collector ID],13)&amp;"","")</f>
        <v/>
      </c>
      <c r="B61">
        <f>IF($A61="","",INDEX(tblCollectors[Collector Name],13))</f>
        <v/>
      </c>
      <c r="C61" s="24">
        <f>IF($B61="","",COUNTIFS(tblBilling[Month],DB_Month,tblBilling[Collector ID],$A61))</f>
        <v/>
      </c>
      <c r="D61" s="25">
        <f>IF($B61="","",SUMIFS(tblBilling[Monthly Fee],tblBilling[Month],DB_Month,tblBilling[Collector ID],$A61))</f>
        <v/>
      </c>
      <c r="E61" s="25">
        <f>IF($B61="","",SUMIFS(tblBilling[Amount Paid],tblBilling[Month],DB_Month,tblBilling[Collector ID],$A61))</f>
        <v/>
      </c>
      <c r="F61" s="25">
        <f>IF($B61="","",SUMIFS(tblBilling[Balance],tblBilling[Month],DB_Month,tblBilling[Collector ID],$A61))</f>
        <v/>
      </c>
      <c r="G61" s="24">
        <f>IF($B61="","",COUNTIFS(tblBilling[Month],DB_Month,tblBilling[Collector ID],$A61,tblBilling[Payment Status],"PAID"))</f>
        <v/>
      </c>
      <c r="H61" s="24">
        <f>IF($B61="","",COUNTIFS(tblBilling[Month],DB_Month,tblBilling[Collector ID],$A61,tblBilling[Payment Status],"PARTIAL"))</f>
        <v/>
      </c>
      <c r="I61" s="24">
        <f>IF($B61="","",COUNTIFS(tblBilling[Month],DB_Month,tblBilling[Collector ID],$A61,tblBilling[Payment Status],"PENDING"))</f>
        <v/>
      </c>
      <c r="J61" s="91">
        <f>IF(OR($B61="",N(D61)=0),"",E61/D61)</f>
        <v/>
      </c>
      <c r="K61" s="25">
        <f>IF($A61="","",SUMIFS(tblPayments[Amount],tblPayments[Collector ID],$A61,tblPayments[Month],DB_Month,tblPayments[Payment Method],"Cash",tblPayments[Voided],"&lt;&gt;Yes"))</f>
        <v/>
      </c>
      <c r="L61" s="25">
        <f>IF($A61="","",IF(COUNTIFS(tblCash[Month],DB_Month,tblCash[Collector ID],$A61,tblCash[Actual Cash Submitted],"&lt;&gt;")=0,"",SUMIFS(tblCash[Actual Cash Submitted],tblCash[Month],DB_Month,tblCash[Collector ID],$A61)))</f>
        <v/>
      </c>
      <c r="M61" s="92">
        <f>IF(OR($A61="",L61=""),"",L61-K61)</f>
        <v/>
      </c>
      <c r="N61" s="24">
        <f>IF($A61="","",IF(L61="","NOT SUBMITTED",IF(M61=0,"MATCHED","CASH DIFFERENCE")))</f>
        <v/>
      </c>
    </row>
    <row r="62">
      <c r="A62">
        <f>IFERROR(INDEX(tblCollectors[Collector ID],14)&amp;"","")</f>
        <v/>
      </c>
      <c r="B62">
        <f>IF($A62="","",INDEX(tblCollectors[Collector Name],14))</f>
        <v/>
      </c>
      <c r="C62" s="24">
        <f>IF($B62="","",COUNTIFS(tblBilling[Month],DB_Month,tblBilling[Collector ID],$A62))</f>
        <v/>
      </c>
      <c r="D62" s="25">
        <f>IF($B62="","",SUMIFS(tblBilling[Monthly Fee],tblBilling[Month],DB_Month,tblBilling[Collector ID],$A62))</f>
        <v/>
      </c>
      <c r="E62" s="25">
        <f>IF($B62="","",SUMIFS(tblBilling[Amount Paid],tblBilling[Month],DB_Month,tblBilling[Collector ID],$A62))</f>
        <v/>
      </c>
      <c r="F62" s="25">
        <f>IF($B62="","",SUMIFS(tblBilling[Balance],tblBilling[Month],DB_Month,tblBilling[Collector ID],$A62))</f>
        <v/>
      </c>
      <c r="G62" s="24">
        <f>IF($B62="","",COUNTIFS(tblBilling[Month],DB_Month,tblBilling[Collector ID],$A62,tblBilling[Payment Status],"PAID"))</f>
        <v/>
      </c>
      <c r="H62" s="24">
        <f>IF($B62="","",COUNTIFS(tblBilling[Month],DB_Month,tblBilling[Collector ID],$A62,tblBilling[Payment Status],"PARTIAL"))</f>
        <v/>
      </c>
      <c r="I62" s="24">
        <f>IF($B62="","",COUNTIFS(tblBilling[Month],DB_Month,tblBilling[Collector ID],$A62,tblBilling[Payment Status],"PENDING"))</f>
        <v/>
      </c>
      <c r="J62" s="91">
        <f>IF(OR($B62="",N(D62)=0),"",E62/D62)</f>
        <v/>
      </c>
      <c r="K62" s="25">
        <f>IF($A62="","",SUMIFS(tblPayments[Amount],tblPayments[Collector ID],$A62,tblPayments[Month],DB_Month,tblPayments[Payment Method],"Cash",tblPayments[Voided],"&lt;&gt;Yes"))</f>
        <v/>
      </c>
      <c r="L62" s="25">
        <f>IF($A62="","",IF(COUNTIFS(tblCash[Month],DB_Month,tblCash[Collector ID],$A62,tblCash[Actual Cash Submitted],"&lt;&gt;")=0,"",SUMIFS(tblCash[Actual Cash Submitted],tblCash[Month],DB_Month,tblCash[Collector ID],$A62)))</f>
        <v/>
      </c>
      <c r="M62" s="92">
        <f>IF(OR($A62="",L62=""),"",L62-K62)</f>
        <v/>
      </c>
      <c r="N62" s="24">
        <f>IF($A62="","",IF(L62="","NOT SUBMITTED",IF(M62=0,"MATCHED","CASH DIFFERENCE")))</f>
        <v/>
      </c>
    </row>
    <row r="63">
      <c r="A63">
        <f>IFERROR(INDEX(tblCollectors[Collector ID],15)&amp;"","")</f>
        <v/>
      </c>
      <c r="B63">
        <f>IF($A63="","",INDEX(tblCollectors[Collector Name],15))</f>
        <v/>
      </c>
      <c r="C63" s="24">
        <f>IF($B63="","",COUNTIFS(tblBilling[Month],DB_Month,tblBilling[Collector ID],$A63))</f>
        <v/>
      </c>
      <c r="D63" s="25">
        <f>IF($B63="","",SUMIFS(tblBilling[Monthly Fee],tblBilling[Month],DB_Month,tblBilling[Collector ID],$A63))</f>
        <v/>
      </c>
      <c r="E63" s="25">
        <f>IF($B63="","",SUMIFS(tblBilling[Amount Paid],tblBilling[Month],DB_Month,tblBilling[Collector ID],$A63))</f>
        <v/>
      </c>
      <c r="F63" s="25">
        <f>IF($B63="","",SUMIFS(tblBilling[Balance],tblBilling[Month],DB_Month,tblBilling[Collector ID],$A63))</f>
        <v/>
      </c>
      <c r="G63" s="24">
        <f>IF($B63="","",COUNTIFS(tblBilling[Month],DB_Month,tblBilling[Collector ID],$A63,tblBilling[Payment Status],"PAID"))</f>
        <v/>
      </c>
      <c r="H63" s="24">
        <f>IF($B63="","",COUNTIFS(tblBilling[Month],DB_Month,tblBilling[Collector ID],$A63,tblBilling[Payment Status],"PARTIAL"))</f>
        <v/>
      </c>
      <c r="I63" s="24">
        <f>IF($B63="","",COUNTIFS(tblBilling[Month],DB_Month,tblBilling[Collector ID],$A63,tblBilling[Payment Status],"PENDING"))</f>
        <v/>
      </c>
      <c r="J63" s="91">
        <f>IF(OR($B63="",N(D63)=0),"",E63/D63)</f>
        <v/>
      </c>
      <c r="K63" s="25">
        <f>IF($A63="","",SUMIFS(tblPayments[Amount],tblPayments[Collector ID],$A63,tblPayments[Month],DB_Month,tblPayments[Payment Method],"Cash",tblPayments[Voided],"&lt;&gt;Yes"))</f>
        <v/>
      </c>
      <c r="L63" s="25">
        <f>IF($A63="","",IF(COUNTIFS(tblCash[Month],DB_Month,tblCash[Collector ID],$A63,tblCash[Actual Cash Submitted],"&lt;&gt;")=0,"",SUMIFS(tblCash[Actual Cash Submitted],tblCash[Month],DB_Month,tblCash[Collector ID],$A63)))</f>
        <v/>
      </c>
      <c r="M63" s="92">
        <f>IF(OR($A63="",L63=""),"",L63-K63)</f>
        <v/>
      </c>
      <c r="N63" s="24">
        <f>IF($A63="","",IF(L63="","NOT SUBMITTED",IF(M63=0,"MATCHED","CASH DIFFERENCE")))</f>
        <v/>
      </c>
    </row>
    <row r="64">
      <c r="A64">
        <f>IFERROR(INDEX(tblCollectors[Collector ID],16)&amp;"","")</f>
        <v/>
      </c>
      <c r="B64">
        <f>IF($A64="","",INDEX(tblCollectors[Collector Name],16))</f>
        <v/>
      </c>
      <c r="C64" s="24">
        <f>IF($B64="","",COUNTIFS(tblBilling[Month],DB_Month,tblBilling[Collector ID],$A64))</f>
        <v/>
      </c>
      <c r="D64" s="25">
        <f>IF($B64="","",SUMIFS(tblBilling[Monthly Fee],tblBilling[Month],DB_Month,tblBilling[Collector ID],$A64))</f>
        <v/>
      </c>
      <c r="E64" s="25">
        <f>IF($B64="","",SUMIFS(tblBilling[Amount Paid],tblBilling[Month],DB_Month,tblBilling[Collector ID],$A64))</f>
        <v/>
      </c>
      <c r="F64" s="25">
        <f>IF($B64="","",SUMIFS(tblBilling[Balance],tblBilling[Month],DB_Month,tblBilling[Collector ID],$A64))</f>
        <v/>
      </c>
      <c r="G64" s="24">
        <f>IF($B64="","",COUNTIFS(tblBilling[Month],DB_Month,tblBilling[Collector ID],$A64,tblBilling[Payment Status],"PAID"))</f>
        <v/>
      </c>
      <c r="H64" s="24">
        <f>IF($B64="","",COUNTIFS(tblBilling[Month],DB_Month,tblBilling[Collector ID],$A64,tblBilling[Payment Status],"PARTIAL"))</f>
        <v/>
      </c>
      <c r="I64" s="24">
        <f>IF($B64="","",COUNTIFS(tblBilling[Month],DB_Month,tblBilling[Collector ID],$A64,tblBilling[Payment Status],"PENDING"))</f>
        <v/>
      </c>
      <c r="J64" s="91">
        <f>IF(OR($B64="",N(D64)=0),"",E64/D64)</f>
        <v/>
      </c>
      <c r="K64" s="25">
        <f>IF($A64="","",SUMIFS(tblPayments[Amount],tblPayments[Collector ID],$A64,tblPayments[Month],DB_Month,tblPayments[Payment Method],"Cash",tblPayments[Voided],"&lt;&gt;Yes"))</f>
        <v/>
      </c>
      <c r="L64" s="25">
        <f>IF($A64="","",IF(COUNTIFS(tblCash[Month],DB_Month,tblCash[Collector ID],$A64,tblCash[Actual Cash Submitted],"&lt;&gt;")=0,"",SUMIFS(tblCash[Actual Cash Submitted],tblCash[Month],DB_Month,tblCash[Collector ID],$A64)))</f>
        <v/>
      </c>
      <c r="M64" s="92">
        <f>IF(OR($A64="",L64=""),"",L64-K64)</f>
        <v/>
      </c>
      <c r="N64" s="24">
        <f>IF($A64="","",IF(L64="","NOT SUBMITTED",IF(M64=0,"MATCHED","CASH DIFFERENCE")))</f>
        <v/>
      </c>
    </row>
    <row r="65">
      <c r="A65">
        <f>IFERROR(INDEX(tblCollectors[Collector ID],17)&amp;"","")</f>
        <v/>
      </c>
      <c r="B65">
        <f>IF($A65="","",INDEX(tblCollectors[Collector Name],17))</f>
        <v/>
      </c>
      <c r="C65" s="24">
        <f>IF($B65="","",COUNTIFS(tblBilling[Month],DB_Month,tblBilling[Collector ID],$A65))</f>
        <v/>
      </c>
      <c r="D65" s="25">
        <f>IF($B65="","",SUMIFS(tblBilling[Monthly Fee],tblBilling[Month],DB_Month,tblBilling[Collector ID],$A65))</f>
        <v/>
      </c>
      <c r="E65" s="25">
        <f>IF($B65="","",SUMIFS(tblBilling[Amount Paid],tblBilling[Month],DB_Month,tblBilling[Collector ID],$A65))</f>
        <v/>
      </c>
      <c r="F65" s="25">
        <f>IF($B65="","",SUMIFS(tblBilling[Balance],tblBilling[Month],DB_Month,tblBilling[Collector ID],$A65))</f>
        <v/>
      </c>
      <c r="G65" s="24">
        <f>IF($B65="","",COUNTIFS(tblBilling[Month],DB_Month,tblBilling[Collector ID],$A65,tblBilling[Payment Status],"PAID"))</f>
        <v/>
      </c>
      <c r="H65" s="24">
        <f>IF($B65="","",COUNTIFS(tblBilling[Month],DB_Month,tblBilling[Collector ID],$A65,tblBilling[Payment Status],"PARTIAL"))</f>
        <v/>
      </c>
      <c r="I65" s="24">
        <f>IF($B65="","",COUNTIFS(tblBilling[Month],DB_Month,tblBilling[Collector ID],$A65,tblBilling[Payment Status],"PENDING"))</f>
        <v/>
      </c>
      <c r="J65" s="91">
        <f>IF(OR($B65="",N(D65)=0),"",E65/D65)</f>
        <v/>
      </c>
      <c r="K65" s="25">
        <f>IF($A65="","",SUMIFS(tblPayments[Amount],tblPayments[Collector ID],$A65,tblPayments[Month],DB_Month,tblPayments[Payment Method],"Cash",tblPayments[Voided],"&lt;&gt;Yes"))</f>
        <v/>
      </c>
      <c r="L65" s="25">
        <f>IF($A65="","",IF(COUNTIFS(tblCash[Month],DB_Month,tblCash[Collector ID],$A65,tblCash[Actual Cash Submitted],"&lt;&gt;")=0,"",SUMIFS(tblCash[Actual Cash Submitted],tblCash[Month],DB_Month,tblCash[Collector ID],$A65)))</f>
        <v/>
      </c>
      <c r="M65" s="92">
        <f>IF(OR($A65="",L65=""),"",L65-K65)</f>
        <v/>
      </c>
      <c r="N65" s="24">
        <f>IF($A65="","",IF(L65="","NOT SUBMITTED",IF(M65=0,"MATCHED","CASH DIFFERENCE")))</f>
        <v/>
      </c>
    </row>
    <row r="66">
      <c r="A66">
        <f>IFERROR(INDEX(tblCollectors[Collector ID],18)&amp;"","")</f>
        <v/>
      </c>
      <c r="B66">
        <f>IF($A66="","",INDEX(tblCollectors[Collector Name],18))</f>
        <v/>
      </c>
      <c r="C66" s="24">
        <f>IF($B66="","",COUNTIFS(tblBilling[Month],DB_Month,tblBilling[Collector ID],$A66))</f>
        <v/>
      </c>
      <c r="D66" s="25">
        <f>IF($B66="","",SUMIFS(tblBilling[Monthly Fee],tblBilling[Month],DB_Month,tblBilling[Collector ID],$A66))</f>
        <v/>
      </c>
      <c r="E66" s="25">
        <f>IF($B66="","",SUMIFS(tblBilling[Amount Paid],tblBilling[Month],DB_Month,tblBilling[Collector ID],$A66))</f>
        <v/>
      </c>
      <c r="F66" s="25">
        <f>IF($B66="","",SUMIFS(tblBilling[Balance],tblBilling[Month],DB_Month,tblBilling[Collector ID],$A66))</f>
        <v/>
      </c>
      <c r="G66" s="24">
        <f>IF($B66="","",COUNTIFS(tblBilling[Month],DB_Month,tblBilling[Collector ID],$A66,tblBilling[Payment Status],"PAID"))</f>
        <v/>
      </c>
      <c r="H66" s="24">
        <f>IF($B66="","",COUNTIFS(tblBilling[Month],DB_Month,tblBilling[Collector ID],$A66,tblBilling[Payment Status],"PARTIAL"))</f>
        <v/>
      </c>
      <c r="I66" s="24">
        <f>IF($B66="","",COUNTIFS(tblBilling[Month],DB_Month,tblBilling[Collector ID],$A66,tblBilling[Payment Status],"PENDING"))</f>
        <v/>
      </c>
      <c r="J66" s="91">
        <f>IF(OR($B66="",N(D66)=0),"",E66/D66)</f>
        <v/>
      </c>
      <c r="K66" s="25">
        <f>IF($A66="","",SUMIFS(tblPayments[Amount],tblPayments[Collector ID],$A66,tblPayments[Month],DB_Month,tblPayments[Payment Method],"Cash",tblPayments[Voided],"&lt;&gt;Yes"))</f>
        <v/>
      </c>
      <c r="L66" s="25">
        <f>IF($A66="","",IF(COUNTIFS(tblCash[Month],DB_Month,tblCash[Collector ID],$A66,tblCash[Actual Cash Submitted],"&lt;&gt;")=0,"",SUMIFS(tblCash[Actual Cash Submitted],tblCash[Month],DB_Month,tblCash[Collector ID],$A66)))</f>
        <v/>
      </c>
      <c r="M66" s="92">
        <f>IF(OR($A66="",L66=""),"",L66-K66)</f>
        <v/>
      </c>
      <c r="N66" s="24">
        <f>IF($A66="","",IF(L66="","NOT SUBMITTED",IF(M66=0,"MATCHED","CASH DIFFERENCE")))</f>
        <v/>
      </c>
    </row>
    <row r="67">
      <c r="A67">
        <f>IFERROR(INDEX(tblCollectors[Collector ID],19)&amp;"","")</f>
        <v/>
      </c>
      <c r="B67">
        <f>IF($A67="","",INDEX(tblCollectors[Collector Name],19))</f>
        <v/>
      </c>
      <c r="C67" s="24">
        <f>IF($B67="","",COUNTIFS(tblBilling[Month],DB_Month,tblBilling[Collector ID],$A67))</f>
        <v/>
      </c>
      <c r="D67" s="25">
        <f>IF($B67="","",SUMIFS(tblBilling[Monthly Fee],tblBilling[Month],DB_Month,tblBilling[Collector ID],$A67))</f>
        <v/>
      </c>
      <c r="E67" s="25">
        <f>IF($B67="","",SUMIFS(tblBilling[Amount Paid],tblBilling[Month],DB_Month,tblBilling[Collector ID],$A67))</f>
        <v/>
      </c>
      <c r="F67" s="25">
        <f>IF($B67="","",SUMIFS(tblBilling[Balance],tblBilling[Month],DB_Month,tblBilling[Collector ID],$A67))</f>
        <v/>
      </c>
      <c r="G67" s="24">
        <f>IF($B67="","",COUNTIFS(tblBilling[Month],DB_Month,tblBilling[Collector ID],$A67,tblBilling[Payment Status],"PAID"))</f>
        <v/>
      </c>
      <c r="H67" s="24">
        <f>IF($B67="","",COUNTIFS(tblBilling[Month],DB_Month,tblBilling[Collector ID],$A67,tblBilling[Payment Status],"PARTIAL"))</f>
        <v/>
      </c>
      <c r="I67" s="24">
        <f>IF($B67="","",COUNTIFS(tblBilling[Month],DB_Month,tblBilling[Collector ID],$A67,tblBilling[Payment Status],"PENDING"))</f>
        <v/>
      </c>
      <c r="J67" s="91">
        <f>IF(OR($B67="",N(D67)=0),"",E67/D67)</f>
        <v/>
      </c>
      <c r="K67" s="25">
        <f>IF($A67="","",SUMIFS(tblPayments[Amount],tblPayments[Collector ID],$A67,tblPayments[Month],DB_Month,tblPayments[Payment Method],"Cash",tblPayments[Voided],"&lt;&gt;Yes"))</f>
        <v/>
      </c>
      <c r="L67" s="25">
        <f>IF($A67="","",IF(COUNTIFS(tblCash[Month],DB_Month,tblCash[Collector ID],$A67,tblCash[Actual Cash Submitted],"&lt;&gt;")=0,"",SUMIFS(tblCash[Actual Cash Submitted],tblCash[Month],DB_Month,tblCash[Collector ID],$A67)))</f>
        <v/>
      </c>
      <c r="M67" s="92">
        <f>IF(OR($A67="",L67=""),"",L67-K67)</f>
        <v/>
      </c>
      <c r="N67" s="24">
        <f>IF($A67="","",IF(L67="","NOT SUBMITTED",IF(M67=0,"MATCHED","CASH DIFFERENCE")))</f>
        <v/>
      </c>
    </row>
    <row r="68">
      <c r="A68">
        <f>IFERROR(INDEX(tblCollectors[Collector ID],20)&amp;"","")</f>
        <v/>
      </c>
      <c r="B68">
        <f>IF($A68="","",INDEX(tblCollectors[Collector Name],20))</f>
        <v/>
      </c>
      <c r="C68" s="24">
        <f>IF($B68="","",COUNTIFS(tblBilling[Month],DB_Month,tblBilling[Collector ID],$A68))</f>
        <v/>
      </c>
      <c r="D68" s="25">
        <f>IF($B68="","",SUMIFS(tblBilling[Monthly Fee],tblBilling[Month],DB_Month,tblBilling[Collector ID],$A68))</f>
        <v/>
      </c>
      <c r="E68" s="25">
        <f>IF($B68="","",SUMIFS(tblBilling[Amount Paid],tblBilling[Month],DB_Month,tblBilling[Collector ID],$A68))</f>
        <v/>
      </c>
      <c r="F68" s="25">
        <f>IF($B68="","",SUMIFS(tblBilling[Balance],tblBilling[Month],DB_Month,tblBilling[Collector ID],$A68))</f>
        <v/>
      </c>
      <c r="G68" s="24">
        <f>IF($B68="","",COUNTIFS(tblBilling[Month],DB_Month,tblBilling[Collector ID],$A68,tblBilling[Payment Status],"PAID"))</f>
        <v/>
      </c>
      <c r="H68" s="24">
        <f>IF($B68="","",COUNTIFS(tblBilling[Month],DB_Month,tblBilling[Collector ID],$A68,tblBilling[Payment Status],"PARTIAL"))</f>
        <v/>
      </c>
      <c r="I68" s="24">
        <f>IF($B68="","",COUNTIFS(tblBilling[Month],DB_Month,tblBilling[Collector ID],$A68,tblBilling[Payment Status],"PENDING"))</f>
        <v/>
      </c>
      <c r="J68" s="91">
        <f>IF(OR($B68="",N(D68)=0),"",E68/D68)</f>
        <v/>
      </c>
      <c r="K68" s="25">
        <f>IF($A68="","",SUMIFS(tblPayments[Amount],tblPayments[Collector ID],$A68,tblPayments[Month],DB_Month,tblPayments[Payment Method],"Cash",tblPayments[Voided],"&lt;&gt;Yes"))</f>
        <v/>
      </c>
      <c r="L68" s="25">
        <f>IF($A68="","",IF(COUNTIFS(tblCash[Month],DB_Month,tblCash[Collector ID],$A68,tblCash[Actual Cash Submitted],"&lt;&gt;")=0,"",SUMIFS(tblCash[Actual Cash Submitted],tblCash[Month],DB_Month,tblCash[Collector ID],$A68)))</f>
        <v/>
      </c>
      <c r="M68" s="92">
        <f>IF(OR($A68="",L68=""),"",L68-K68)</f>
        <v/>
      </c>
      <c r="N68" s="24">
        <f>IF($A68="","",IF(L68="","NOT SUBMITTED",IF(M68=0,"MATCHED","CASH DIFFERENCE")))</f>
        <v/>
      </c>
    </row>
    <row r="69">
      <c r="B69" t="inlineStr">
        <is>
          <t>Unassigned</t>
        </is>
      </c>
      <c r="C69" s="24">
        <f>IF($B69="","",COUNTIFS(tblBilling[Month],DB_Month,tblBilling[Collector ID],""))</f>
        <v/>
      </c>
      <c r="D69" s="25">
        <f>IF($B69="","",SUMIFS(tblBilling[Monthly Fee],tblBilling[Month],DB_Month,tblBilling[Collector ID],""))</f>
        <v/>
      </c>
      <c r="E69" s="25">
        <f>IF($B69="","",SUMIFS(tblBilling[Amount Paid],tblBilling[Month],DB_Month,tblBilling[Collector ID],""))</f>
        <v/>
      </c>
      <c r="F69" s="25">
        <f>IF($B69="","",SUMIFS(tblBilling[Balance],tblBilling[Month],DB_Month,tblBilling[Collector ID],""))</f>
        <v/>
      </c>
      <c r="G69" s="24">
        <f>IF($B69="","",COUNTIFS(tblBilling[Month],DB_Month,tblBilling[Collector ID],"",tblBilling[Payment Status],"PAID"))</f>
        <v/>
      </c>
      <c r="H69" s="24">
        <f>IF($B69="","",COUNTIFS(tblBilling[Month],DB_Month,tblBilling[Collector ID],"",tblBilling[Payment Status],"PARTIAL"))</f>
        <v/>
      </c>
      <c r="I69" s="24">
        <f>IF($B69="","",COUNTIFS(tblBilling[Month],DB_Month,tblBilling[Collector ID],"",tblBilling[Payment Status],"PENDING"))</f>
        <v/>
      </c>
      <c r="J69" s="91">
        <f>IF(OR($B69="",N(D69)=0),"",E69/D69)</f>
        <v/>
      </c>
    </row>
    <row r="71">
      <c r="A71" s="16" t="inlineStr">
        <is>
          <t>Expected Cash = cash payments recorded under that collector for the month. Actual Cash = amount entered in CASH_RECONCILIATION. A difference is only shown as a number - please add an explanation in CASH_RECONCILIATION &gt; Remarks.</t>
        </is>
      </c>
    </row>
    <row r="72">
      <c r="A72" s="9" t="inlineStr">
        <is>
          <t>Open Cash Reconciliation ►</t>
        </is>
      </c>
      <c r="D72" s="9" t="inlineStr">
        <is>
          <t>Print recovery lists ►</t>
        </is>
      </c>
      <c r="G72" s="9" t="inlineStr">
        <is>
          <t>Reports &amp; monthly comparison ►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9:K44"/>
  <conditionalFormatting sqref="A20:K44">
    <cfRule type="expression" priority="1" dxfId="0">
      <formula>$A20&lt;&gt;""</formula>
    </cfRule>
  </conditionalFormatting>
  <conditionalFormatting sqref="A49:N69">
    <cfRule type="expression" priority="2" dxfId="0">
      <formula>$B49&lt;&gt;""</formula>
    </cfRule>
  </conditionalFormatting>
  <conditionalFormatting sqref="M49:M69">
    <cfRule type="expression" priority="3" dxfId="1">
      <formula>AND(M49&lt;&gt;"",M49&lt;0)</formula>
    </cfRule>
    <cfRule type="expression" priority="4" dxfId="2">
      <formula>AND(M49&lt;&gt;"",M49&gt;0)</formula>
    </cfRule>
  </conditionalFormatting>
  <conditionalFormatting sqref="N49:N69">
    <cfRule type="cellIs" priority="5" operator="equal" dxfId="3">
      <formula>"CASH DIFFERENCE"</formula>
    </cfRule>
  </conditionalFormatting>
  <dataValidations count="1">
    <dataValidation sqref="C2" showDropDown="0" showInputMessage="1" showErrorMessage="1" allowBlank="1" errorTitle="CITY LINKS" error="Choose a month in the format YYYY-MM, e.g. 2026-10." promptTitle="CITY LINKS" prompt="Select a month. Default = Current Month from SETTINGS." type="list">
      <formula1>L_Months</formula1>
    </dataValidation>
  </dataValidations>
  <hyperlinks>
    <hyperlink ref="N1" location="'HOME'!A1" display="◄ HOME"/>
    <hyperlink ref="A72" location="'CASH_RECONCILIATION'!A1" display="Open Cash Reconciliation ►"/>
    <hyperlink ref="D72" location="'PRINT_CENTER'!A1" display="Print recovery lists ►"/>
    <hyperlink ref="G72" location="'REPORTS'!A1" display="Reports &amp; monthly comparison ►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V20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6" customWidth="1" min="4" max="4"/>
    <col width="10" customWidth="1" min="5" max="5"/>
    <col width="16" customWidth="1" min="6" max="6"/>
    <col width="28" customWidth="1" min="7" max="7"/>
    <col width="9" customWidth="1" min="8" max="8"/>
    <col width="14" customWidth="1" min="9" max="9"/>
    <col width="11" customWidth="1" min="10" max="10"/>
    <col width="11" customWidth="1" min="11" max="11"/>
    <col width="11" customWidth="1" min="12" max="12"/>
    <col width="8" customWidth="1" min="13" max="13"/>
    <col width="14" customWidth="1" min="14" max="14"/>
    <col width="12" customWidth="1" min="15" max="15"/>
    <col width="13" customWidth="1" min="16" max="16"/>
    <col width="12" customWidth="1" min="17" max="17"/>
    <col width="24" customWidth="1" min="18" max="18"/>
    <col width="13" customWidth="1" min="19" max="19"/>
    <col width="13" customWidth="1" min="20" max="20"/>
    <col width="40" customWidth="1" min="21" max="21"/>
    <col width="8" customWidth="1" min="22" max="22"/>
  </cols>
  <sheetData>
    <row r="1">
      <c r="A1" s="13" t="inlineStr">
        <is>
          <t>CUSTOMER MASTER</t>
        </is>
      </c>
      <c r="M1" s="9" t="inlineStr">
        <is>
          <t>◄ HOME</t>
        </is>
      </c>
    </row>
    <row r="2">
      <c r="A2" s="16" t="inlineStr">
        <is>
          <t>One row per customer. Grey columns are calculated. Area / Street / Address come from Location Code.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Customer ID</t>
        </is>
      </c>
      <c r="B4" s="29" t="inlineStr">
        <is>
          <t>Customer Name</t>
        </is>
      </c>
      <c r="C4" s="29" t="inlineStr">
        <is>
          <t>Location Code</t>
        </is>
      </c>
      <c r="D4" s="30" t="inlineStr">
        <is>
          <t>Area</t>
        </is>
      </c>
      <c r="E4" s="30" t="inlineStr">
        <is>
          <t>Street</t>
        </is>
      </c>
      <c r="F4" s="29" t="inlineStr">
        <is>
          <t>Address Detail</t>
        </is>
      </c>
      <c r="G4" s="30" t="inlineStr">
        <is>
          <t>Full Address</t>
        </is>
      </c>
      <c r="H4" s="29" t="inlineStr">
        <is>
          <t>VLAN ID</t>
        </is>
      </c>
      <c r="I4" s="29" t="inlineStr">
        <is>
          <t>Package</t>
        </is>
      </c>
      <c r="J4" s="30" t="inlineStr">
        <is>
          <t>Package Fee</t>
        </is>
      </c>
      <c r="K4" s="29" t="inlineStr">
        <is>
          <t>Fee Override</t>
        </is>
      </c>
      <c r="L4" s="30" t="inlineStr">
        <is>
          <t>Monthly Fee</t>
        </is>
      </c>
      <c r="M4" s="29" t="inlineStr">
        <is>
          <t>Due Date</t>
        </is>
      </c>
      <c r="N4" s="29" t="inlineStr">
        <is>
          <t>Mobile Number</t>
        </is>
      </c>
      <c r="O4" s="29" t="inlineStr">
        <is>
          <t>Default Collector ID</t>
        </is>
      </c>
      <c r="P4" s="29" t="inlineStr">
        <is>
          <t>Connection Date</t>
        </is>
      </c>
      <c r="Q4" s="29" t="inlineStr">
        <is>
          <t>Customer Status</t>
        </is>
      </c>
      <c r="R4" s="29" t="inlineStr">
        <is>
          <t>Notes</t>
        </is>
      </c>
      <c r="S4" s="31" t="inlineStr">
        <is>
          <t>Created Date</t>
        </is>
      </c>
      <c r="T4" s="31" t="inlineStr">
        <is>
          <t>Last Updated</t>
        </is>
      </c>
      <c r="U4" s="30" t="inlineStr">
        <is>
          <t>Data Check</t>
        </is>
      </c>
      <c r="V4" s="30" t="inlineStr">
        <is>
          <t>Search Match</t>
        </is>
      </c>
    </row>
    <row r="5">
      <c r="A5" s="32" t="n"/>
      <c r="C5" s="32" t="n"/>
      <c r="D5" s="33">
        <f>IFERROR(INDEX(tblLocations[Area Name],MATCH(tblCustomers[[#This Row],[Location Code]],tblLocations[Location Code],0)),"")</f>
        <v/>
      </c>
      <c r="E5" s="33">
        <f>IFERROR(INDEX(tblLocations[Street Name],MATCH(tblCustomers[[#This Row],[Location Code]],tblLocations[Location Code],0))&amp;"","")</f>
        <v/>
      </c>
      <c r="G5" s="33">
        <f>IFERROR(INDEX(tblLocations[Full Address],MATCH(tblCustomers[[#This Row],[Location Code]],tblLocations[Location Code],0)),"")&amp;IF(tblCustomers[[#This Row],[Address Detail]]="","",", "&amp;tblCustomers[[#This Row],[Address Detail]])</f>
        <v/>
      </c>
      <c r="H5" s="32" t="n"/>
      <c r="J5" s="34">
        <f>IFERROR(INDEX(tblPackages[Default Monthly Fee],MATCH(tblCustomers[[#This Row],[Package]],tblPackages[Package Name],0)),"")</f>
        <v/>
      </c>
      <c r="L5" s="34">
        <f>IF(tblCustomers[[#This Row],[Fee Override]]&lt;&gt;"",tblCustomers[[#This Row],[Fee Override]],tblCustomers[[#This Row],[Package Fee]])</f>
        <v/>
      </c>
      <c r="N5" s="32" t="n"/>
      <c r="O5" s="32" t="n"/>
      <c r="U5" s="33">
        <f>TRIM(IF(COUNTIF(tblCustomers[Customer ID],tblCustomers[[#This Row],[Customer ID]])&gt;1,"DUPLICATE CUSTOMER ID. ","")&amp;IF(tblCustomers[[#This Row],[Customer Name]]="","NAME MISSING. ","")&amp;IF(tblCustomers[[#This Row],[Location Code]]="","LOCATION CODE MISSING. ",IF(ISNA(MATCH(tblCustomers[[#This Row],[Location Code]],tblLocations[Location Code],0)),"LOCATION CODE "&amp;tblCustomers[[#This Row],[Location Code]]&amp;" DOES NOT EXIST. ",""))&amp;IF(tblCustomers[[#This Row],[VLAN ID]]="","VLAN ID MISSING. ","")&amp;IF(tblCustomers[[#This Row],[Monthly Fee]]="","MONTHLY FEE MISSING. ","")&amp;IF(tblCustomers[[#This Row],[Due Date]]="","DUE DATE MISSING. ","")&amp;IF(tblCustomers[[#This Row],[Customer Status]]="","STATUS MISSING. ","")&amp;IF(AND(tblCustomers[[#This Row],[Mobile Number]]&lt;&gt;"",COUNTIF(tblCustomers[Mobile Number],tblCustomers[[#This Row],[Mobile Number]])&gt;1),"POSSIBLE DUPLICATE: SAME MOBILE. ","")&amp;IF(AND(tblCustomers[[#This Row],[Customer Name]]&lt;&gt;"",COUNTIFS(tblCustomers[Customer Name],tblCustomers[[#This Row],[Customer Name]],tblCustomers[Location Code],tblCustomers[[#This Row],[Location Code]])&gt;1),"POSSIBLE DUPLICATE: SAME NAME + LOCATION. ","")&amp;IF(AND(tblCustomers[[#This Row],[VLAN ID]]&lt;&gt;"",tblCustomers[[#This Row],[Customer Status]]="Active",COUNTIFS(tblCustomers[VLAN ID],tblCustomers[[#This Row],[VLAN ID]],tblCustomers[Customer Status],"Active")&gt;1),"VLAN USED BY ANOTHER ACTIVE CUSTOMER. ",""))</f>
        <v/>
      </c>
      <c r="V5" s="33">
        <f>IF(CH_SearchText="",0,IF(ISNUMBER(SEARCH(CH_SearchText,CHOOSE(MATCH(CH_SearchType,L_SearchTypes,0),tblCustomers[[#This Row],[Customer ID]],tblCustomers[[#This Row],[Customer Name]],SUBSTITUTE(SUBSTITUTE(tblCustomers[[#This Row],[Mobile Number]],"-","")," ",""),tblCustomers[[#This Row],[VLAN ID]]&amp;"",tblCustomers[[#This Row],[Location Code]],tblCustomers[[#This Row],[Area]],tblCustomers[[#This Row],[Customer ID]]&amp;"|"&amp;tblCustomers[[#This Row],[Customer Name]]&amp;"|"&amp;SUBSTITUTE(tblCustomers[[#This Row],[Mobile Number]],"-","")&amp;"|"&amp;tblCustomers[[#This Row],[VLAN ID]]&amp;"|"&amp;tblCustomers[[#This Row],[Location Code]]&amp;"|"&amp;tblCustomers[[#This Row],[Area]]))),1,0))</f>
        <v/>
      </c>
    </row>
    <row r="6">
      <c r="A6" s="32" t="n"/>
      <c r="C6" s="32" t="n"/>
      <c r="H6" s="32" t="n"/>
      <c r="N6" s="32" t="n"/>
      <c r="O6" s="32" t="n"/>
    </row>
    <row r="7">
      <c r="A7" s="32" t="n"/>
      <c r="C7" s="32" t="n"/>
      <c r="H7" s="32" t="n"/>
      <c r="N7" s="32" t="n"/>
      <c r="O7" s="32" t="n"/>
    </row>
    <row r="8">
      <c r="A8" s="32" t="n"/>
      <c r="C8" s="32" t="n"/>
      <c r="H8" s="32" t="n"/>
      <c r="N8" s="32" t="n"/>
      <c r="O8" s="32" t="n"/>
    </row>
    <row r="9">
      <c r="A9" s="32" t="n"/>
      <c r="C9" s="32" t="n"/>
      <c r="H9" s="32" t="n"/>
      <c r="N9" s="32" t="n"/>
      <c r="O9" s="32" t="n"/>
    </row>
    <row r="10">
      <c r="A10" s="32" t="n"/>
      <c r="C10" s="32" t="n"/>
      <c r="H10" s="32" t="n"/>
      <c r="N10" s="32" t="n"/>
      <c r="O10" s="32" t="n"/>
    </row>
    <row r="11">
      <c r="A11" s="32" t="n"/>
      <c r="C11" s="32" t="n"/>
      <c r="H11" s="32" t="n"/>
      <c r="N11" s="32" t="n"/>
      <c r="O11" s="32" t="n"/>
    </row>
    <row r="12">
      <c r="A12" s="32" t="n"/>
      <c r="C12" s="32" t="n"/>
      <c r="H12" s="32" t="n"/>
      <c r="N12" s="32" t="n"/>
      <c r="O12" s="32" t="n"/>
    </row>
    <row r="13">
      <c r="A13" s="32" t="n"/>
      <c r="C13" s="32" t="n"/>
      <c r="H13" s="32" t="n"/>
      <c r="N13" s="32" t="n"/>
      <c r="O13" s="32" t="n"/>
    </row>
    <row r="14">
      <c r="A14" s="32" t="n"/>
      <c r="C14" s="32" t="n"/>
      <c r="H14" s="32" t="n"/>
      <c r="N14" s="32" t="n"/>
      <c r="O14" s="32" t="n"/>
    </row>
    <row r="15">
      <c r="A15" s="32" t="n"/>
      <c r="C15" s="32" t="n"/>
      <c r="H15" s="32" t="n"/>
      <c r="N15" s="32" t="n"/>
      <c r="O15" s="32" t="n"/>
    </row>
    <row r="16">
      <c r="A16" s="32" t="n"/>
      <c r="C16" s="32" t="n"/>
      <c r="H16" s="32" t="n"/>
      <c r="N16" s="32" t="n"/>
      <c r="O16" s="32" t="n"/>
    </row>
    <row r="17">
      <c r="A17" s="32" t="n"/>
      <c r="C17" s="32" t="n"/>
      <c r="H17" s="32" t="n"/>
      <c r="N17" s="32" t="n"/>
      <c r="O17" s="32" t="n"/>
    </row>
    <row r="18">
      <c r="A18" s="32" t="n"/>
      <c r="C18" s="32" t="n"/>
      <c r="H18" s="32" t="n"/>
      <c r="N18" s="32" t="n"/>
      <c r="O18" s="32" t="n"/>
    </row>
    <row r="19">
      <c r="A19" s="32" t="n"/>
      <c r="C19" s="32" t="n"/>
      <c r="H19" s="32" t="n"/>
      <c r="N19" s="32" t="n"/>
      <c r="O19" s="32" t="n"/>
    </row>
    <row r="20">
      <c r="A20" s="32" t="n"/>
      <c r="C20" s="32" t="n"/>
      <c r="H20" s="32" t="n"/>
      <c r="N20" s="32" t="n"/>
      <c r="O20" s="32" t="n"/>
    </row>
    <row r="21">
      <c r="A21" s="32" t="n"/>
      <c r="C21" s="32" t="n"/>
      <c r="H21" s="32" t="n"/>
      <c r="N21" s="32" t="n"/>
      <c r="O21" s="32" t="n"/>
    </row>
    <row r="22">
      <c r="A22" s="32" t="n"/>
      <c r="C22" s="32" t="n"/>
      <c r="H22" s="32" t="n"/>
      <c r="N22" s="32" t="n"/>
      <c r="O22" s="32" t="n"/>
    </row>
    <row r="23">
      <c r="A23" s="32" t="n"/>
      <c r="C23" s="32" t="n"/>
      <c r="H23" s="32" t="n"/>
      <c r="N23" s="32" t="n"/>
      <c r="O23" s="32" t="n"/>
    </row>
    <row r="24">
      <c r="A24" s="32" t="n"/>
      <c r="C24" s="32" t="n"/>
      <c r="H24" s="32" t="n"/>
      <c r="N24" s="32" t="n"/>
      <c r="O24" s="32" t="n"/>
    </row>
    <row r="25">
      <c r="A25" s="32" t="n"/>
      <c r="C25" s="32" t="n"/>
      <c r="H25" s="32" t="n"/>
      <c r="N25" s="32" t="n"/>
      <c r="O25" s="32" t="n"/>
    </row>
    <row r="26">
      <c r="A26" s="32" t="n"/>
      <c r="C26" s="32" t="n"/>
      <c r="H26" s="32" t="n"/>
      <c r="N26" s="32" t="n"/>
      <c r="O26" s="32" t="n"/>
    </row>
    <row r="27">
      <c r="A27" s="32" t="n"/>
      <c r="C27" s="32" t="n"/>
      <c r="H27" s="32" t="n"/>
      <c r="N27" s="32" t="n"/>
      <c r="O27" s="32" t="n"/>
    </row>
    <row r="28">
      <c r="A28" s="32" t="n"/>
      <c r="C28" s="32" t="n"/>
      <c r="H28" s="32" t="n"/>
      <c r="N28" s="32" t="n"/>
      <c r="O28" s="32" t="n"/>
    </row>
    <row r="29">
      <c r="A29" s="32" t="n"/>
      <c r="C29" s="32" t="n"/>
      <c r="H29" s="32" t="n"/>
      <c r="N29" s="32" t="n"/>
      <c r="O29" s="32" t="n"/>
    </row>
    <row r="30">
      <c r="A30" s="32" t="n"/>
      <c r="C30" s="32" t="n"/>
      <c r="H30" s="32" t="n"/>
      <c r="N30" s="32" t="n"/>
      <c r="O30" s="32" t="n"/>
    </row>
    <row r="31">
      <c r="A31" s="32" t="n"/>
      <c r="C31" s="32" t="n"/>
      <c r="H31" s="32" t="n"/>
      <c r="N31" s="32" t="n"/>
      <c r="O31" s="32" t="n"/>
    </row>
    <row r="32">
      <c r="A32" s="32" t="n"/>
      <c r="C32" s="32" t="n"/>
      <c r="H32" s="32" t="n"/>
      <c r="N32" s="32" t="n"/>
      <c r="O32" s="32" t="n"/>
    </row>
    <row r="33">
      <c r="A33" s="32" t="n"/>
      <c r="C33" s="32" t="n"/>
      <c r="H33" s="32" t="n"/>
      <c r="N33" s="32" t="n"/>
      <c r="O33" s="32" t="n"/>
    </row>
    <row r="34">
      <c r="A34" s="32" t="n"/>
      <c r="C34" s="32" t="n"/>
      <c r="H34" s="32" t="n"/>
      <c r="N34" s="32" t="n"/>
      <c r="O34" s="32" t="n"/>
    </row>
    <row r="35">
      <c r="A35" s="32" t="n"/>
      <c r="C35" s="32" t="n"/>
      <c r="H35" s="32" t="n"/>
      <c r="N35" s="32" t="n"/>
      <c r="O35" s="32" t="n"/>
    </row>
    <row r="36">
      <c r="A36" s="32" t="n"/>
      <c r="C36" s="32" t="n"/>
      <c r="H36" s="32" t="n"/>
      <c r="N36" s="32" t="n"/>
      <c r="O36" s="32" t="n"/>
    </row>
    <row r="37">
      <c r="A37" s="32" t="n"/>
      <c r="C37" s="32" t="n"/>
      <c r="H37" s="32" t="n"/>
      <c r="N37" s="32" t="n"/>
      <c r="O37" s="32" t="n"/>
    </row>
    <row r="38">
      <c r="A38" s="32" t="n"/>
      <c r="C38" s="32" t="n"/>
      <c r="H38" s="32" t="n"/>
      <c r="N38" s="32" t="n"/>
      <c r="O38" s="32" t="n"/>
    </row>
    <row r="39">
      <c r="A39" s="32" t="n"/>
      <c r="C39" s="32" t="n"/>
      <c r="H39" s="32" t="n"/>
      <c r="N39" s="32" t="n"/>
      <c r="O39" s="32" t="n"/>
    </row>
    <row r="40">
      <c r="A40" s="32" t="n"/>
      <c r="C40" s="32" t="n"/>
      <c r="H40" s="32" t="n"/>
      <c r="N40" s="32" t="n"/>
      <c r="O40" s="32" t="n"/>
    </row>
    <row r="41">
      <c r="A41" s="32" t="n"/>
      <c r="C41" s="32" t="n"/>
      <c r="H41" s="32" t="n"/>
      <c r="N41" s="32" t="n"/>
      <c r="O41" s="32" t="n"/>
    </row>
    <row r="42">
      <c r="A42" s="32" t="n"/>
      <c r="C42" s="32" t="n"/>
      <c r="H42" s="32" t="n"/>
      <c r="N42" s="32" t="n"/>
      <c r="O42" s="32" t="n"/>
    </row>
    <row r="43">
      <c r="A43" s="32" t="n"/>
      <c r="C43" s="32" t="n"/>
      <c r="H43" s="32" t="n"/>
      <c r="N43" s="32" t="n"/>
      <c r="O43" s="32" t="n"/>
    </row>
    <row r="44">
      <c r="A44" s="32" t="n"/>
      <c r="C44" s="32" t="n"/>
      <c r="H44" s="32" t="n"/>
      <c r="N44" s="32" t="n"/>
      <c r="O44" s="32" t="n"/>
    </row>
    <row r="45">
      <c r="A45" s="32" t="n"/>
      <c r="C45" s="32" t="n"/>
      <c r="H45" s="32" t="n"/>
      <c r="N45" s="32" t="n"/>
      <c r="O45" s="32" t="n"/>
    </row>
    <row r="46">
      <c r="A46" s="32" t="n"/>
      <c r="C46" s="32" t="n"/>
      <c r="H46" s="32" t="n"/>
      <c r="N46" s="32" t="n"/>
      <c r="O46" s="32" t="n"/>
    </row>
    <row r="47">
      <c r="A47" s="32" t="n"/>
      <c r="C47" s="32" t="n"/>
      <c r="H47" s="32" t="n"/>
      <c r="N47" s="32" t="n"/>
      <c r="O47" s="32" t="n"/>
    </row>
    <row r="48">
      <c r="A48" s="32" t="n"/>
      <c r="C48" s="32" t="n"/>
      <c r="H48" s="32" t="n"/>
      <c r="N48" s="32" t="n"/>
      <c r="O48" s="32" t="n"/>
    </row>
    <row r="49">
      <c r="A49" s="32" t="n"/>
      <c r="C49" s="32" t="n"/>
      <c r="H49" s="32" t="n"/>
      <c r="N49" s="32" t="n"/>
      <c r="O49" s="32" t="n"/>
    </row>
    <row r="50">
      <c r="A50" s="32" t="n"/>
      <c r="C50" s="32" t="n"/>
      <c r="H50" s="32" t="n"/>
      <c r="N50" s="32" t="n"/>
      <c r="O50" s="32" t="n"/>
    </row>
    <row r="51">
      <c r="A51" s="32" t="n"/>
      <c r="C51" s="32" t="n"/>
      <c r="H51" s="32" t="n"/>
      <c r="N51" s="32" t="n"/>
      <c r="O51" s="32" t="n"/>
    </row>
    <row r="52">
      <c r="A52" s="32" t="n"/>
      <c r="C52" s="32" t="n"/>
      <c r="H52" s="32" t="n"/>
      <c r="N52" s="32" t="n"/>
      <c r="O52" s="32" t="n"/>
    </row>
    <row r="53">
      <c r="A53" s="32" t="n"/>
      <c r="C53" s="32" t="n"/>
      <c r="H53" s="32" t="n"/>
      <c r="N53" s="32" t="n"/>
      <c r="O53" s="32" t="n"/>
    </row>
    <row r="54">
      <c r="A54" s="32" t="n"/>
      <c r="C54" s="32" t="n"/>
      <c r="H54" s="32" t="n"/>
      <c r="N54" s="32" t="n"/>
      <c r="O54" s="32" t="n"/>
    </row>
    <row r="55">
      <c r="A55" s="32" t="n"/>
      <c r="C55" s="32" t="n"/>
      <c r="H55" s="32" t="n"/>
      <c r="N55" s="32" t="n"/>
      <c r="O55" s="32" t="n"/>
    </row>
    <row r="56">
      <c r="A56" s="32" t="n"/>
      <c r="C56" s="32" t="n"/>
      <c r="H56" s="32" t="n"/>
      <c r="N56" s="32" t="n"/>
      <c r="O56" s="32" t="n"/>
    </row>
    <row r="57">
      <c r="A57" s="32" t="n"/>
      <c r="C57" s="32" t="n"/>
      <c r="H57" s="32" t="n"/>
      <c r="N57" s="32" t="n"/>
      <c r="O57" s="32" t="n"/>
    </row>
    <row r="58">
      <c r="A58" s="32" t="n"/>
      <c r="C58" s="32" t="n"/>
      <c r="H58" s="32" t="n"/>
      <c r="N58" s="32" t="n"/>
      <c r="O58" s="32" t="n"/>
    </row>
    <row r="59">
      <c r="A59" s="32" t="n"/>
      <c r="C59" s="32" t="n"/>
      <c r="H59" s="32" t="n"/>
      <c r="N59" s="32" t="n"/>
      <c r="O59" s="32" t="n"/>
    </row>
    <row r="60">
      <c r="A60" s="32" t="n"/>
      <c r="C60" s="32" t="n"/>
      <c r="H60" s="32" t="n"/>
      <c r="N60" s="32" t="n"/>
      <c r="O60" s="32" t="n"/>
    </row>
    <row r="61">
      <c r="A61" s="32" t="n"/>
      <c r="C61" s="32" t="n"/>
      <c r="H61" s="32" t="n"/>
      <c r="N61" s="32" t="n"/>
      <c r="O61" s="32" t="n"/>
    </row>
    <row r="62">
      <c r="A62" s="32" t="n"/>
      <c r="C62" s="32" t="n"/>
      <c r="H62" s="32" t="n"/>
      <c r="N62" s="32" t="n"/>
      <c r="O62" s="32" t="n"/>
    </row>
    <row r="63">
      <c r="A63" s="32" t="n"/>
      <c r="C63" s="32" t="n"/>
      <c r="H63" s="32" t="n"/>
      <c r="N63" s="32" t="n"/>
      <c r="O63" s="32" t="n"/>
    </row>
    <row r="64">
      <c r="A64" s="32" t="n"/>
      <c r="C64" s="32" t="n"/>
      <c r="H64" s="32" t="n"/>
      <c r="N64" s="32" t="n"/>
      <c r="O64" s="32" t="n"/>
    </row>
    <row r="65">
      <c r="A65" s="32" t="n"/>
      <c r="C65" s="32" t="n"/>
      <c r="H65" s="32" t="n"/>
      <c r="N65" s="32" t="n"/>
      <c r="O65" s="32" t="n"/>
    </row>
    <row r="66">
      <c r="A66" s="32" t="n"/>
      <c r="C66" s="32" t="n"/>
      <c r="H66" s="32" t="n"/>
      <c r="N66" s="32" t="n"/>
      <c r="O66" s="32" t="n"/>
    </row>
    <row r="67">
      <c r="A67" s="32" t="n"/>
      <c r="C67" s="32" t="n"/>
      <c r="H67" s="32" t="n"/>
      <c r="N67" s="32" t="n"/>
      <c r="O67" s="32" t="n"/>
    </row>
    <row r="68">
      <c r="A68" s="32" t="n"/>
      <c r="C68" s="32" t="n"/>
      <c r="H68" s="32" t="n"/>
      <c r="N68" s="32" t="n"/>
      <c r="O68" s="32" t="n"/>
    </row>
    <row r="69">
      <c r="A69" s="32" t="n"/>
      <c r="C69" s="32" t="n"/>
      <c r="H69" s="32" t="n"/>
      <c r="N69" s="32" t="n"/>
      <c r="O69" s="32" t="n"/>
    </row>
    <row r="70">
      <c r="A70" s="32" t="n"/>
      <c r="C70" s="32" t="n"/>
      <c r="H70" s="32" t="n"/>
      <c r="N70" s="32" t="n"/>
      <c r="O70" s="32" t="n"/>
    </row>
    <row r="71">
      <c r="A71" s="32" t="n"/>
      <c r="C71" s="32" t="n"/>
      <c r="H71" s="32" t="n"/>
      <c r="N71" s="32" t="n"/>
      <c r="O71" s="32" t="n"/>
    </row>
    <row r="72">
      <c r="A72" s="32" t="n"/>
      <c r="C72" s="32" t="n"/>
      <c r="H72" s="32" t="n"/>
      <c r="N72" s="32" t="n"/>
      <c r="O72" s="32" t="n"/>
    </row>
    <row r="73">
      <c r="A73" s="32" t="n"/>
      <c r="C73" s="32" t="n"/>
      <c r="H73" s="32" t="n"/>
      <c r="N73" s="32" t="n"/>
      <c r="O73" s="32" t="n"/>
    </row>
    <row r="74">
      <c r="A74" s="32" t="n"/>
      <c r="C74" s="32" t="n"/>
      <c r="H74" s="32" t="n"/>
      <c r="N74" s="32" t="n"/>
      <c r="O74" s="32" t="n"/>
    </row>
    <row r="75">
      <c r="A75" s="32" t="n"/>
      <c r="C75" s="32" t="n"/>
      <c r="H75" s="32" t="n"/>
      <c r="N75" s="32" t="n"/>
      <c r="O75" s="32" t="n"/>
    </row>
    <row r="76">
      <c r="A76" s="32" t="n"/>
      <c r="C76" s="32" t="n"/>
      <c r="H76" s="32" t="n"/>
      <c r="N76" s="32" t="n"/>
      <c r="O76" s="32" t="n"/>
    </row>
    <row r="77">
      <c r="A77" s="32" t="n"/>
      <c r="C77" s="32" t="n"/>
      <c r="H77" s="32" t="n"/>
      <c r="N77" s="32" t="n"/>
      <c r="O77" s="32" t="n"/>
    </row>
    <row r="78">
      <c r="A78" s="32" t="n"/>
      <c r="C78" s="32" t="n"/>
      <c r="H78" s="32" t="n"/>
      <c r="N78" s="32" t="n"/>
      <c r="O78" s="32" t="n"/>
    </row>
    <row r="79">
      <c r="A79" s="32" t="n"/>
      <c r="C79" s="32" t="n"/>
      <c r="H79" s="32" t="n"/>
      <c r="N79" s="32" t="n"/>
      <c r="O79" s="32" t="n"/>
    </row>
    <row r="80">
      <c r="A80" s="32" t="n"/>
      <c r="C80" s="32" t="n"/>
      <c r="H80" s="32" t="n"/>
      <c r="N80" s="32" t="n"/>
      <c r="O80" s="32" t="n"/>
    </row>
    <row r="81">
      <c r="A81" s="32" t="n"/>
      <c r="C81" s="32" t="n"/>
      <c r="H81" s="32" t="n"/>
      <c r="N81" s="32" t="n"/>
      <c r="O81" s="32" t="n"/>
    </row>
    <row r="82">
      <c r="A82" s="32" t="n"/>
      <c r="C82" s="32" t="n"/>
      <c r="H82" s="32" t="n"/>
      <c r="N82" s="32" t="n"/>
      <c r="O82" s="32" t="n"/>
    </row>
    <row r="83">
      <c r="A83" s="32" t="n"/>
      <c r="C83" s="32" t="n"/>
      <c r="H83" s="32" t="n"/>
      <c r="N83" s="32" t="n"/>
      <c r="O83" s="32" t="n"/>
    </row>
    <row r="84">
      <c r="A84" s="32" t="n"/>
      <c r="C84" s="32" t="n"/>
      <c r="H84" s="32" t="n"/>
      <c r="N84" s="32" t="n"/>
      <c r="O84" s="32" t="n"/>
    </row>
    <row r="85">
      <c r="A85" s="32" t="n"/>
      <c r="C85" s="32" t="n"/>
      <c r="H85" s="32" t="n"/>
      <c r="N85" s="32" t="n"/>
      <c r="O85" s="32" t="n"/>
    </row>
    <row r="86">
      <c r="A86" s="32" t="n"/>
      <c r="C86" s="32" t="n"/>
      <c r="H86" s="32" t="n"/>
      <c r="N86" s="32" t="n"/>
      <c r="O86" s="32" t="n"/>
    </row>
    <row r="87">
      <c r="A87" s="32" t="n"/>
      <c r="C87" s="32" t="n"/>
      <c r="H87" s="32" t="n"/>
      <c r="N87" s="32" t="n"/>
      <c r="O87" s="32" t="n"/>
    </row>
    <row r="88">
      <c r="A88" s="32" t="n"/>
      <c r="C88" s="32" t="n"/>
      <c r="H88" s="32" t="n"/>
      <c r="N88" s="32" t="n"/>
      <c r="O88" s="32" t="n"/>
    </row>
    <row r="89">
      <c r="A89" s="32" t="n"/>
      <c r="C89" s="32" t="n"/>
      <c r="H89" s="32" t="n"/>
      <c r="N89" s="32" t="n"/>
      <c r="O89" s="32" t="n"/>
    </row>
    <row r="90">
      <c r="A90" s="32" t="n"/>
      <c r="C90" s="32" t="n"/>
      <c r="H90" s="32" t="n"/>
      <c r="N90" s="32" t="n"/>
      <c r="O90" s="32" t="n"/>
    </row>
    <row r="91">
      <c r="A91" s="32" t="n"/>
      <c r="C91" s="32" t="n"/>
      <c r="H91" s="32" t="n"/>
      <c r="N91" s="32" t="n"/>
      <c r="O91" s="32" t="n"/>
    </row>
    <row r="92">
      <c r="A92" s="32" t="n"/>
      <c r="C92" s="32" t="n"/>
      <c r="H92" s="32" t="n"/>
      <c r="N92" s="32" t="n"/>
      <c r="O92" s="32" t="n"/>
    </row>
    <row r="93">
      <c r="A93" s="32" t="n"/>
      <c r="C93" s="32" t="n"/>
      <c r="H93" s="32" t="n"/>
      <c r="N93" s="32" t="n"/>
      <c r="O93" s="32" t="n"/>
    </row>
    <row r="94">
      <c r="A94" s="32" t="n"/>
      <c r="C94" s="32" t="n"/>
      <c r="H94" s="32" t="n"/>
      <c r="N94" s="32" t="n"/>
      <c r="O94" s="32" t="n"/>
    </row>
    <row r="95">
      <c r="A95" s="32" t="n"/>
      <c r="C95" s="32" t="n"/>
      <c r="H95" s="32" t="n"/>
      <c r="N95" s="32" t="n"/>
      <c r="O95" s="32" t="n"/>
    </row>
    <row r="96">
      <c r="A96" s="32" t="n"/>
      <c r="C96" s="32" t="n"/>
      <c r="H96" s="32" t="n"/>
      <c r="N96" s="32" t="n"/>
      <c r="O96" s="32" t="n"/>
    </row>
    <row r="97">
      <c r="A97" s="32" t="n"/>
      <c r="C97" s="32" t="n"/>
      <c r="H97" s="32" t="n"/>
      <c r="N97" s="32" t="n"/>
      <c r="O97" s="32" t="n"/>
    </row>
    <row r="98">
      <c r="A98" s="32" t="n"/>
      <c r="C98" s="32" t="n"/>
      <c r="H98" s="32" t="n"/>
      <c r="N98" s="32" t="n"/>
      <c r="O98" s="32" t="n"/>
    </row>
    <row r="99">
      <c r="A99" s="32" t="n"/>
      <c r="C99" s="32" t="n"/>
      <c r="H99" s="32" t="n"/>
      <c r="N99" s="32" t="n"/>
      <c r="O99" s="32" t="n"/>
    </row>
    <row r="100">
      <c r="A100" s="32" t="n"/>
      <c r="C100" s="32" t="n"/>
      <c r="H100" s="32" t="n"/>
      <c r="N100" s="32" t="n"/>
      <c r="O100" s="32" t="n"/>
    </row>
    <row r="101">
      <c r="A101" s="32" t="n"/>
      <c r="C101" s="32" t="n"/>
      <c r="H101" s="32" t="n"/>
      <c r="N101" s="32" t="n"/>
      <c r="O101" s="32" t="n"/>
    </row>
    <row r="102">
      <c r="A102" s="32" t="n"/>
      <c r="C102" s="32" t="n"/>
      <c r="H102" s="32" t="n"/>
      <c r="N102" s="32" t="n"/>
      <c r="O102" s="32" t="n"/>
    </row>
    <row r="103">
      <c r="A103" s="32" t="n"/>
      <c r="C103" s="32" t="n"/>
      <c r="H103" s="32" t="n"/>
      <c r="N103" s="32" t="n"/>
      <c r="O103" s="32" t="n"/>
    </row>
    <row r="104">
      <c r="A104" s="32" t="n"/>
      <c r="C104" s="32" t="n"/>
      <c r="H104" s="32" t="n"/>
      <c r="N104" s="32" t="n"/>
      <c r="O104" s="32" t="n"/>
    </row>
    <row r="105">
      <c r="A105" s="32" t="n"/>
      <c r="C105" s="32" t="n"/>
      <c r="H105" s="32" t="n"/>
      <c r="N105" s="32" t="n"/>
      <c r="O105" s="32" t="n"/>
    </row>
    <row r="106">
      <c r="A106" s="32" t="n"/>
      <c r="C106" s="32" t="n"/>
      <c r="H106" s="32" t="n"/>
      <c r="N106" s="32" t="n"/>
      <c r="O106" s="32" t="n"/>
    </row>
    <row r="107">
      <c r="A107" s="32" t="n"/>
      <c r="C107" s="32" t="n"/>
      <c r="H107" s="32" t="n"/>
      <c r="N107" s="32" t="n"/>
      <c r="O107" s="32" t="n"/>
    </row>
    <row r="108">
      <c r="A108" s="32" t="n"/>
      <c r="C108" s="32" t="n"/>
      <c r="H108" s="32" t="n"/>
      <c r="N108" s="32" t="n"/>
      <c r="O108" s="32" t="n"/>
    </row>
    <row r="109">
      <c r="A109" s="32" t="n"/>
      <c r="C109" s="32" t="n"/>
      <c r="H109" s="32" t="n"/>
      <c r="N109" s="32" t="n"/>
      <c r="O109" s="32" t="n"/>
    </row>
    <row r="110">
      <c r="A110" s="32" t="n"/>
      <c r="C110" s="32" t="n"/>
      <c r="H110" s="32" t="n"/>
      <c r="N110" s="32" t="n"/>
      <c r="O110" s="32" t="n"/>
    </row>
    <row r="111">
      <c r="A111" s="32" t="n"/>
      <c r="C111" s="32" t="n"/>
      <c r="H111" s="32" t="n"/>
      <c r="N111" s="32" t="n"/>
      <c r="O111" s="32" t="n"/>
    </row>
    <row r="112">
      <c r="A112" s="32" t="n"/>
      <c r="C112" s="32" t="n"/>
      <c r="H112" s="32" t="n"/>
      <c r="N112" s="32" t="n"/>
      <c r="O112" s="32" t="n"/>
    </row>
    <row r="113">
      <c r="A113" s="32" t="n"/>
      <c r="C113" s="32" t="n"/>
      <c r="H113" s="32" t="n"/>
      <c r="N113" s="32" t="n"/>
      <c r="O113" s="32" t="n"/>
    </row>
    <row r="114">
      <c r="A114" s="32" t="n"/>
      <c r="C114" s="32" t="n"/>
      <c r="H114" s="32" t="n"/>
      <c r="N114" s="32" t="n"/>
      <c r="O114" s="32" t="n"/>
    </row>
    <row r="115">
      <c r="A115" s="32" t="n"/>
      <c r="C115" s="32" t="n"/>
      <c r="H115" s="32" t="n"/>
      <c r="N115" s="32" t="n"/>
      <c r="O115" s="32" t="n"/>
    </row>
    <row r="116">
      <c r="A116" s="32" t="n"/>
      <c r="C116" s="32" t="n"/>
      <c r="H116" s="32" t="n"/>
      <c r="N116" s="32" t="n"/>
      <c r="O116" s="32" t="n"/>
    </row>
    <row r="117">
      <c r="A117" s="32" t="n"/>
      <c r="C117" s="32" t="n"/>
      <c r="H117" s="32" t="n"/>
      <c r="N117" s="32" t="n"/>
      <c r="O117" s="32" t="n"/>
    </row>
    <row r="118">
      <c r="A118" s="32" t="n"/>
      <c r="C118" s="32" t="n"/>
      <c r="H118" s="32" t="n"/>
      <c r="N118" s="32" t="n"/>
      <c r="O118" s="32" t="n"/>
    </row>
    <row r="119">
      <c r="A119" s="32" t="n"/>
      <c r="C119" s="32" t="n"/>
      <c r="H119" s="32" t="n"/>
      <c r="N119" s="32" t="n"/>
      <c r="O119" s="32" t="n"/>
    </row>
    <row r="120">
      <c r="A120" s="32" t="n"/>
      <c r="C120" s="32" t="n"/>
      <c r="H120" s="32" t="n"/>
      <c r="N120" s="32" t="n"/>
      <c r="O120" s="32" t="n"/>
    </row>
    <row r="121">
      <c r="A121" s="32" t="n"/>
      <c r="C121" s="32" t="n"/>
      <c r="H121" s="32" t="n"/>
      <c r="N121" s="32" t="n"/>
      <c r="O121" s="32" t="n"/>
    </row>
    <row r="122">
      <c r="A122" s="32" t="n"/>
      <c r="C122" s="32" t="n"/>
      <c r="H122" s="32" t="n"/>
      <c r="N122" s="32" t="n"/>
      <c r="O122" s="32" t="n"/>
    </row>
    <row r="123">
      <c r="A123" s="32" t="n"/>
      <c r="C123" s="32" t="n"/>
      <c r="H123" s="32" t="n"/>
      <c r="N123" s="32" t="n"/>
      <c r="O123" s="32" t="n"/>
    </row>
    <row r="124">
      <c r="A124" s="32" t="n"/>
      <c r="C124" s="32" t="n"/>
      <c r="H124" s="32" t="n"/>
      <c r="N124" s="32" t="n"/>
      <c r="O124" s="32" t="n"/>
    </row>
    <row r="125">
      <c r="A125" s="32" t="n"/>
      <c r="C125" s="32" t="n"/>
      <c r="H125" s="32" t="n"/>
      <c r="N125" s="32" t="n"/>
      <c r="O125" s="32" t="n"/>
    </row>
    <row r="126">
      <c r="A126" s="32" t="n"/>
      <c r="C126" s="32" t="n"/>
      <c r="H126" s="32" t="n"/>
      <c r="N126" s="32" t="n"/>
      <c r="O126" s="32" t="n"/>
    </row>
    <row r="127">
      <c r="A127" s="32" t="n"/>
      <c r="C127" s="32" t="n"/>
      <c r="H127" s="32" t="n"/>
      <c r="N127" s="32" t="n"/>
      <c r="O127" s="32" t="n"/>
    </row>
    <row r="128">
      <c r="A128" s="32" t="n"/>
      <c r="C128" s="32" t="n"/>
      <c r="H128" s="32" t="n"/>
      <c r="N128" s="32" t="n"/>
      <c r="O128" s="32" t="n"/>
    </row>
    <row r="129">
      <c r="A129" s="32" t="n"/>
      <c r="C129" s="32" t="n"/>
      <c r="H129" s="32" t="n"/>
      <c r="N129" s="32" t="n"/>
      <c r="O129" s="32" t="n"/>
    </row>
    <row r="130">
      <c r="A130" s="32" t="n"/>
      <c r="C130" s="32" t="n"/>
      <c r="H130" s="32" t="n"/>
      <c r="N130" s="32" t="n"/>
      <c r="O130" s="32" t="n"/>
    </row>
    <row r="131">
      <c r="A131" s="32" t="n"/>
      <c r="C131" s="32" t="n"/>
      <c r="H131" s="32" t="n"/>
      <c r="N131" s="32" t="n"/>
      <c r="O131" s="32" t="n"/>
    </row>
    <row r="132">
      <c r="A132" s="32" t="n"/>
      <c r="C132" s="32" t="n"/>
      <c r="H132" s="32" t="n"/>
      <c r="N132" s="32" t="n"/>
      <c r="O132" s="32" t="n"/>
    </row>
    <row r="133">
      <c r="A133" s="32" t="n"/>
      <c r="C133" s="32" t="n"/>
      <c r="H133" s="32" t="n"/>
      <c r="N133" s="32" t="n"/>
      <c r="O133" s="32" t="n"/>
    </row>
    <row r="134">
      <c r="A134" s="32" t="n"/>
      <c r="C134" s="32" t="n"/>
      <c r="H134" s="32" t="n"/>
      <c r="N134" s="32" t="n"/>
      <c r="O134" s="32" t="n"/>
    </row>
    <row r="135">
      <c r="A135" s="32" t="n"/>
      <c r="C135" s="32" t="n"/>
      <c r="H135" s="32" t="n"/>
      <c r="N135" s="32" t="n"/>
      <c r="O135" s="32" t="n"/>
    </row>
    <row r="136">
      <c r="A136" s="32" t="n"/>
      <c r="C136" s="32" t="n"/>
      <c r="H136" s="32" t="n"/>
      <c r="N136" s="32" t="n"/>
      <c r="O136" s="32" t="n"/>
    </row>
    <row r="137">
      <c r="A137" s="32" t="n"/>
      <c r="C137" s="32" t="n"/>
      <c r="H137" s="32" t="n"/>
      <c r="N137" s="32" t="n"/>
      <c r="O137" s="32" t="n"/>
    </row>
    <row r="138">
      <c r="A138" s="32" t="n"/>
      <c r="C138" s="32" t="n"/>
      <c r="H138" s="32" t="n"/>
      <c r="N138" s="32" t="n"/>
      <c r="O138" s="32" t="n"/>
    </row>
    <row r="139">
      <c r="A139" s="32" t="n"/>
      <c r="C139" s="32" t="n"/>
      <c r="H139" s="32" t="n"/>
      <c r="N139" s="32" t="n"/>
      <c r="O139" s="32" t="n"/>
    </row>
    <row r="140">
      <c r="A140" s="32" t="n"/>
      <c r="C140" s="32" t="n"/>
      <c r="H140" s="32" t="n"/>
      <c r="N140" s="32" t="n"/>
      <c r="O140" s="32" t="n"/>
    </row>
    <row r="141">
      <c r="A141" s="32" t="n"/>
      <c r="C141" s="32" t="n"/>
      <c r="H141" s="32" t="n"/>
      <c r="N141" s="32" t="n"/>
      <c r="O141" s="32" t="n"/>
    </row>
    <row r="142">
      <c r="A142" s="32" t="n"/>
      <c r="C142" s="32" t="n"/>
      <c r="H142" s="32" t="n"/>
      <c r="N142" s="32" t="n"/>
      <c r="O142" s="32" t="n"/>
    </row>
    <row r="143">
      <c r="A143" s="32" t="n"/>
      <c r="C143" s="32" t="n"/>
      <c r="H143" s="32" t="n"/>
      <c r="N143" s="32" t="n"/>
      <c r="O143" s="32" t="n"/>
    </row>
    <row r="144">
      <c r="A144" s="32" t="n"/>
      <c r="C144" s="32" t="n"/>
      <c r="H144" s="32" t="n"/>
      <c r="N144" s="32" t="n"/>
      <c r="O144" s="32" t="n"/>
    </row>
    <row r="145">
      <c r="A145" s="32" t="n"/>
      <c r="C145" s="32" t="n"/>
      <c r="H145" s="32" t="n"/>
      <c r="N145" s="32" t="n"/>
      <c r="O145" s="32" t="n"/>
    </row>
    <row r="146">
      <c r="A146" s="32" t="n"/>
      <c r="C146" s="32" t="n"/>
      <c r="H146" s="32" t="n"/>
      <c r="N146" s="32" t="n"/>
      <c r="O146" s="32" t="n"/>
    </row>
    <row r="147">
      <c r="A147" s="32" t="n"/>
      <c r="C147" s="32" t="n"/>
      <c r="H147" s="32" t="n"/>
      <c r="N147" s="32" t="n"/>
      <c r="O147" s="32" t="n"/>
    </row>
    <row r="148">
      <c r="A148" s="32" t="n"/>
      <c r="C148" s="32" t="n"/>
      <c r="H148" s="32" t="n"/>
      <c r="N148" s="32" t="n"/>
      <c r="O148" s="32" t="n"/>
    </row>
    <row r="149">
      <c r="A149" s="32" t="n"/>
      <c r="C149" s="32" t="n"/>
      <c r="H149" s="32" t="n"/>
      <c r="N149" s="32" t="n"/>
      <c r="O149" s="32" t="n"/>
    </row>
    <row r="150">
      <c r="A150" s="32" t="n"/>
      <c r="C150" s="32" t="n"/>
      <c r="H150" s="32" t="n"/>
      <c r="N150" s="32" t="n"/>
      <c r="O150" s="32" t="n"/>
    </row>
    <row r="151">
      <c r="A151" s="32" t="n"/>
      <c r="C151" s="32" t="n"/>
      <c r="H151" s="32" t="n"/>
      <c r="N151" s="32" t="n"/>
      <c r="O151" s="32" t="n"/>
    </row>
    <row r="152">
      <c r="A152" s="32" t="n"/>
      <c r="C152" s="32" t="n"/>
      <c r="H152" s="32" t="n"/>
      <c r="N152" s="32" t="n"/>
      <c r="O152" s="32" t="n"/>
    </row>
    <row r="153">
      <c r="A153" s="32" t="n"/>
      <c r="C153" s="32" t="n"/>
      <c r="H153" s="32" t="n"/>
      <c r="N153" s="32" t="n"/>
      <c r="O153" s="32" t="n"/>
    </row>
    <row r="154">
      <c r="A154" s="32" t="n"/>
      <c r="C154" s="32" t="n"/>
      <c r="H154" s="32" t="n"/>
      <c r="N154" s="32" t="n"/>
      <c r="O154" s="32" t="n"/>
    </row>
    <row r="155">
      <c r="A155" s="32" t="n"/>
      <c r="C155" s="32" t="n"/>
      <c r="H155" s="32" t="n"/>
      <c r="N155" s="32" t="n"/>
      <c r="O155" s="32" t="n"/>
    </row>
    <row r="156">
      <c r="A156" s="32" t="n"/>
      <c r="C156" s="32" t="n"/>
      <c r="H156" s="32" t="n"/>
      <c r="N156" s="32" t="n"/>
      <c r="O156" s="32" t="n"/>
    </row>
    <row r="157">
      <c r="A157" s="32" t="n"/>
      <c r="C157" s="32" t="n"/>
      <c r="H157" s="32" t="n"/>
      <c r="N157" s="32" t="n"/>
      <c r="O157" s="32" t="n"/>
    </row>
    <row r="158">
      <c r="A158" s="32" t="n"/>
      <c r="C158" s="32" t="n"/>
      <c r="H158" s="32" t="n"/>
      <c r="N158" s="32" t="n"/>
      <c r="O158" s="32" t="n"/>
    </row>
    <row r="159">
      <c r="A159" s="32" t="n"/>
      <c r="C159" s="32" t="n"/>
      <c r="H159" s="32" t="n"/>
      <c r="N159" s="32" t="n"/>
      <c r="O159" s="32" t="n"/>
    </row>
    <row r="160">
      <c r="A160" s="32" t="n"/>
      <c r="C160" s="32" t="n"/>
      <c r="H160" s="32" t="n"/>
      <c r="N160" s="32" t="n"/>
      <c r="O160" s="32" t="n"/>
    </row>
    <row r="161">
      <c r="A161" s="32" t="n"/>
      <c r="C161" s="32" t="n"/>
      <c r="H161" s="32" t="n"/>
      <c r="N161" s="32" t="n"/>
      <c r="O161" s="32" t="n"/>
    </row>
    <row r="162">
      <c r="A162" s="32" t="n"/>
      <c r="C162" s="32" t="n"/>
      <c r="H162" s="32" t="n"/>
      <c r="N162" s="32" t="n"/>
      <c r="O162" s="32" t="n"/>
    </row>
    <row r="163">
      <c r="A163" s="32" t="n"/>
      <c r="C163" s="32" t="n"/>
      <c r="H163" s="32" t="n"/>
      <c r="N163" s="32" t="n"/>
      <c r="O163" s="32" t="n"/>
    </row>
    <row r="164">
      <c r="A164" s="32" t="n"/>
      <c r="C164" s="32" t="n"/>
      <c r="H164" s="32" t="n"/>
      <c r="N164" s="32" t="n"/>
      <c r="O164" s="32" t="n"/>
    </row>
    <row r="165">
      <c r="A165" s="32" t="n"/>
      <c r="C165" s="32" t="n"/>
      <c r="H165" s="32" t="n"/>
      <c r="N165" s="32" t="n"/>
      <c r="O165" s="32" t="n"/>
    </row>
    <row r="166">
      <c r="A166" s="32" t="n"/>
      <c r="C166" s="32" t="n"/>
      <c r="H166" s="32" t="n"/>
      <c r="N166" s="32" t="n"/>
      <c r="O166" s="32" t="n"/>
    </row>
    <row r="167">
      <c r="A167" s="32" t="n"/>
      <c r="C167" s="32" t="n"/>
      <c r="H167" s="32" t="n"/>
      <c r="N167" s="32" t="n"/>
      <c r="O167" s="32" t="n"/>
    </row>
    <row r="168">
      <c r="A168" s="32" t="n"/>
      <c r="C168" s="32" t="n"/>
      <c r="H168" s="32" t="n"/>
      <c r="N168" s="32" t="n"/>
      <c r="O168" s="32" t="n"/>
    </row>
    <row r="169">
      <c r="A169" s="32" t="n"/>
      <c r="C169" s="32" t="n"/>
      <c r="H169" s="32" t="n"/>
      <c r="N169" s="32" t="n"/>
      <c r="O169" s="32" t="n"/>
    </row>
    <row r="170">
      <c r="A170" s="32" t="n"/>
      <c r="C170" s="32" t="n"/>
      <c r="H170" s="32" t="n"/>
      <c r="N170" s="32" t="n"/>
      <c r="O170" s="32" t="n"/>
    </row>
    <row r="171">
      <c r="A171" s="32" t="n"/>
      <c r="C171" s="32" t="n"/>
      <c r="H171" s="32" t="n"/>
      <c r="N171" s="32" t="n"/>
      <c r="O171" s="32" t="n"/>
    </row>
    <row r="172">
      <c r="A172" s="32" t="n"/>
      <c r="C172" s="32" t="n"/>
      <c r="H172" s="32" t="n"/>
      <c r="N172" s="32" t="n"/>
      <c r="O172" s="32" t="n"/>
    </row>
    <row r="173">
      <c r="A173" s="32" t="n"/>
      <c r="C173" s="32" t="n"/>
      <c r="H173" s="32" t="n"/>
      <c r="N173" s="32" t="n"/>
      <c r="O173" s="32" t="n"/>
    </row>
    <row r="174">
      <c r="A174" s="32" t="n"/>
      <c r="C174" s="32" t="n"/>
      <c r="H174" s="32" t="n"/>
      <c r="N174" s="32" t="n"/>
      <c r="O174" s="32" t="n"/>
    </row>
    <row r="175">
      <c r="A175" s="32" t="n"/>
      <c r="C175" s="32" t="n"/>
      <c r="H175" s="32" t="n"/>
      <c r="N175" s="32" t="n"/>
      <c r="O175" s="32" t="n"/>
    </row>
    <row r="176">
      <c r="A176" s="32" t="n"/>
      <c r="C176" s="32" t="n"/>
      <c r="H176" s="32" t="n"/>
      <c r="N176" s="32" t="n"/>
      <c r="O176" s="32" t="n"/>
    </row>
    <row r="177">
      <c r="A177" s="32" t="n"/>
      <c r="C177" s="32" t="n"/>
      <c r="H177" s="32" t="n"/>
      <c r="N177" s="32" t="n"/>
      <c r="O177" s="32" t="n"/>
    </row>
    <row r="178">
      <c r="A178" s="32" t="n"/>
      <c r="C178" s="32" t="n"/>
      <c r="H178" s="32" t="n"/>
      <c r="N178" s="32" t="n"/>
      <c r="O178" s="32" t="n"/>
    </row>
    <row r="179">
      <c r="A179" s="32" t="n"/>
      <c r="C179" s="32" t="n"/>
      <c r="H179" s="32" t="n"/>
      <c r="N179" s="32" t="n"/>
      <c r="O179" s="32" t="n"/>
    </row>
    <row r="180">
      <c r="A180" s="32" t="n"/>
      <c r="C180" s="32" t="n"/>
      <c r="H180" s="32" t="n"/>
      <c r="N180" s="32" t="n"/>
      <c r="O180" s="32" t="n"/>
    </row>
    <row r="181">
      <c r="A181" s="32" t="n"/>
      <c r="C181" s="32" t="n"/>
      <c r="H181" s="32" t="n"/>
      <c r="N181" s="32" t="n"/>
      <c r="O181" s="32" t="n"/>
    </row>
    <row r="182">
      <c r="A182" s="32" t="n"/>
      <c r="C182" s="32" t="n"/>
      <c r="H182" s="32" t="n"/>
      <c r="N182" s="32" t="n"/>
      <c r="O182" s="32" t="n"/>
    </row>
    <row r="183">
      <c r="A183" s="32" t="n"/>
      <c r="C183" s="32" t="n"/>
      <c r="H183" s="32" t="n"/>
      <c r="N183" s="32" t="n"/>
      <c r="O183" s="32" t="n"/>
    </row>
    <row r="184">
      <c r="A184" s="32" t="n"/>
      <c r="C184" s="32" t="n"/>
      <c r="H184" s="32" t="n"/>
      <c r="N184" s="32" t="n"/>
      <c r="O184" s="32" t="n"/>
    </row>
    <row r="185">
      <c r="A185" s="32" t="n"/>
      <c r="C185" s="32" t="n"/>
      <c r="H185" s="32" t="n"/>
      <c r="N185" s="32" t="n"/>
      <c r="O185" s="32" t="n"/>
    </row>
    <row r="186">
      <c r="A186" s="32" t="n"/>
      <c r="C186" s="32" t="n"/>
      <c r="H186" s="32" t="n"/>
      <c r="N186" s="32" t="n"/>
      <c r="O186" s="32" t="n"/>
    </row>
    <row r="187">
      <c r="A187" s="32" t="n"/>
      <c r="C187" s="32" t="n"/>
      <c r="H187" s="32" t="n"/>
      <c r="N187" s="32" t="n"/>
      <c r="O187" s="32" t="n"/>
    </row>
    <row r="188">
      <c r="A188" s="32" t="n"/>
      <c r="C188" s="32" t="n"/>
      <c r="H188" s="32" t="n"/>
      <c r="N188" s="32" t="n"/>
      <c r="O188" s="32" t="n"/>
    </row>
    <row r="189">
      <c r="A189" s="32" t="n"/>
      <c r="C189" s="32" t="n"/>
      <c r="H189" s="32" t="n"/>
      <c r="N189" s="32" t="n"/>
      <c r="O189" s="32" t="n"/>
    </row>
    <row r="190">
      <c r="A190" s="32" t="n"/>
      <c r="C190" s="32" t="n"/>
      <c r="H190" s="32" t="n"/>
      <c r="N190" s="32" t="n"/>
      <c r="O190" s="32" t="n"/>
    </row>
    <row r="191">
      <c r="A191" s="32" t="n"/>
      <c r="C191" s="32" t="n"/>
      <c r="H191" s="32" t="n"/>
      <c r="N191" s="32" t="n"/>
      <c r="O191" s="32" t="n"/>
    </row>
    <row r="192">
      <c r="A192" s="32" t="n"/>
      <c r="C192" s="32" t="n"/>
      <c r="H192" s="32" t="n"/>
      <c r="N192" s="32" t="n"/>
      <c r="O192" s="32" t="n"/>
    </row>
    <row r="193">
      <c r="A193" s="32" t="n"/>
      <c r="C193" s="32" t="n"/>
      <c r="H193" s="32" t="n"/>
      <c r="N193" s="32" t="n"/>
      <c r="O193" s="32" t="n"/>
    </row>
    <row r="194">
      <c r="A194" s="32" t="n"/>
      <c r="C194" s="32" t="n"/>
      <c r="H194" s="32" t="n"/>
      <c r="N194" s="32" t="n"/>
      <c r="O194" s="32" t="n"/>
    </row>
    <row r="195">
      <c r="A195" s="32" t="n"/>
      <c r="C195" s="32" t="n"/>
      <c r="H195" s="32" t="n"/>
      <c r="N195" s="32" t="n"/>
      <c r="O195" s="32" t="n"/>
    </row>
    <row r="196">
      <c r="A196" s="32" t="n"/>
      <c r="C196" s="32" t="n"/>
      <c r="H196" s="32" t="n"/>
      <c r="N196" s="32" t="n"/>
      <c r="O196" s="32" t="n"/>
    </row>
    <row r="197">
      <c r="A197" s="32" t="n"/>
      <c r="C197" s="32" t="n"/>
      <c r="H197" s="32" t="n"/>
      <c r="N197" s="32" t="n"/>
      <c r="O197" s="32" t="n"/>
    </row>
    <row r="198">
      <c r="A198" s="32" t="n"/>
      <c r="C198" s="32" t="n"/>
      <c r="H198" s="32" t="n"/>
      <c r="N198" s="32" t="n"/>
      <c r="O198" s="32" t="n"/>
    </row>
    <row r="199">
      <c r="A199" s="32" t="n"/>
      <c r="C199" s="32" t="n"/>
      <c r="H199" s="32" t="n"/>
      <c r="N199" s="32" t="n"/>
      <c r="O199" s="32" t="n"/>
    </row>
    <row r="200">
      <c r="A200" s="32" t="n"/>
      <c r="C200" s="32" t="n"/>
      <c r="H200" s="32" t="n"/>
      <c r="N200" s="32" t="n"/>
      <c r="O200" s="32" t="n"/>
    </row>
    <row r="201">
      <c r="A201" s="32" t="n"/>
      <c r="C201" s="32" t="n"/>
      <c r="H201" s="32" t="n"/>
      <c r="N201" s="32" t="n"/>
      <c r="O201" s="32" t="n"/>
    </row>
    <row r="202">
      <c r="A202" s="32" t="n"/>
      <c r="C202" s="32" t="n"/>
      <c r="H202" s="32" t="n"/>
      <c r="N202" s="32" t="n"/>
      <c r="O202" s="32" t="n"/>
    </row>
    <row r="203">
      <c r="A203" s="32" t="n"/>
      <c r="C203" s="32" t="n"/>
      <c r="H203" s="32" t="n"/>
      <c r="N203" s="32" t="n"/>
      <c r="O203" s="32" t="n"/>
    </row>
    <row r="204">
      <c r="A204" s="32" t="n"/>
      <c r="C204" s="32" t="n"/>
      <c r="H204" s="32" t="n"/>
      <c r="N204" s="32" t="n"/>
      <c r="O204" s="32" t="n"/>
    </row>
  </sheetData>
  <conditionalFormatting sqref="U5:U5004">
    <cfRule type="expression" priority="1" dxfId="3">
      <formula>LEN(U5)&gt;0</formula>
    </cfRule>
  </conditionalFormatting>
  <conditionalFormatting sqref="A5:V5004">
    <cfRule type="expression" priority="2" dxfId="4">
      <formula>$Q5="Disconnected"</formula>
    </cfRule>
  </conditionalFormatting>
  <conditionalFormatting sqref="Q5:Q5004">
    <cfRule type="expression" priority="3" dxfId="2">
      <formula>OR(Q5="Suspended",Q5="On Hold")</formula>
    </cfRule>
  </conditionalFormatting>
  <dataValidations count="8">
    <dataValidation sqref="A5:A5004" showDropDown="0" showInputMessage="0" showErrorMessage="1" allowBlank="1" errorTitle="CITY LINKS" error="Customer ID already exists. Every customer must have a unique Customer ID." type="custom">
      <formula1>COUNTIF($A$5:$A$5004,A5)=1</formula1>
    </dataValidation>
    <dataValidation sqref="C5:C5004" showDropDown="0" showInputMessage="0" showErrorMessage="1" allowBlank="1" errorTitle="CITY LINKS" error="This Location Code does not exist. Add it in LOCATION_CODES first." type="list">
      <formula1>L_LocCodes</formula1>
    </dataValidation>
    <dataValidation sqref="I5:I5004" showDropDown="0" showInputMessage="0" showErrorMessage="1" allowBlank="1" errorTitle="CITY LINKS" error="This package does not exist. Add it in PACKAGES first." type="list">
      <formula1>L_Packages</formula1>
    </dataValidation>
    <dataValidation sqref="K5:K5004" showDropDown="0" showInputMessage="0" showErrorMessage="1" allowBlank="1" errorTitle="CITY LINKS" error="Amount cannot be negative." type="decimal" operator="greaterThanOrEqual">
      <formula1>0</formula1>
    </dataValidation>
    <dataValidation sqref="M5:M5004" showDropDown="0" showInputMessage="0" showErrorMessage="1" allowBlank="1" errorTitle="CITY LINKS" error="Due Date is the day of the month (1 to 31)." type="whole" operator="between">
      <formula1>1</formula1>
      <formula2>31</formula2>
    </dataValidation>
    <dataValidation sqref="O5:O5004" showDropDown="0" showInputMessage="0" showErrorMessage="1" allowBlank="1" errorTitle="CITY LINKS" error="This Collector ID does not exist. Add it in COLLECTORS first." type="list">
      <formula1>L_CollectorIDs</formula1>
    </dataValidation>
    <dataValidation sqref="P5:P5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Q5:Q5004" showDropDown="0" showInputMessage="0" showErrorMessage="1" allowBlank="1" errorTitle="CITY LINKS" error="Choose Active, Suspended, Disconnected or On Hold." type="list">
      <formula1>L_CustStatus</formula1>
    </dataValidation>
  </dataValidations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Z20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10" customWidth="1" min="4" max="4"/>
    <col width="22" customWidth="1" min="5" max="5"/>
    <col width="9" customWidth="1" min="6" max="6"/>
    <col width="14" customWidth="1" min="7" max="7"/>
    <col width="9" customWidth="1" min="8" max="8"/>
    <col width="24" customWidth="1" min="9" max="9"/>
    <col width="8" customWidth="1" min="10" max="10"/>
    <col width="11" customWidth="1" min="11" max="11"/>
    <col width="7" customWidth="1" min="12" max="12"/>
    <col width="10" customWidth="1" min="13" max="13"/>
    <col width="9" customWidth="1" min="14" max="14"/>
    <col width="13" customWidth="1" min="15" max="15"/>
    <col width="10" customWidth="1" min="16" max="16"/>
    <col width="10" customWidth="1" min="17" max="17"/>
    <col width="9" customWidth="1" min="18" max="18"/>
    <col width="10" customWidth="1" min="19" max="19"/>
    <col width="10" customWidth="1" min="20" max="20"/>
    <col width="8" customWidth="1" min="21" max="21"/>
    <col width="13" customWidth="1" min="22" max="22"/>
    <col width="22" customWidth="1" min="23" max="23"/>
    <col width="16" customWidth="1" min="24" max="24"/>
    <col width="7" customWidth="1" min="25" max="25"/>
    <col width="7" customWidth="1" min="26" max="26"/>
  </cols>
  <sheetData>
    <row r="1">
      <c r="A1" s="13" t="inlineStr">
        <is>
          <t>MONTHLY BILLING (ALL MONTHS - HISTORY)</t>
        </is>
      </c>
      <c r="M1" s="9" t="inlineStr">
        <is>
          <t>◄ HOME</t>
        </is>
      </c>
    </row>
    <row r="2">
      <c r="A2" s="16" t="inlineStr">
        <is>
          <t>One row per customer per month, created by GENERATE NEW MONTH. Never overwritten. Paid / Balance / Status are calculated from PAYMENTS.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Billing ID</t>
        </is>
      </c>
      <c r="B4" s="31" t="inlineStr">
        <is>
          <t>Month</t>
        </is>
      </c>
      <c r="C4" s="31" t="inlineStr">
        <is>
          <t>Month Name</t>
        </is>
      </c>
      <c r="D4" s="31" t="inlineStr">
        <is>
          <t>Customer ID</t>
        </is>
      </c>
      <c r="E4" s="31" t="inlineStr">
        <is>
          <t>Customer Name</t>
        </is>
      </c>
      <c r="F4" s="31" t="inlineStr">
        <is>
          <t>Location Code</t>
        </is>
      </c>
      <c r="G4" s="31" t="inlineStr">
        <is>
          <t>Area</t>
        </is>
      </c>
      <c r="H4" s="31" t="inlineStr">
        <is>
          <t>Street</t>
        </is>
      </c>
      <c r="I4" s="31" t="inlineStr">
        <is>
          <t>Full Address</t>
        </is>
      </c>
      <c r="J4" s="31" t="inlineStr">
        <is>
          <t>VLAN ID</t>
        </is>
      </c>
      <c r="K4" s="31" t="inlineStr">
        <is>
          <t>Package</t>
        </is>
      </c>
      <c r="L4" s="31" t="inlineStr">
        <is>
          <t>Due Date</t>
        </is>
      </c>
      <c r="M4" s="31" t="inlineStr">
        <is>
          <t>Monthly Fee</t>
        </is>
      </c>
      <c r="N4" s="30" t="inlineStr">
        <is>
          <t>Collector ID</t>
        </is>
      </c>
      <c r="O4" s="30" t="inlineStr">
        <is>
          <t>Collector Name</t>
        </is>
      </c>
      <c r="P4" s="30" t="inlineStr">
        <is>
          <t>Amount Paid</t>
        </is>
      </c>
      <c r="Q4" s="30" t="inlineStr">
        <is>
          <t>Balance</t>
        </is>
      </c>
      <c r="R4" s="30" t="inlineStr">
        <is>
          <t>Excess Paid</t>
        </is>
      </c>
      <c r="S4" s="30" t="inlineStr">
        <is>
          <t>Payment Status</t>
        </is>
      </c>
      <c r="T4" s="30" t="inlineStr">
        <is>
          <t>Overdue</t>
        </is>
      </c>
      <c r="U4" s="30" t="inlineStr">
        <is>
          <t>Payments Count</t>
        </is>
      </c>
      <c r="V4" s="30" t="inlineStr">
        <is>
          <t>Last Payment Date</t>
        </is>
      </c>
      <c r="W4" s="29" t="inlineStr">
        <is>
          <t>Remarks</t>
        </is>
      </c>
      <c r="X4" s="31" t="inlineStr">
        <is>
          <t>Created At</t>
        </is>
      </c>
      <c r="Y4" s="30" t="inlineStr">
        <is>
          <t>Print Match</t>
        </is>
      </c>
      <c r="Z4" s="30" t="inlineStr">
        <is>
          <t>Stmt Match</t>
        </is>
      </c>
    </row>
    <row r="5">
      <c r="A5" s="32" t="n"/>
      <c r="B5" s="32" t="n"/>
      <c r="D5" s="32" t="n"/>
      <c r="F5" s="32" t="n"/>
      <c r="J5" s="32" t="n"/>
      <c r="N5" s="33">
        <f>IFERROR(INDEX(tblAssignments[Collector ID],MATCH(tblBilling[[#This Row],[Month]]&amp;"|"&amp;tblBilling[[#This Row],[Customer ID]],tblAssignments[Key],0))&amp;"","")</f>
        <v/>
      </c>
      <c r="O5" s="33">
        <f>IF(tblBilling[[#This Row],[Collector ID]]="","Unassigned",IFERROR(INDEX(tblCollectors[Collector Name],MATCH(tblBilling[[#This Row],[Collector ID]],tblCollectors[Collector ID],0)),tblBilling[[#This Row],[Collector ID]]))</f>
        <v/>
      </c>
      <c r="P5" s="34">
        <f>SUMIFS(tblPayments[Amount],tblPayments[Billing ID],tblBilling[[#This Row],[Billing ID]],tblPayments[Voided],"&lt;&gt;Yes")</f>
        <v/>
      </c>
      <c r="Q5" s="34">
        <f>IF(CFG_AllowNegativeBalance="Yes",tblBilling[[#This Row],[Monthly Fee]]-tblBilling[[#This Row],[Amount Paid]],MAX(0,tblBilling[[#This Row],[Monthly Fee]]-tblBilling[[#This Row],[Amount Paid]]))</f>
        <v/>
      </c>
      <c r="R5" s="34">
        <f>MAX(0,tblBilling[[#This Row],[Amount Paid]]-tblBilling[[#This Row],[Monthly Fee]])</f>
        <v/>
      </c>
      <c r="S5" s="33">
        <f>IF(tblBilling[[#This Row],[Amount Paid]]&gt;=tblBilling[[#This Row],[Monthly Fee]],"PAID",IF(tblBilling[[#This Row],[Amount Paid]]&gt;0,"PARTIAL","PENDING"))</f>
        <v/>
      </c>
      <c r="T5" s="33">
        <f>IF(OR(tblBilling[[#This Row],[Balance]]&lt;=0,tblBilling[[#This Row],[Due Date]]=""),"",IF(TODAY()&gt;DATE(LEFT(tblBilling[[#This Row],[Month]],4),MID(tblBilling[[#This Row],[Month]],6,2),MIN(tblBilling[[#This Row],[Due Date]],DAY(EOMONTH(DATE(LEFT(tblBilling[[#This Row],[Month]],4),MID(tblBilling[[#This Row],[Month]],6,2),1),0))))+CFG_OverdueGraceDays,"OVERDUE",""))</f>
        <v/>
      </c>
      <c r="U5" s="35">
        <f>COUNTIFS(tblPayments[Billing ID],tblBilling[[#This Row],[Billing ID]],tblPayments[Voided],"&lt;&gt;Yes")</f>
        <v/>
      </c>
      <c r="V5" s="36">
        <f>IF(tblBilling[[#This Row],[Payments Count]]=0,"",IFERROR(_xlfn.MAXIFS(tblPayments[Payment Date],tblPayments[Billing ID],tblBilling[[#This Row],[Billing ID]],tblPayments[Voided],"&lt;&gt;Yes"),""))</f>
        <v/>
      </c>
      <c r="Y5" s="33">
        <f>IF(AND(tblBilling[[#This Row],[Month]]=PC_Month,OR(PC_Area="All",tblBilling[[#This Row],[Area]]=PC_Area),OR(PC_Location="All",tblBilling[[#This Row],[Location Code]]=PC_Location),OR(PC_Collector="All",tblBilling[[#This Row],[Collector Name]]=PC_Collector),OR(PC_DueDate="All",tblBilling[[#This Row],[Due Date]]=PC_DueDate),OR(PC_StatusEff="All",AND(PC_StatusEff="UNPAID",tblBilling[[#This Row],[Balance]]&gt;0),tblBilling[[#This Row],[Payment Status]]=PC_StatusEff,AND(PC_StatusEff="OVERDUE",tblBilling[[#This Row],[Overdue]]="OVERDUE")),OR(PC_Mode&lt;&gt;"Custom Filtered Recovery",PC_CustomCount=0,COUNTIF(PC_CustomIDs,tblBilling[[#This Row],[Customer ID]])&gt;0)),1,0)</f>
        <v/>
      </c>
      <c r="Z5" s="33">
        <f>IF(AND(tblBilling[[#This Row],[Customer ID]]=ST_CustomerID,OR(ST_From="All",tblBilling[[#This Row],[Month]]&gt;=ST_From),OR(ST_To="All",tblBilling[[#This Row],[Month]]&lt;=ST_To)),1,0)</f>
        <v/>
      </c>
    </row>
    <row r="6">
      <c r="A6" s="32" t="n"/>
      <c r="B6" s="32" t="n"/>
      <c r="D6" s="32" t="n"/>
      <c r="F6" s="32" t="n"/>
      <c r="J6" s="32" t="n"/>
    </row>
    <row r="7">
      <c r="A7" s="32" t="n"/>
      <c r="B7" s="32" t="n"/>
      <c r="D7" s="32" t="n"/>
      <c r="F7" s="32" t="n"/>
      <c r="J7" s="32" t="n"/>
    </row>
    <row r="8">
      <c r="A8" s="32" t="n"/>
      <c r="B8" s="32" t="n"/>
      <c r="D8" s="32" t="n"/>
      <c r="F8" s="32" t="n"/>
      <c r="J8" s="32" t="n"/>
    </row>
    <row r="9">
      <c r="A9" s="32" t="n"/>
      <c r="B9" s="32" t="n"/>
      <c r="D9" s="32" t="n"/>
      <c r="F9" s="32" t="n"/>
      <c r="J9" s="32" t="n"/>
    </row>
    <row r="10">
      <c r="A10" s="32" t="n"/>
      <c r="B10" s="32" t="n"/>
      <c r="D10" s="32" t="n"/>
      <c r="F10" s="32" t="n"/>
      <c r="J10" s="32" t="n"/>
    </row>
    <row r="11">
      <c r="A11" s="32" t="n"/>
      <c r="B11" s="32" t="n"/>
      <c r="D11" s="32" t="n"/>
      <c r="F11" s="32" t="n"/>
      <c r="J11" s="32" t="n"/>
    </row>
    <row r="12">
      <c r="A12" s="32" t="n"/>
      <c r="B12" s="32" t="n"/>
      <c r="D12" s="32" t="n"/>
      <c r="F12" s="32" t="n"/>
      <c r="J12" s="32" t="n"/>
    </row>
    <row r="13">
      <c r="A13" s="32" t="n"/>
      <c r="B13" s="32" t="n"/>
      <c r="D13" s="32" t="n"/>
      <c r="F13" s="32" t="n"/>
      <c r="J13" s="32" t="n"/>
    </row>
    <row r="14">
      <c r="A14" s="32" t="n"/>
      <c r="B14" s="32" t="n"/>
      <c r="D14" s="32" t="n"/>
      <c r="F14" s="32" t="n"/>
      <c r="J14" s="32" t="n"/>
    </row>
    <row r="15">
      <c r="A15" s="32" t="n"/>
      <c r="B15" s="32" t="n"/>
      <c r="D15" s="32" t="n"/>
      <c r="F15" s="32" t="n"/>
      <c r="J15" s="32" t="n"/>
    </row>
    <row r="16">
      <c r="A16" s="32" t="n"/>
      <c r="B16" s="32" t="n"/>
      <c r="D16" s="32" t="n"/>
      <c r="F16" s="32" t="n"/>
      <c r="J16" s="32" t="n"/>
    </row>
    <row r="17">
      <c r="A17" s="32" t="n"/>
      <c r="B17" s="32" t="n"/>
      <c r="D17" s="32" t="n"/>
      <c r="F17" s="32" t="n"/>
      <c r="J17" s="32" t="n"/>
    </row>
    <row r="18">
      <c r="A18" s="32" t="n"/>
      <c r="B18" s="32" t="n"/>
      <c r="D18" s="32" t="n"/>
      <c r="F18" s="32" t="n"/>
      <c r="J18" s="32" t="n"/>
    </row>
    <row r="19">
      <c r="A19" s="32" t="n"/>
      <c r="B19" s="32" t="n"/>
      <c r="D19" s="32" t="n"/>
      <c r="F19" s="32" t="n"/>
      <c r="J19" s="32" t="n"/>
    </row>
    <row r="20">
      <c r="A20" s="32" t="n"/>
      <c r="B20" s="32" t="n"/>
      <c r="D20" s="32" t="n"/>
      <c r="F20" s="32" t="n"/>
      <c r="J20" s="32" t="n"/>
    </row>
    <row r="21">
      <c r="A21" s="32" t="n"/>
      <c r="B21" s="32" t="n"/>
      <c r="D21" s="32" t="n"/>
      <c r="F21" s="32" t="n"/>
      <c r="J21" s="32" t="n"/>
    </row>
    <row r="22">
      <c r="A22" s="32" t="n"/>
      <c r="B22" s="32" t="n"/>
      <c r="D22" s="32" t="n"/>
      <c r="F22" s="32" t="n"/>
      <c r="J22" s="32" t="n"/>
    </row>
    <row r="23">
      <c r="A23" s="32" t="n"/>
      <c r="B23" s="32" t="n"/>
      <c r="D23" s="32" t="n"/>
      <c r="F23" s="32" t="n"/>
      <c r="J23" s="32" t="n"/>
    </row>
    <row r="24">
      <c r="A24" s="32" t="n"/>
      <c r="B24" s="32" t="n"/>
      <c r="D24" s="32" t="n"/>
      <c r="F24" s="32" t="n"/>
      <c r="J24" s="32" t="n"/>
    </row>
    <row r="25">
      <c r="A25" s="32" t="n"/>
      <c r="B25" s="32" t="n"/>
      <c r="D25" s="32" t="n"/>
      <c r="F25" s="32" t="n"/>
      <c r="J25" s="32" t="n"/>
    </row>
    <row r="26">
      <c r="A26" s="32" t="n"/>
      <c r="B26" s="32" t="n"/>
      <c r="D26" s="32" t="n"/>
      <c r="F26" s="32" t="n"/>
      <c r="J26" s="32" t="n"/>
    </row>
    <row r="27">
      <c r="A27" s="32" t="n"/>
      <c r="B27" s="32" t="n"/>
      <c r="D27" s="32" t="n"/>
      <c r="F27" s="32" t="n"/>
      <c r="J27" s="32" t="n"/>
    </row>
    <row r="28">
      <c r="A28" s="32" t="n"/>
      <c r="B28" s="32" t="n"/>
      <c r="D28" s="32" t="n"/>
      <c r="F28" s="32" t="n"/>
      <c r="J28" s="32" t="n"/>
    </row>
    <row r="29">
      <c r="A29" s="32" t="n"/>
      <c r="B29" s="32" t="n"/>
      <c r="D29" s="32" t="n"/>
      <c r="F29" s="32" t="n"/>
      <c r="J29" s="32" t="n"/>
    </row>
    <row r="30">
      <c r="A30" s="32" t="n"/>
      <c r="B30" s="32" t="n"/>
      <c r="D30" s="32" t="n"/>
      <c r="F30" s="32" t="n"/>
      <c r="J30" s="32" t="n"/>
    </row>
    <row r="31">
      <c r="A31" s="32" t="n"/>
      <c r="B31" s="32" t="n"/>
      <c r="D31" s="32" t="n"/>
      <c r="F31" s="32" t="n"/>
      <c r="J31" s="32" t="n"/>
    </row>
    <row r="32">
      <c r="A32" s="32" t="n"/>
      <c r="B32" s="32" t="n"/>
      <c r="D32" s="32" t="n"/>
      <c r="F32" s="32" t="n"/>
      <c r="J32" s="32" t="n"/>
    </row>
    <row r="33">
      <c r="A33" s="32" t="n"/>
      <c r="B33" s="32" t="n"/>
      <c r="D33" s="32" t="n"/>
      <c r="F33" s="32" t="n"/>
      <c r="J33" s="32" t="n"/>
    </row>
    <row r="34">
      <c r="A34" s="32" t="n"/>
      <c r="B34" s="32" t="n"/>
      <c r="D34" s="32" t="n"/>
      <c r="F34" s="32" t="n"/>
      <c r="J34" s="32" t="n"/>
    </row>
    <row r="35">
      <c r="A35" s="32" t="n"/>
      <c r="B35" s="32" t="n"/>
      <c r="D35" s="32" t="n"/>
      <c r="F35" s="32" t="n"/>
      <c r="J35" s="32" t="n"/>
    </row>
    <row r="36">
      <c r="A36" s="32" t="n"/>
      <c r="B36" s="32" t="n"/>
      <c r="D36" s="32" t="n"/>
      <c r="F36" s="32" t="n"/>
      <c r="J36" s="32" t="n"/>
    </row>
    <row r="37">
      <c r="A37" s="32" t="n"/>
      <c r="B37" s="32" t="n"/>
      <c r="D37" s="32" t="n"/>
      <c r="F37" s="32" t="n"/>
      <c r="J37" s="32" t="n"/>
    </row>
    <row r="38">
      <c r="A38" s="32" t="n"/>
      <c r="B38" s="32" t="n"/>
      <c r="D38" s="32" t="n"/>
      <c r="F38" s="32" t="n"/>
      <c r="J38" s="32" t="n"/>
    </row>
    <row r="39">
      <c r="A39" s="32" t="n"/>
      <c r="B39" s="32" t="n"/>
      <c r="D39" s="32" t="n"/>
      <c r="F39" s="32" t="n"/>
      <c r="J39" s="32" t="n"/>
    </row>
    <row r="40">
      <c r="A40" s="32" t="n"/>
      <c r="B40" s="32" t="n"/>
      <c r="D40" s="32" t="n"/>
      <c r="F40" s="32" t="n"/>
      <c r="J40" s="32" t="n"/>
    </row>
    <row r="41">
      <c r="A41" s="32" t="n"/>
      <c r="B41" s="32" t="n"/>
      <c r="D41" s="32" t="n"/>
      <c r="F41" s="32" t="n"/>
      <c r="J41" s="32" t="n"/>
    </row>
    <row r="42">
      <c r="A42" s="32" t="n"/>
      <c r="B42" s="32" t="n"/>
      <c r="D42" s="32" t="n"/>
      <c r="F42" s="32" t="n"/>
      <c r="J42" s="32" t="n"/>
    </row>
    <row r="43">
      <c r="A43" s="32" t="n"/>
      <c r="B43" s="32" t="n"/>
      <c r="D43" s="32" t="n"/>
      <c r="F43" s="32" t="n"/>
      <c r="J43" s="32" t="n"/>
    </row>
    <row r="44">
      <c r="A44" s="32" t="n"/>
      <c r="B44" s="32" t="n"/>
      <c r="D44" s="32" t="n"/>
      <c r="F44" s="32" t="n"/>
      <c r="J44" s="32" t="n"/>
    </row>
    <row r="45">
      <c r="A45" s="32" t="n"/>
      <c r="B45" s="32" t="n"/>
      <c r="D45" s="32" t="n"/>
      <c r="F45" s="32" t="n"/>
      <c r="J45" s="32" t="n"/>
    </row>
    <row r="46">
      <c r="A46" s="32" t="n"/>
      <c r="B46" s="32" t="n"/>
      <c r="D46" s="32" t="n"/>
      <c r="F46" s="32" t="n"/>
      <c r="J46" s="32" t="n"/>
    </row>
    <row r="47">
      <c r="A47" s="32" t="n"/>
      <c r="B47" s="32" t="n"/>
      <c r="D47" s="32" t="n"/>
      <c r="F47" s="32" t="n"/>
      <c r="J47" s="32" t="n"/>
    </row>
    <row r="48">
      <c r="A48" s="32" t="n"/>
      <c r="B48" s="32" t="n"/>
      <c r="D48" s="32" t="n"/>
      <c r="F48" s="32" t="n"/>
      <c r="J48" s="32" t="n"/>
    </row>
    <row r="49">
      <c r="A49" s="32" t="n"/>
      <c r="B49" s="32" t="n"/>
      <c r="D49" s="32" t="n"/>
      <c r="F49" s="32" t="n"/>
      <c r="J49" s="32" t="n"/>
    </row>
    <row r="50">
      <c r="A50" s="32" t="n"/>
      <c r="B50" s="32" t="n"/>
      <c r="D50" s="32" t="n"/>
      <c r="F50" s="32" t="n"/>
      <c r="J50" s="32" t="n"/>
    </row>
    <row r="51">
      <c r="A51" s="32" t="n"/>
      <c r="B51" s="32" t="n"/>
      <c r="D51" s="32" t="n"/>
      <c r="F51" s="32" t="n"/>
      <c r="J51" s="32" t="n"/>
    </row>
    <row r="52">
      <c r="A52" s="32" t="n"/>
      <c r="B52" s="32" t="n"/>
      <c r="D52" s="32" t="n"/>
      <c r="F52" s="32" t="n"/>
      <c r="J52" s="32" t="n"/>
    </row>
    <row r="53">
      <c r="A53" s="32" t="n"/>
      <c r="B53" s="32" t="n"/>
      <c r="D53" s="32" t="n"/>
      <c r="F53" s="32" t="n"/>
      <c r="J53" s="32" t="n"/>
    </row>
    <row r="54">
      <c r="A54" s="32" t="n"/>
      <c r="B54" s="32" t="n"/>
      <c r="D54" s="32" t="n"/>
      <c r="F54" s="32" t="n"/>
      <c r="J54" s="32" t="n"/>
    </row>
    <row r="55">
      <c r="A55" s="32" t="n"/>
      <c r="B55" s="32" t="n"/>
      <c r="D55" s="32" t="n"/>
      <c r="F55" s="32" t="n"/>
      <c r="J55" s="32" t="n"/>
    </row>
    <row r="56">
      <c r="A56" s="32" t="n"/>
      <c r="B56" s="32" t="n"/>
      <c r="D56" s="32" t="n"/>
      <c r="F56" s="32" t="n"/>
      <c r="J56" s="32" t="n"/>
    </row>
    <row r="57">
      <c r="A57" s="32" t="n"/>
      <c r="B57" s="32" t="n"/>
      <c r="D57" s="32" t="n"/>
      <c r="F57" s="32" t="n"/>
      <c r="J57" s="32" t="n"/>
    </row>
    <row r="58">
      <c r="A58" s="32" t="n"/>
      <c r="B58" s="32" t="n"/>
      <c r="D58" s="32" t="n"/>
      <c r="F58" s="32" t="n"/>
      <c r="J58" s="32" t="n"/>
    </row>
    <row r="59">
      <c r="A59" s="32" t="n"/>
      <c r="B59" s="32" t="n"/>
      <c r="D59" s="32" t="n"/>
      <c r="F59" s="32" t="n"/>
      <c r="J59" s="32" t="n"/>
    </row>
    <row r="60">
      <c r="A60" s="32" t="n"/>
      <c r="B60" s="32" t="n"/>
      <c r="D60" s="32" t="n"/>
      <c r="F60" s="32" t="n"/>
      <c r="J60" s="32" t="n"/>
    </row>
    <row r="61">
      <c r="A61" s="32" t="n"/>
      <c r="B61" s="32" t="n"/>
      <c r="D61" s="32" t="n"/>
      <c r="F61" s="32" t="n"/>
      <c r="J61" s="32" t="n"/>
    </row>
    <row r="62">
      <c r="A62" s="32" t="n"/>
      <c r="B62" s="32" t="n"/>
      <c r="D62" s="32" t="n"/>
      <c r="F62" s="32" t="n"/>
      <c r="J62" s="32" t="n"/>
    </row>
    <row r="63">
      <c r="A63" s="32" t="n"/>
      <c r="B63" s="32" t="n"/>
      <c r="D63" s="32" t="n"/>
      <c r="F63" s="32" t="n"/>
      <c r="J63" s="32" t="n"/>
    </row>
    <row r="64">
      <c r="A64" s="32" t="n"/>
      <c r="B64" s="32" t="n"/>
      <c r="D64" s="32" t="n"/>
      <c r="F64" s="32" t="n"/>
      <c r="J64" s="32" t="n"/>
    </row>
    <row r="65">
      <c r="A65" s="32" t="n"/>
      <c r="B65" s="32" t="n"/>
      <c r="D65" s="32" t="n"/>
      <c r="F65" s="32" t="n"/>
      <c r="J65" s="32" t="n"/>
    </row>
    <row r="66">
      <c r="A66" s="32" t="n"/>
      <c r="B66" s="32" t="n"/>
      <c r="D66" s="32" t="n"/>
      <c r="F66" s="32" t="n"/>
      <c r="J66" s="32" t="n"/>
    </row>
    <row r="67">
      <c r="A67" s="32" t="n"/>
      <c r="B67" s="32" t="n"/>
      <c r="D67" s="32" t="n"/>
      <c r="F67" s="32" t="n"/>
      <c r="J67" s="32" t="n"/>
    </row>
    <row r="68">
      <c r="A68" s="32" t="n"/>
      <c r="B68" s="32" t="n"/>
      <c r="D68" s="32" t="n"/>
      <c r="F68" s="32" t="n"/>
      <c r="J68" s="32" t="n"/>
    </row>
    <row r="69">
      <c r="A69" s="32" t="n"/>
      <c r="B69" s="32" t="n"/>
      <c r="D69" s="32" t="n"/>
      <c r="F69" s="32" t="n"/>
      <c r="J69" s="32" t="n"/>
    </row>
    <row r="70">
      <c r="A70" s="32" t="n"/>
      <c r="B70" s="32" t="n"/>
      <c r="D70" s="32" t="n"/>
      <c r="F70" s="32" t="n"/>
      <c r="J70" s="32" t="n"/>
    </row>
    <row r="71">
      <c r="A71" s="32" t="n"/>
      <c r="B71" s="32" t="n"/>
      <c r="D71" s="32" t="n"/>
      <c r="F71" s="32" t="n"/>
      <c r="J71" s="32" t="n"/>
    </row>
    <row r="72">
      <c r="A72" s="32" t="n"/>
      <c r="B72" s="32" t="n"/>
      <c r="D72" s="32" t="n"/>
      <c r="F72" s="32" t="n"/>
      <c r="J72" s="32" t="n"/>
    </row>
    <row r="73">
      <c r="A73" s="32" t="n"/>
      <c r="B73" s="32" t="n"/>
      <c r="D73" s="32" t="n"/>
      <c r="F73" s="32" t="n"/>
      <c r="J73" s="32" t="n"/>
    </row>
    <row r="74">
      <c r="A74" s="32" t="n"/>
      <c r="B74" s="32" t="n"/>
      <c r="D74" s="32" t="n"/>
      <c r="F74" s="32" t="n"/>
      <c r="J74" s="32" t="n"/>
    </row>
    <row r="75">
      <c r="A75" s="32" t="n"/>
      <c r="B75" s="32" t="n"/>
      <c r="D75" s="32" t="n"/>
      <c r="F75" s="32" t="n"/>
      <c r="J75" s="32" t="n"/>
    </row>
    <row r="76">
      <c r="A76" s="32" t="n"/>
      <c r="B76" s="32" t="n"/>
      <c r="D76" s="32" t="n"/>
      <c r="F76" s="32" t="n"/>
      <c r="J76" s="32" t="n"/>
    </row>
    <row r="77">
      <c r="A77" s="32" t="n"/>
      <c r="B77" s="32" t="n"/>
      <c r="D77" s="32" t="n"/>
      <c r="F77" s="32" t="n"/>
      <c r="J77" s="32" t="n"/>
    </row>
    <row r="78">
      <c r="A78" s="32" t="n"/>
      <c r="B78" s="32" t="n"/>
      <c r="D78" s="32" t="n"/>
      <c r="F78" s="32" t="n"/>
      <c r="J78" s="32" t="n"/>
    </row>
    <row r="79">
      <c r="A79" s="32" t="n"/>
      <c r="B79" s="32" t="n"/>
      <c r="D79" s="32" t="n"/>
      <c r="F79" s="32" t="n"/>
      <c r="J79" s="32" t="n"/>
    </row>
    <row r="80">
      <c r="A80" s="32" t="n"/>
      <c r="B80" s="32" t="n"/>
      <c r="D80" s="32" t="n"/>
      <c r="F80" s="32" t="n"/>
      <c r="J80" s="32" t="n"/>
    </row>
    <row r="81">
      <c r="A81" s="32" t="n"/>
      <c r="B81" s="32" t="n"/>
      <c r="D81" s="32" t="n"/>
      <c r="F81" s="32" t="n"/>
      <c r="J81" s="32" t="n"/>
    </row>
    <row r="82">
      <c r="A82" s="32" t="n"/>
      <c r="B82" s="32" t="n"/>
      <c r="D82" s="32" t="n"/>
      <c r="F82" s="32" t="n"/>
      <c r="J82" s="32" t="n"/>
    </row>
    <row r="83">
      <c r="A83" s="32" t="n"/>
      <c r="B83" s="32" t="n"/>
      <c r="D83" s="32" t="n"/>
      <c r="F83" s="32" t="n"/>
      <c r="J83" s="32" t="n"/>
    </row>
    <row r="84">
      <c r="A84" s="32" t="n"/>
      <c r="B84" s="32" t="n"/>
      <c r="D84" s="32" t="n"/>
      <c r="F84" s="32" t="n"/>
      <c r="J84" s="32" t="n"/>
    </row>
    <row r="85">
      <c r="A85" s="32" t="n"/>
      <c r="B85" s="32" t="n"/>
      <c r="D85" s="32" t="n"/>
      <c r="F85" s="32" t="n"/>
      <c r="J85" s="32" t="n"/>
    </row>
    <row r="86">
      <c r="A86" s="32" t="n"/>
      <c r="B86" s="32" t="n"/>
      <c r="D86" s="32" t="n"/>
      <c r="F86" s="32" t="n"/>
      <c r="J86" s="32" t="n"/>
    </row>
    <row r="87">
      <c r="A87" s="32" t="n"/>
      <c r="B87" s="32" t="n"/>
      <c r="D87" s="32" t="n"/>
      <c r="F87" s="32" t="n"/>
      <c r="J87" s="32" t="n"/>
    </row>
    <row r="88">
      <c r="A88" s="32" t="n"/>
      <c r="B88" s="32" t="n"/>
      <c r="D88" s="32" t="n"/>
      <c r="F88" s="32" t="n"/>
      <c r="J88" s="32" t="n"/>
    </row>
    <row r="89">
      <c r="A89" s="32" t="n"/>
      <c r="B89" s="32" t="n"/>
      <c r="D89" s="32" t="n"/>
      <c r="F89" s="32" t="n"/>
      <c r="J89" s="32" t="n"/>
    </row>
    <row r="90">
      <c r="A90" s="32" t="n"/>
      <c r="B90" s="32" t="n"/>
      <c r="D90" s="32" t="n"/>
      <c r="F90" s="32" t="n"/>
      <c r="J90" s="32" t="n"/>
    </row>
    <row r="91">
      <c r="A91" s="32" t="n"/>
      <c r="B91" s="32" t="n"/>
      <c r="D91" s="32" t="n"/>
      <c r="F91" s="32" t="n"/>
      <c r="J91" s="32" t="n"/>
    </row>
    <row r="92">
      <c r="A92" s="32" t="n"/>
      <c r="B92" s="32" t="n"/>
      <c r="D92" s="32" t="n"/>
      <c r="F92" s="32" t="n"/>
      <c r="J92" s="32" t="n"/>
    </row>
    <row r="93">
      <c r="A93" s="32" t="n"/>
      <c r="B93" s="32" t="n"/>
      <c r="D93" s="32" t="n"/>
      <c r="F93" s="32" t="n"/>
      <c r="J93" s="32" t="n"/>
    </row>
    <row r="94">
      <c r="A94" s="32" t="n"/>
      <c r="B94" s="32" t="n"/>
      <c r="D94" s="32" t="n"/>
      <c r="F94" s="32" t="n"/>
      <c r="J94" s="32" t="n"/>
    </row>
    <row r="95">
      <c r="A95" s="32" t="n"/>
      <c r="B95" s="32" t="n"/>
      <c r="D95" s="32" t="n"/>
      <c r="F95" s="32" t="n"/>
      <c r="J95" s="32" t="n"/>
    </row>
    <row r="96">
      <c r="A96" s="32" t="n"/>
      <c r="B96" s="32" t="n"/>
      <c r="D96" s="32" t="n"/>
      <c r="F96" s="32" t="n"/>
      <c r="J96" s="32" t="n"/>
    </row>
    <row r="97">
      <c r="A97" s="32" t="n"/>
      <c r="B97" s="32" t="n"/>
      <c r="D97" s="32" t="n"/>
      <c r="F97" s="32" t="n"/>
      <c r="J97" s="32" t="n"/>
    </row>
    <row r="98">
      <c r="A98" s="32" t="n"/>
      <c r="B98" s="32" t="n"/>
      <c r="D98" s="32" t="n"/>
      <c r="F98" s="32" t="n"/>
      <c r="J98" s="32" t="n"/>
    </row>
    <row r="99">
      <c r="A99" s="32" t="n"/>
      <c r="B99" s="32" t="n"/>
      <c r="D99" s="32" t="n"/>
      <c r="F99" s="32" t="n"/>
      <c r="J99" s="32" t="n"/>
    </row>
    <row r="100">
      <c r="A100" s="32" t="n"/>
      <c r="B100" s="32" t="n"/>
      <c r="D100" s="32" t="n"/>
      <c r="F100" s="32" t="n"/>
      <c r="J100" s="32" t="n"/>
    </row>
    <row r="101">
      <c r="A101" s="32" t="n"/>
      <c r="B101" s="32" t="n"/>
      <c r="D101" s="32" t="n"/>
      <c r="F101" s="32" t="n"/>
      <c r="J101" s="32" t="n"/>
    </row>
    <row r="102">
      <c r="A102" s="32" t="n"/>
      <c r="B102" s="32" t="n"/>
      <c r="D102" s="32" t="n"/>
      <c r="F102" s="32" t="n"/>
      <c r="J102" s="32" t="n"/>
    </row>
    <row r="103">
      <c r="A103" s="32" t="n"/>
      <c r="B103" s="32" t="n"/>
      <c r="D103" s="32" t="n"/>
      <c r="F103" s="32" t="n"/>
      <c r="J103" s="32" t="n"/>
    </row>
    <row r="104">
      <c r="A104" s="32" t="n"/>
      <c r="B104" s="32" t="n"/>
      <c r="D104" s="32" t="n"/>
      <c r="F104" s="32" t="n"/>
      <c r="J104" s="32" t="n"/>
    </row>
    <row r="105">
      <c r="A105" s="32" t="n"/>
      <c r="B105" s="32" t="n"/>
      <c r="D105" s="32" t="n"/>
      <c r="F105" s="32" t="n"/>
      <c r="J105" s="32" t="n"/>
    </row>
    <row r="106">
      <c r="A106" s="32" t="n"/>
      <c r="B106" s="32" t="n"/>
      <c r="D106" s="32" t="n"/>
      <c r="F106" s="32" t="n"/>
      <c r="J106" s="32" t="n"/>
    </row>
    <row r="107">
      <c r="A107" s="32" t="n"/>
      <c r="B107" s="32" t="n"/>
      <c r="D107" s="32" t="n"/>
      <c r="F107" s="32" t="n"/>
      <c r="J107" s="32" t="n"/>
    </row>
    <row r="108">
      <c r="A108" s="32" t="n"/>
      <c r="B108" s="32" t="n"/>
      <c r="D108" s="32" t="n"/>
      <c r="F108" s="32" t="n"/>
      <c r="J108" s="32" t="n"/>
    </row>
    <row r="109">
      <c r="A109" s="32" t="n"/>
      <c r="B109" s="32" t="n"/>
      <c r="D109" s="32" t="n"/>
      <c r="F109" s="32" t="n"/>
      <c r="J109" s="32" t="n"/>
    </row>
    <row r="110">
      <c r="A110" s="32" t="n"/>
      <c r="B110" s="32" t="n"/>
      <c r="D110" s="32" t="n"/>
      <c r="F110" s="32" t="n"/>
      <c r="J110" s="32" t="n"/>
    </row>
    <row r="111">
      <c r="A111" s="32" t="n"/>
      <c r="B111" s="32" t="n"/>
      <c r="D111" s="32" t="n"/>
      <c r="F111" s="32" t="n"/>
      <c r="J111" s="32" t="n"/>
    </row>
    <row r="112">
      <c r="A112" s="32" t="n"/>
      <c r="B112" s="32" t="n"/>
      <c r="D112" s="32" t="n"/>
      <c r="F112" s="32" t="n"/>
      <c r="J112" s="32" t="n"/>
    </row>
    <row r="113">
      <c r="A113" s="32" t="n"/>
      <c r="B113" s="32" t="n"/>
      <c r="D113" s="32" t="n"/>
      <c r="F113" s="32" t="n"/>
      <c r="J113" s="32" t="n"/>
    </row>
    <row r="114">
      <c r="A114" s="32" t="n"/>
      <c r="B114" s="32" t="n"/>
      <c r="D114" s="32" t="n"/>
      <c r="F114" s="32" t="n"/>
      <c r="J114" s="32" t="n"/>
    </row>
    <row r="115">
      <c r="A115" s="32" t="n"/>
      <c r="B115" s="32" t="n"/>
      <c r="D115" s="32" t="n"/>
      <c r="F115" s="32" t="n"/>
      <c r="J115" s="32" t="n"/>
    </row>
    <row r="116">
      <c r="A116" s="32" t="n"/>
      <c r="B116" s="32" t="n"/>
      <c r="D116" s="32" t="n"/>
      <c r="F116" s="32" t="n"/>
      <c r="J116" s="32" t="n"/>
    </row>
    <row r="117">
      <c r="A117" s="32" t="n"/>
      <c r="B117" s="32" t="n"/>
      <c r="D117" s="32" t="n"/>
      <c r="F117" s="32" t="n"/>
      <c r="J117" s="32" t="n"/>
    </row>
    <row r="118">
      <c r="A118" s="32" t="n"/>
      <c r="B118" s="32" t="n"/>
      <c r="D118" s="32" t="n"/>
      <c r="F118" s="32" t="n"/>
      <c r="J118" s="32" t="n"/>
    </row>
    <row r="119">
      <c r="A119" s="32" t="n"/>
      <c r="B119" s="32" t="n"/>
      <c r="D119" s="32" t="n"/>
      <c r="F119" s="32" t="n"/>
      <c r="J119" s="32" t="n"/>
    </row>
    <row r="120">
      <c r="A120" s="32" t="n"/>
      <c r="B120" s="32" t="n"/>
      <c r="D120" s="32" t="n"/>
      <c r="F120" s="32" t="n"/>
      <c r="J120" s="32" t="n"/>
    </row>
    <row r="121">
      <c r="A121" s="32" t="n"/>
      <c r="B121" s="32" t="n"/>
      <c r="D121" s="32" t="n"/>
      <c r="F121" s="32" t="n"/>
      <c r="J121" s="32" t="n"/>
    </row>
    <row r="122">
      <c r="A122" s="32" t="n"/>
      <c r="B122" s="32" t="n"/>
      <c r="D122" s="32" t="n"/>
      <c r="F122" s="32" t="n"/>
      <c r="J122" s="32" t="n"/>
    </row>
    <row r="123">
      <c r="A123" s="32" t="n"/>
      <c r="B123" s="32" t="n"/>
      <c r="D123" s="32" t="n"/>
      <c r="F123" s="32" t="n"/>
      <c r="J123" s="32" t="n"/>
    </row>
    <row r="124">
      <c r="A124" s="32" t="n"/>
      <c r="B124" s="32" t="n"/>
      <c r="D124" s="32" t="n"/>
      <c r="F124" s="32" t="n"/>
      <c r="J124" s="32" t="n"/>
    </row>
    <row r="125">
      <c r="A125" s="32" t="n"/>
      <c r="B125" s="32" t="n"/>
      <c r="D125" s="32" t="n"/>
      <c r="F125" s="32" t="n"/>
      <c r="J125" s="32" t="n"/>
    </row>
    <row r="126">
      <c r="A126" s="32" t="n"/>
      <c r="B126" s="32" t="n"/>
      <c r="D126" s="32" t="n"/>
      <c r="F126" s="32" t="n"/>
      <c r="J126" s="32" t="n"/>
    </row>
    <row r="127">
      <c r="A127" s="32" t="n"/>
      <c r="B127" s="32" t="n"/>
      <c r="D127" s="32" t="n"/>
      <c r="F127" s="32" t="n"/>
      <c r="J127" s="32" t="n"/>
    </row>
    <row r="128">
      <c r="A128" s="32" t="n"/>
      <c r="B128" s="32" t="n"/>
      <c r="D128" s="32" t="n"/>
      <c r="F128" s="32" t="n"/>
      <c r="J128" s="32" t="n"/>
    </row>
    <row r="129">
      <c r="A129" s="32" t="n"/>
      <c r="B129" s="32" t="n"/>
      <c r="D129" s="32" t="n"/>
      <c r="F129" s="32" t="n"/>
      <c r="J129" s="32" t="n"/>
    </row>
    <row r="130">
      <c r="A130" s="32" t="n"/>
      <c r="B130" s="32" t="n"/>
      <c r="D130" s="32" t="n"/>
      <c r="F130" s="32" t="n"/>
      <c r="J130" s="32" t="n"/>
    </row>
    <row r="131">
      <c r="A131" s="32" t="n"/>
      <c r="B131" s="32" t="n"/>
      <c r="D131" s="32" t="n"/>
      <c r="F131" s="32" t="n"/>
      <c r="J131" s="32" t="n"/>
    </row>
    <row r="132">
      <c r="A132" s="32" t="n"/>
      <c r="B132" s="32" t="n"/>
      <c r="D132" s="32" t="n"/>
      <c r="F132" s="32" t="n"/>
      <c r="J132" s="32" t="n"/>
    </row>
    <row r="133">
      <c r="A133" s="32" t="n"/>
      <c r="B133" s="32" t="n"/>
      <c r="D133" s="32" t="n"/>
      <c r="F133" s="32" t="n"/>
      <c r="J133" s="32" t="n"/>
    </row>
    <row r="134">
      <c r="A134" s="32" t="n"/>
      <c r="B134" s="32" t="n"/>
      <c r="D134" s="32" t="n"/>
      <c r="F134" s="32" t="n"/>
      <c r="J134" s="32" t="n"/>
    </row>
    <row r="135">
      <c r="A135" s="32" t="n"/>
      <c r="B135" s="32" t="n"/>
      <c r="D135" s="32" t="n"/>
      <c r="F135" s="32" t="n"/>
      <c r="J135" s="32" t="n"/>
    </row>
    <row r="136">
      <c r="A136" s="32" t="n"/>
      <c r="B136" s="32" t="n"/>
      <c r="D136" s="32" t="n"/>
      <c r="F136" s="32" t="n"/>
      <c r="J136" s="32" t="n"/>
    </row>
    <row r="137">
      <c r="A137" s="32" t="n"/>
      <c r="B137" s="32" t="n"/>
      <c r="D137" s="32" t="n"/>
      <c r="F137" s="32" t="n"/>
      <c r="J137" s="32" t="n"/>
    </row>
    <row r="138">
      <c r="A138" s="32" t="n"/>
      <c r="B138" s="32" t="n"/>
      <c r="D138" s="32" t="n"/>
      <c r="F138" s="32" t="n"/>
      <c r="J138" s="32" t="n"/>
    </row>
    <row r="139">
      <c r="A139" s="32" t="n"/>
      <c r="B139" s="32" t="n"/>
      <c r="D139" s="32" t="n"/>
      <c r="F139" s="32" t="n"/>
      <c r="J139" s="32" t="n"/>
    </row>
    <row r="140">
      <c r="A140" s="32" t="n"/>
      <c r="B140" s="32" t="n"/>
      <c r="D140" s="32" t="n"/>
      <c r="F140" s="32" t="n"/>
      <c r="J140" s="32" t="n"/>
    </row>
    <row r="141">
      <c r="A141" s="32" t="n"/>
      <c r="B141" s="32" t="n"/>
      <c r="D141" s="32" t="n"/>
      <c r="F141" s="32" t="n"/>
      <c r="J141" s="32" t="n"/>
    </row>
    <row r="142">
      <c r="A142" s="32" t="n"/>
      <c r="B142" s="32" t="n"/>
      <c r="D142" s="32" t="n"/>
      <c r="F142" s="32" t="n"/>
      <c r="J142" s="32" t="n"/>
    </row>
    <row r="143">
      <c r="A143" s="32" t="n"/>
      <c r="B143" s="32" t="n"/>
      <c r="D143" s="32" t="n"/>
      <c r="F143" s="32" t="n"/>
      <c r="J143" s="32" t="n"/>
    </row>
    <row r="144">
      <c r="A144" s="32" t="n"/>
      <c r="B144" s="32" t="n"/>
      <c r="D144" s="32" t="n"/>
      <c r="F144" s="32" t="n"/>
      <c r="J144" s="32" t="n"/>
    </row>
    <row r="145">
      <c r="A145" s="32" t="n"/>
      <c r="B145" s="32" t="n"/>
      <c r="D145" s="32" t="n"/>
      <c r="F145" s="32" t="n"/>
      <c r="J145" s="32" t="n"/>
    </row>
    <row r="146">
      <c r="A146" s="32" t="n"/>
      <c r="B146" s="32" t="n"/>
      <c r="D146" s="32" t="n"/>
      <c r="F146" s="32" t="n"/>
      <c r="J146" s="32" t="n"/>
    </row>
    <row r="147">
      <c r="A147" s="32" t="n"/>
      <c r="B147" s="32" t="n"/>
      <c r="D147" s="32" t="n"/>
      <c r="F147" s="32" t="n"/>
      <c r="J147" s="32" t="n"/>
    </row>
    <row r="148">
      <c r="A148" s="32" t="n"/>
      <c r="B148" s="32" t="n"/>
      <c r="D148" s="32" t="n"/>
      <c r="F148" s="32" t="n"/>
      <c r="J148" s="32" t="n"/>
    </row>
    <row r="149">
      <c r="A149" s="32" t="n"/>
      <c r="B149" s="32" t="n"/>
      <c r="D149" s="32" t="n"/>
      <c r="F149" s="32" t="n"/>
      <c r="J149" s="32" t="n"/>
    </row>
    <row r="150">
      <c r="A150" s="32" t="n"/>
      <c r="B150" s="32" t="n"/>
      <c r="D150" s="32" t="n"/>
      <c r="F150" s="32" t="n"/>
      <c r="J150" s="32" t="n"/>
    </row>
    <row r="151">
      <c r="A151" s="32" t="n"/>
      <c r="B151" s="32" t="n"/>
      <c r="D151" s="32" t="n"/>
      <c r="F151" s="32" t="n"/>
      <c r="J151" s="32" t="n"/>
    </row>
    <row r="152">
      <c r="A152" s="32" t="n"/>
      <c r="B152" s="32" t="n"/>
      <c r="D152" s="32" t="n"/>
      <c r="F152" s="32" t="n"/>
      <c r="J152" s="32" t="n"/>
    </row>
    <row r="153">
      <c r="A153" s="32" t="n"/>
      <c r="B153" s="32" t="n"/>
      <c r="D153" s="32" t="n"/>
      <c r="F153" s="32" t="n"/>
      <c r="J153" s="32" t="n"/>
    </row>
    <row r="154">
      <c r="A154" s="32" t="n"/>
      <c r="B154" s="32" t="n"/>
      <c r="D154" s="32" t="n"/>
      <c r="F154" s="32" t="n"/>
      <c r="J154" s="32" t="n"/>
    </row>
    <row r="155">
      <c r="A155" s="32" t="n"/>
      <c r="B155" s="32" t="n"/>
      <c r="D155" s="32" t="n"/>
      <c r="F155" s="32" t="n"/>
      <c r="J155" s="32" t="n"/>
    </row>
    <row r="156">
      <c r="A156" s="32" t="n"/>
      <c r="B156" s="32" t="n"/>
      <c r="D156" s="32" t="n"/>
      <c r="F156" s="32" t="n"/>
      <c r="J156" s="32" t="n"/>
    </row>
    <row r="157">
      <c r="A157" s="32" t="n"/>
      <c r="B157" s="32" t="n"/>
      <c r="D157" s="32" t="n"/>
      <c r="F157" s="32" t="n"/>
      <c r="J157" s="32" t="n"/>
    </row>
    <row r="158">
      <c r="A158" s="32" t="n"/>
      <c r="B158" s="32" t="n"/>
      <c r="D158" s="32" t="n"/>
      <c r="F158" s="32" t="n"/>
      <c r="J158" s="32" t="n"/>
    </row>
    <row r="159">
      <c r="A159" s="32" t="n"/>
      <c r="B159" s="32" t="n"/>
      <c r="D159" s="32" t="n"/>
      <c r="F159" s="32" t="n"/>
      <c r="J159" s="32" t="n"/>
    </row>
    <row r="160">
      <c r="A160" s="32" t="n"/>
      <c r="B160" s="32" t="n"/>
      <c r="D160" s="32" t="n"/>
      <c r="F160" s="32" t="n"/>
      <c r="J160" s="32" t="n"/>
    </row>
    <row r="161">
      <c r="A161" s="32" t="n"/>
      <c r="B161" s="32" t="n"/>
      <c r="D161" s="32" t="n"/>
      <c r="F161" s="32" t="n"/>
      <c r="J161" s="32" t="n"/>
    </row>
    <row r="162">
      <c r="A162" s="32" t="n"/>
      <c r="B162" s="32" t="n"/>
      <c r="D162" s="32" t="n"/>
      <c r="F162" s="32" t="n"/>
      <c r="J162" s="32" t="n"/>
    </row>
    <row r="163">
      <c r="A163" s="32" t="n"/>
      <c r="B163" s="32" t="n"/>
      <c r="D163" s="32" t="n"/>
      <c r="F163" s="32" t="n"/>
      <c r="J163" s="32" t="n"/>
    </row>
    <row r="164">
      <c r="A164" s="32" t="n"/>
      <c r="B164" s="32" t="n"/>
      <c r="D164" s="32" t="n"/>
      <c r="F164" s="32" t="n"/>
      <c r="J164" s="32" t="n"/>
    </row>
    <row r="165">
      <c r="A165" s="32" t="n"/>
      <c r="B165" s="32" t="n"/>
      <c r="D165" s="32" t="n"/>
      <c r="F165" s="32" t="n"/>
      <c r="J165" s="32" t="n"/>
    </row>
    <row r="166">
      <c r="A166" s="32" t="n"/>
      <c r="B166" s="32" t="n"/>
      <c r="D166" s="32" t="n"/>
      <c r="F166" s="32" t="n"/>
      <c r="J166" s="32" t="n"/>
    </row>
    <row r="167">
      <c r="A167" s="32" t="n"/>
      <c r="B167" s="32" t="n"/>
      <c r="D167" s="32" t="n"/>
      <c r="F167" s="32" t="n"/>
      <c r="J167" s="32" t="n"/>
    </row>
    <row r="168">
      <c r="A168" s="32" t="n"/>
      <c r="B168" s="32" t="n"/>
      <c r="D168" s="32" t="n"/>
      <c r="F168" s="32" t="n"/>
      <c r="J168" s="32" t="n"/>
    </row>
    <row r="169">
      <c r="A169" s="32" t="n"/>
      <c r="B169" s="32" t="n"/>
      <c r="D169" s="32" t="n"/>
      <c r="F169" s="32" t="n"/>
      <c r="J169" s="32" t="n"/>
    </row>
    <row r="170">
      <c r="A170" s="32" t="n"/>
      <c r="B170" s="32" t="n"/>
      <c r="D170" s="32" t="n"/>
      <c r="F170" s="32" t="n"/>
      <c r="J170" s="32" t="n"/>
    </row>
    <row r="171">
      <c r="A171" s="32" t="n"/>
      <c r="B171" s="32" t="n"/>
      <c r="D171" s="32" t="n"/>
      <c r="F171" s="32" t="n"/>
      <c r="J171" s="32" t="n"/>
    </row>
    <row r="172">
      <c r="A172" s="32" t="n"/>
      <c r="B172" s="32" t="n"/>
      <c r="D172" s="32" t="n"/>
      <c r="F172" s="32" t="n"/>
      <c r="J172" s="32" t="n"/>
    </row>
    <row r="173">
      <c r="A173" s="32" t="n"/>
      <c r="B173" s="32" t="n"/>
      <c r="D173" s="32" t="n"/>
      <c r="F173" s="32" t="n"/>
      <c r="J173" s="32" t="n"/>
    </row>
    <row r="174">
      <c r="A174" s="32" t="n"/>
      <c r="B174" s="32" t="n"/>
      <c r="D174" s="32" t="n"/>
      <c r="F174" s="32" t="n"/>
      <c r="J174" s="32" t="n"/>
    </row>
    <row r="175">
      <c r="A175" s="32" t="n"/>
      <c r="B175" s="32" t="n"/>
      <c r="D175" s="32" t="n"/>
      <c r="F175" s="32" t="n"/>
      <c r="J175" s="32" t="n"/>
    </row>
    <row r="176">
      <c r="A176" s="32" t="n"/>
      <c r="B176" s="32" t="n"/>
      <c r="D176" s="32" t="n"/>
      <c r="F176" s="32" t="n"/>
      <c r="J176" s="32" t="n"/>
    </row>
    <row r="177">
      <c r="A177" s="32" t="n"/>
      <c r="B177" s="32" t="n"/>
      <c r="D177" s="32" t="n"/>
      <c r="F177" s="32" t="n"/>
      <c r="J177" s="32" t="n"/>
    </row>
    <row r="178">
      <c r="A178" s="32" t="n"/>
      <c r="B178" s="32" t="n"/>
      <c r="D178" s="32" t="n"/>
      <c r="F178" s="32" t="n"/>
      <c r="J178" s="32" t="n"/>
    </row>
    <row r="179">
      <c r="A179" s="32" t="n"/>
      <c r="B179" s="32" t="n"/>
      <c r="D179" s="32" t="n"/>
      <c r="F179" s="32" t="n"/>
      <c r="J179" s="32" t="n"/>
    </row>
    <row r="180">
      <c r="A180" s="32" t="n"/>
      <c r="B180" s="32" t="n"/>
      <c r="D180" s="32" t="n"/>
      <c r="F180" s="32" t="n"/>
      <c r="J180" s="32" t="n"/>
    </row>
    <row r="181">
      <c r="A181" s="32" t="n"/>
      <c r="B181" s="32" t="n"/>
      <c r="D181" s="32" t="n"/>
      <c r="F181" s="32" t="n"/>
      <c r="J181" s="32" t="n"/>
    </row>
    <row r="182">
      <c r="A182" s="32" t="n"/>
      <c r="B182" s="32" t="n"/>
      <c r="D182" s="32" t="n"/>
      <c r="F182" s="32" t="n"/>
      <c r="J182" s="32" t="n"/>
    </row>
    <row r="183">
      <c r="A183" s="32" t="n"/>
      <c r="B183" s="32" t="n"/>
      <c r="D183" s="32" t="n"/>
      <c r="F183" s="32" t="n"/>
      <c r="J183" s="32" t="n"/>
    </row>
    <row r="184">
      <c r="A184" s="32" t="n"/>
      <c r="B184" s="32" t="n"/>
      <c r="D184" s="32" t="n"/>
      <c r="F184" s="32" t="n"/>
      <c r="J184" s="32" t="n"/>
    </row>
    <row r="185">
      <c r="A185" s="32" t="n"/>
      <c r="B185" s="32" t="n"/>
      <c r="D185" s="32" t="n"/>
      <c r="F185" s="32" t="n"/>
      <c r="J185" s="32" t="n"/>
    </row>
    <row r="186">
      <c r="A186" s="32" t="n"/>
      <c r="B186" s="32" t="n"/>
      <c r="D186" s="32" t="n"/>
      <c r="F186" s="32" t="n"/>
      <c r="J186" s="32" t="n"/>
    </row>
    <row r="187">
      <c r="A187" s="32" t="n"/>
      <c r="B187" s="32" t="n"/>
      <c r="D187" s="32" t="n"/>
      <c r="F187" s="32" t="n"/>
      <c r="J187" s="32" t="n"/>
    </row>
    <row r="188">
      <c r="A188" s="32" t="n"/>
      <c r="B188" s="32" t="n"/>
      <c r="D188" s="32" t="n"/>
      <c r="F188" s="32" t="n"/>
      <c r="J188" s="32" t="n"/>
    </row>
    <row r="189">
      <c r="A189" s="32" t="n"/>
      <c r="B189" s="32" t="n"/>
      <c r="D189" s="32" t="n"/>
      <c r="F189" s="32" t="n"/>
      <c r="J189" s="32" t="n"/>
    </row>
    <row r="190">
      <c r="A190" s="32" t="n"/>
      <c r="B190" s="32" t="n"/>
      <c r="D190" s="32" t="n"/>
      <c r="F190" s="32" t="n"/>
      <c r="J190" s="32" t="n"/>
    </row>
    <row r="191">
      <c r="A191" s="32" t="n"/>
      <c r="B191" s="32" t="n"/>
      <c r="D191" s="32" t="n"/>
      <c r="F191" s="32" t="n"/>
      <c r="J191" s="32" t="n"/>
    </row>
    <row r="192">
      <c r="A192" s="32" t="n"/>
      <c r="B192" s="32" t="n"/>
      <c r="D192" s="32" t="n"/>
      <c r="F192" s="32" t="n"/>
      <c r="J192" s="32" t="n"/>
    </row>
    <row r="193">
      <c r="A193" s="32" t="n"/>
      <c r="B193" s="32" t="n"/>
      <c r="D193" s="32" t="n"/>
      <c r="F193" s="32" t="n"/>
      <c r="J193" s="32" t="n"/>
    </row>
    <row r="194">
      <c r="A194" s="32" t="n"/>
      <c r="B194" s="32" t="n"/>
      <c r="D194" s="32" t="n"/>
      <c r="F194" s="32" t="n"/>
      <c r="J194" s="32" t="n"/>
    </row>
    <row r="195">
      <c r="A195" s="32" t="n"/>
      <c r="B195" s="32" t="n"/>
      <c r="D195" s="32" t="n"/>
      <c r="F195" s="32" t="n"/>
      <c r="J195" s="32" t="n"/>
    </row>
    <row r="196">
      <c r="A196" s="32" t="n"/>
      <c r="B196" s="32" t="n"/>
      <c r="D196" s="32" t="n"/>
      <c r="F196" s="32" t="n"/>
      <c r="J196" s="32" t="n"/>
    </row>
    <row r="197">
      <c r="A197" s="32" t="n"/>
      <c r="B197" s="32" t="n"/>
      <c r="D197" s="32" t="n"/>
      <c r="F197" s="32" t="n"/>
      <c r="J197" s="32" t="n"/>
    </row>
    <row r="198">
      <c r="A198" s="32" t="n"/>
      <c r="B198" s="32" t="n"/>
      <c r="D198" s="32" t="n"/>
      <c r="F198" s="32" t="n"/>
      <c r="J198" s="32" t="n"/>
    </row>
    <row r="199">
      <c r="A199" s="32" t="n"/>
      <c r="B199" s="32" t="n"/>
      <c r="D199" s="32" t="n"/>
      <c r="F199" s="32" t="n"/>
      <c r="J199" s="32" t="n"/>
    </row>
    <row r="200">
      <c r="A200" s="32" t="n"/>
      <c r="B200" s="32" t="n"/>
      <c r="D200" s="32" t="n"/>
      <c r="F200" s="32" t="n"/>
      <c r="J200" s="32" t="n"/>
    </row>
    <row r="201">
      <c r="A201" s="32" t="n"/>
      <c r="B201" s="32" t="n"/>
      <c r="D201" s="32" t="n"/>
      <c r="F201" s="32" t="n"/>
      <c r="J201" s="32" t="n"/>
    </row>
    <row r="202">
      <c r="A202" s="32" t="n"/>
      <c r="B202" s="32" t="n"/>
      <c r="D202" s="32" t="n"/>
      <c r="F202" s="32" t="n"/>
      <c r="J202" s="32" t="n"/>
    </row>
    <row r="203">
      <c r="A203" s="32" t="n"/>
      <c r="B203" s="32" t="n"/>
      <c r="D203" s="32" t="n"/>
      <c r="F203" s="32" t="n"/>
      <c r="J203" s="32" t="n"/>
    </row>
    <row r="204">
      <c r="A204" s="32" t="n"/>
      <c r="B204" s="32" t="n"/>
      <c r="D204" s="32" t="n"/>
      <c r="F204" s="32" t="n"/>
      <c r="J204" s="32" t="n"/>
    </row>
  </sheetData>
  <conditionalFormatting sqref="S5:S60004">
    <cfRule type="cellIs" priority="1" operator="equal" dxfId="5">
      <formula>"PAID"</formula>
    </cfRule>
    <cfRule type="cellIs" priority="2" operator="equal" dxfId="2">
      <formula>"PARTIAL"</formula>
    </cfRule>
    <cfRule type="cellIs" priority="3" operator="equal" dxfId="3">
      <formula>"PENDING"</formula>
    </cfRule>
  </conditionalFormatting>
  <conditionalFormatting sqref="T5:T60004">
    <cfRule type="cellIs" priority="4" operator="equal" dxfId="6">
      <formula>"OVERDUE"</formula>
    </cfRule>
  </conditionalFormatting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20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9" customWidth="1" min="4" max="4"/>
    <col width="17" customWidth="1" min="5" max="5"/>
    <col width="13" customWidth="1" min="6" max="6"/>
    <col width="10" customWidth="1" min="7" max="7"/>
    <col width="11" customWidth="1" min="8" max="8"/>
    <col width="10" customWidth="1" min="9" max="9"/>
    <col width="14" customWidth="1" min="10" max="10"/>
    <col width="22" customWidth="1" min="11" max="11"/>
    <col width="8" customWidth="1" min="12" max="12"/>
    <col width="18" customWidth="1" min="13" max="13"/>
    <col width="16" customWidth="1" min="14" max="14"/>
    <col width="30" customWidth="1" min="15" max="15"/>
  </cols>
  <sheetData>
    <row r="1">
      <c r="A1" s="13" t="inlineStr">
        <is>
          <t>PAYMENT TRANSACTIONS</t>
        </is>
      </c>
      <c r="M1" s="9" t="inlineStr">
        <is>
          <t>◄ HOME</t>
        </is>
      </c>
    </row>
    <row r="2">
      <c r="A2" s="16" t="inlineStr">
        <is>
          <t>Every payment is a separate row (multiple partial payments allowed). Never delete - set Voided = Yes.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Payment ID</t>
        </is>
      </c>
      <c r="B4" s="29" t="inlineStr">
        <is>
          <t>Customer ID</t>
        </is>
      </c>
      <c r="C4" s="30" t="inlineStr">
        <is>
          <t>Customer Name</t>
        </is>
      </c>
      <c r="D4" s="29" t="inlineStr">
        <is>
          <t>Month</t>
        </is>
      </c>
      <c r="E4" s="30" t="inlineStr">
        <is>
          <t>Billing ID</t>
        </is>
      </c>
      <c r="F4" s="29" t="inlineStr">
        <is>
          <t>Payment Date</t>
        </is>
      </c>
      <c r="G4" s="29" t="inlineStr">
        <is>
          <t>Amount</t>
        </is>
      </c>
      <c r="H4" s="29" t="inlineStr">
        <is>
          <t>Payment Method</t>
        </is>
      </c>
      <c r="I4" s="29" t="inlineStr">
        <is>
          <t>Collector ID</t>
        </is>
      </c>
      <c r="J4" s="29" t="inlineStr">
        <is>
          <t>Reference</t>
        </is>
      </c>
      <c r="K4" s="29" t="inlineStr">
        <is>
          <t>Remarks</t>
        </is>
      </c>
      <c r="L4" s="29" t="inlineStr">
        <is>
          <t>Voided</t>
        </is>
      </c>
      <c r="M4" s="29" t="inlineStr">
        <is>
          <t>Void Reason</t>
        </is>
      </c>
      <c r="N4" s="31" t="inlineStr">
        <is>
          <t>Created At</t>
        </is>
      </c>
      <c r="O4" s="30" t="inlineStr">
        <is>
          <t>Data Check</t>
        </is>
      </c>
    </row>
    <row r="5">
      <c r="A5" s="32" t="n"/>
      <c r="B5" s="32" t="n"/>
      <c r="C5" s="33">
        <f>IFERROR(INDEX(tblCustomers[Customer Name],MATCH(tblPayments[[#This Row],[Customer ID]],tblCustomers[Customer ID],0)),"CUSTOMER NOT FOUND")</f>
        <v/>
      </c>
      <c r="D5" s="32" t="n"/>
      <c r="E5" s="33">
        <f>IF(OR(tblPayments[[#This Row],[Month]]="",tblPayments[[#This Row],[Customer ID]]=""),"",tblPayments[[#This Row],[Month]]&amp;"-"&amp;tblPayments[[#This Row],[Customer ID]])</f>
        <v/>
      </c>
      <c r="I5" s="32" t="n"/>
      <c r="O5" s="33">
        <f>TRIM(IF(AND(tblPayments[[#This Row],[Billing ID]]&lt;&gt;"",ISNA(MATCH(tblPayments[[#This Row],[Billing ID]],tblBilling[Billing ID],0))),"NO BILL FOR THIS CUSTOMER/MONTH. ","")&amp;IF(N(tblPayments[[#This Row],[Amount]])&lt;=0,"AMOUNT MUST BE MORE THAN 0. ","")&amp;IF(COUNTIF(tblPayments[Payment ID],tblPayments[[#This Row],[Payment ID]])&gt;1,"DUPLICATE PAYMENT ID. ","")&amp;IF(tblPayments[[#This Row],[Payment Date]]="","PAYMENT DATE MISSING. ",""))</f>
        <v/>
      </c>
    </row>
    <row r="6">
      <c r="A6" s="32" t="n"/>
      <c r="B6" s="32" t="n"/>
      <c r="D6" s="32" t="n"/>
      <c r="I6" s="32" t="n"/>
    </row>
    <row r="7">
      <c r="A7" s="32" t="n"/>
      <c r="B7" s="32" t="n"/>
      <c r="D7" s="32" t="n"/>
      <c r="I7" s="32" t="n"/>
    </row>
    <row r="8">
      <c r="A8" s="32" t="n"/>
      <c r="B8" s="32" t="n"/>
      <c r="D8" s="32" t="n"/>
      <c r="I8" s="32" t="n"/>
    </row>
    <row r="9">
      <c r="A9" s="32" t="n"/>
      <c r="B9" s="32" t="n"/>
      <c r="D9" s="32" t="n"/>
      <c r="I9" s="32" t="n"/>
    </row>
    <row r="10">
      <c r="A10" s="32" t="n"/>
      <c r="B10" s="32" t="n"/>
      <c r="D10" s="32" t="n"/>
      <c r="I10" s="32" t="n"/>
    </row>
    <row r="11">
      <c r="A11" s="32" t="n"/>
      <c r="B11" s="32" t="n"/>
      <c r="D11" s="32" t="n"/>
      <c r="I11" s="32" t="n"/>
    </row>
    <row r="12">
      <c r="A12" s="32" t="n"/>
      <c r="B12" s="32" t="n"/>
      <c r="D12" s="32" t="n"/>
      <c r="I12" s="32" t="n"/>
    </row>
    <row r="13">
      <c r="A13" s="32" t="n"/>
      <c r="B13" s="32" t="n"/>
      <c r="D13" s="32" t="n"/>
      <c r="I13" s="32" t="n"/>
    </row>
    <row r="14">
      <c r="A14" s="32" t="n"/>
      <c r="B14" s="32" t="n"/>
      <c r="D14" s="32" t="n"/>
      <c r="I14" s="32" t="n"/>
    </row>
    <row r="15">
      <c r="A15" s="32" t="n"/>
      <c r="B15" s="32" t="n"/>
      <c r="D15" s="32" t="n"/>
      <c r="I15" s="32" t="n"/>
    </row>
    <row r="16">
      <c r="A16" s="32" t="n"/>
      <c r="B16" s="32" t="n"/>
      <c r="D16" s="32" t="n"/>
      <c r="I16" s="32" t="n"/>
    </row>
    <row r="17">
      <c r="A17" s="32" t="n"/>
      <c r="B17" s="32" t="n"/>
      <c r="D17" s="32" t="n"/>
      <c r="I17" s="32" t="n"/>
    </row>
    <row r="18">
      <c r="A18" s="32" t="n"/>
      <c r="B18" s="32" t="n"/>
      <c r="D18" s="32" t="n"/>
      <c r="I18" s="32" t="n"/>
    </row>
    <row r="19">
      <c r="A19" s="32" t="n"/>
      <c r="B19" s="32" t="n"/>
      <c r="D19" s="32" t="n"/>
      <c r="I19" s="32" t="n"/>
    </row>
    <row r="20">
      <c r="A20" s="32" t="n"/>
      <c r="B20" s="32" t="n"/>
      <c r="D20" s="32" t="n"/>
      <c r="I20" s="32" t="n"/>
    </row>
    <row r="21">
      <c r="A21" s="32" t="n"/>
      <c r="B21" s="32" t="n"/>
      <c r="D21" s="32" t="n"/>
      <c r="I21" s="32" t="n"/>
    </row>
    <row r="22">
      <c r="A22" s="32" t="n"/>
      <c r="B22" s="32" t="n"/>
      <c r="D22" s="32" t="n"/>
      <c r="I22" s="32" t="n"/>
    </row>
    <row r="23">
      <c r="A23" s="32" t="n"/>
      <c r="B23" s="32" t="n"/>
      <c r="D23" s="32" t="n"/>
      <c r="I23" s="32" t="n"/>
    </row>
    <row r="24">
      <c r="A24" s="32" t="n"/>
      <c r="B24" s="32" t="n"/>
      <c r="D24" s="32" t="n"/>
      <c r="I24" s="32" t="n"/>
    </row>
    <row r="25">
      <c r="A25" s="32" t="n"/>
      <c r="B25" s="32" t="n"/>
      <c r="D25" s="32" t="n"/>
      <c r="I25" s="32" t="n"/>
    </row>
    <row r="26">
      <c r="A26" s="32" t="n"/>
      <c r="B26" s="32" t="n"/>
      <c r="D26" s="32" t="n"/>
      <c r="I26" s="32" t="n"/>
    </row>
    <row r="27">
      <c r="A27" s="32" t="n"/>
      <c r="B27" s="32" t="n"/>
      <c r="D27" s="32" t="n"/>
      <c r="I27" s="32" t="n"/>
    </row>
    <row r="28">
      <c r="A28" s="32" t="n"/>
      <c r="B28" s="32" t="n"/>
      <c r="D28" s="32" t="n"/>
      <c r="I28" s="32" t="n"/>
    </row>
    <row r="29">
      <c r="A29" s="32" t="n"/>
      <c r="B29" s="32" t="n"/>
      <c r="D29" s="32" t="n"/>
      <c r="I29" s="32" t="n"/>
    </row>
    <row r="30">
      <c r="A30" s="32" t="n"/>
      <c r="B30" s="32" t="n"/>
      <c r="D30" s="32" t="n"/>
      <c r="I30" s="32" t="n"/>
    </row>
    <row r="31">
      <c r="A31" s="32" t="n"/>
      <c r="B31" s="32" t="n"/>
      <c r="D31" s="32" t="n"/>
      <c r="I31" s="32" t="n"/>
    </row>
    <row r="32">
      <c r="A32" s="32" t="n"/>
      <c r="B32" s="32" t="n"/>
      <c r="D32" s="32" t="n"/>
      <c r="I32" s="32" t="n"/>
    </row>
    <row r="33">
      <c r="A33" s="32" t="n"/>
      <c r="B33" s="32" t="n"/>
      <c r="D33" s="32" t="n"/>
      <c r="I33" s="32" t="n"/>
    </row>
    <row r="34">
      <c r="A34" s="32" t="n"/>
      <c r="B34" s="32" t="n"/>
      <c r="D34" s="32" t="n"/>
      <c r="I34" s="32" t="n"/>
    </row>
    <row r="35">
      <c r="A35" s="32" t="n"/>
      <c r="B35" s="32" t="n"/>
      <c r="D35" s="32" t="n"/>
      <c r="I35" s="32" t="n"/>
    </row>
    <row r="36">
      <c r="A36" s="32" t="n"/>
      <c r="B36" s="32" t="n"/>
      <c r="D36" s="32" t="n"/>
      <c r="I36" s="32" t="n"/>
    </row>
    <row r="37">
      <c r="A37" s="32" t="n"/>
      <c r="B37" s="32" t="n"/>
      <c r="D37" s="32" t="n"/>
      <c r="I37" s="32" t="n"/>
    </row>
    <row r="38">
      <c r="A38" s="32" t="n"/>
      <c r="B38" s="32" t="n"/>
      <c r="D38" s="32" t="n"/>
      <c r="I38" s="32" t="n"/>
    </row>
    <row r="39">
      <c r="A39" s="32" t="n"/>
      <c r="B39" s="32" t="n"/>
      <c r="D39" s="32" t="n"/>
      <c r="I39" s="32" t="n"/>
    </row>
    <row r="40">
      <c r="A40" s="32" t="n"/>
      <c r="B40" s="32" t="n"/>
      <c r="D40" s="32" t="n"/>
      <c r="I40" s="32" t="n"/>
    </row>
    <row r="41">
      <c r="A41" s="32" t="n"/>
      <c r="B41" s="32" t="n"/>
      <c r="D41" s="32" t="n"/>
      <c r="I41" s="32" t="n"/>
    </row>
    <row r="42">
      <c r="A42" s="32" t="n"/>
      <c r="B42" s="32" t="n"/>
      <c r="D42" s="32" t="n"/>
      <c r="I42" s="32" t="n"/>
    </row>
    <row r="43">
      <c r="A43" s="32" t="n"/>
      <c r="B43" s="32" t="n"/>
      <c r="D43" s="32" t="n"/>
      <c r="I43" s="32" t="n"/>
    </row>
    <row r="44">
      <c r="A44" s="32" t="n"/>
      <c r="B44" s="32" t="n"/>
      <c r="D44" s="32" t="n"/>
      <c r="I44" s="32" t="n"/>
    </row>
    <row r="45">
      <c r="A45" s="32" t="n"/>
      <c r="B45" s="32" t="n"/>
      <c r="D45" s="32" t="n"/>
      <c r="I45" s="32" t="n"/>
    </row>
    <row r="46">
      <c r="A46" s="32" t="n"/>
      <c r="B46" s="32" t="n"/>
      <c r="D46" s="32" t="n"/>
      <c r="I46" s="32" t="n"/>
    </row>
    <row r="47">
      <c r="A47" s="32" t="n"/>
      <c r="B47" s="32" t="n"/>
      <c r="D47" s="32" t="n"/>
      <c r="I47" s="32" t="n"/>
    </row>
    <row r="48">
      <c r="A48" s="32" t="n"/>
      <c r="B48" s="32" t="n"/>
      <c r="D48" s="32" t="n"/>
      <c r="I48" s="32" t="n"/>
    </row>
    <row r="49">
      <c r="A49" s="32" t="n"/>
      <c r="B49" s="32" t="n"/>
      <c r="D49" s="32" t="n"/>
      <c r="I49" s="32" t="n"/>
    </row>
    <row r="50">
      <c r="A50" s="32" t="n"/>
      <c r="B50" s="32" t="n"/>
      <c r="D50" s="32" t="n"/>
      <c r="I50" s="32" t="n"/>
    </row>
    <row r="51">
      <c r="A51" s="32" t="n"/>
      <c r="B51" s="32" t="n"/>
      <c r="D51" s="32" t="n"/>
      <c r="I51" s="32" t="n"/>
    </row>
    <row r="52">
      <c r="A52" s="32" t="n"/>
      <c r="B52" s="32" t="n"/>
      <c r="D52" s="32" t="n"/>
      <c r="I52" s="32" t="n"/>
    </row>
    <row r="53">
      <c r="A53" s="32" t="n"/>
      <c r="B53" s="32" t="n"/>
      <c r="D53" s="32" t="n"/>
      <c r="I53" s="32" t="n"/>
    </row>
    <row r="54">
      <c r="A54" s="32" t="n"/>
      <c r="B54" s="32" t="n"/>
      <c r="D54" s="32" t="n"/>
      <c r="I54" s="32" t="n"/>
    </row>
    <row r="55">
      <c r="A55" s="32" t="n"/>
      <c r="B55" s="32" t="n"/>
      <c r="D55" s="32" t="n"/>
      <c r="I55" s="32" t="n"/>
    </row>
    <row r="56">
      <c r="A56" s="32" t="n"/>
      <c r="B56" s="32" t="n"/>
      <c r="D56" s="32" t="n"/>
      <c r="I56" s="32" t="n"/>
    </row>
    <row r="57">
      <c r="A57" s="32" t="n"/>
      <c r="B57" s="32" t="n"/>
      <c r="D57" s="32" t="n"/>
      <c r="I57" s="32" t="n"/>
    </row>
    <row r="58">
      <c r="A58" s="32" t="n"/>
      <c r="B58" s="32" t="n"/>
      <c r="D58" s="32" t="n"/>
      <c r="I58" s="32" t="n"/>
    </row>
    <row r="59">
      <c r="A59" s="32" t="n"/>
      <c r="B59" s="32" t="n"/>
      <c r="D59" s="32" t="n"/>
      <c r="I59" s="32" t="n"/>
    </row>
    <row r="60">
      <c r="A60" s="32" t="n"/>
      <c r="B60" s="32" t="n"/>
      <c r="D60" s="32" t="n"/>
      <c r="I60" s="32" t="n"/>
    </row>
    <row r="61">
      <c r="A61" s="32" t="n"/>
      <c r="B61" s="32" t="n"/>
      <c r="D61" s="32" t="n"/>
      <c r="I61" s="32" t="n"/>
    </row>
    <row r="62">
      <c r="A62" s="32" t="n"/>
      <c r="B62" s="32" t="n"/>
      <c r="D62" s="32" t="n"/>
      <c r="I62" s="32" t="n"/>
    </row>
    <row r="63">
      <c r="A63" s="32" t="n"/>
      <c r="B63" s="32" t="n"/>
      <c r="D63" s="32" t="n"/>
      <c r="I63" s="32" t="n"/>
    </row>
    <row r="64">
      <c r="A64" s="32" t="n"/>
      <c r="B64" s="32" t="n"/>
      <c r="D64" s="32" t="n"/>
      <c r="I64" s="32" t="n"/>
    </row>
    <row r="65">
      <c r="A65" s="32" t="n"/>
      <c r="B65" s="32" t="n"/>
      <c r="D65" s="32" t="n"/>
      <c r="I65" s="32" t="n"/>
    </row>
    <row r="66">
      <c r="A66" s="32" t="n"/>
      <c r="B66" s="32" t="n"/>
      <c r="D66" s="32" t="n"/>
      <c r="I66" s="32" t="n"/>
    </row>
    <row r="67">
      <c r="A67" s="32" t="n"/>
      <c r="B67" s="32" t="n"/>
      <c r="D67" s="32" t="n"/>
      <c r="I67" s="32" t="n"/>
    </row>
    <row r="68">
      <c r="A68" s="32" t="n"/>
      <c r="B68" s="32" t="n"/>
      <c r="D68" s="32" t="n"/>
      <c r="I68" s="32" t="n"/>
    </row>
    <row r="69">
      <c r="A69" s="32" t="n"/>
      <c r="B69" s="32" t="n"/>
      <c r="D69" s="32" t="n"/>
      <c r="I69" s="32" t="n"/>
    </row>
    <row r="70">
      <c r="A70" s="32" t="n"/>
      <c r="B70" s="32" t="n"/>
      <c r="D70" s="32" t="n"/>
      <c r="I70" s="32" t="n"/>
    </row>
    <row r="71">
      <c r="A71" s="32" t="n"/>
      <c r="B71" s="32" t="n"/>
      <c r="D71" s="32" t="n"/>
      <c r="I71" s="32" t="n"/>
    </row>
    <row r="72">
      <c r="A72" s="32" t="n"/>
      <c r="B72" s="32" t="n"/>
      <c r="D72" s="32" t="n"/>
      <c r="I72" s="32" t="n"/>
    </row>
    <row r="73">
      <c r="A73" s="32" t="n"/>
      <c r="B73" s="32" t="n"/>
      <c r="D73" s="32" t="n"/>
      <c r="I73" s="32" t="n"/>
    </row>
    <row r="74">
      <c r="A74" s="32" t="n"/>
      <c r="B74" s="32" t="n"/>
      <c r="D74" s="32" t="n"/>
      <c r="I74" s="32" t="n"/>
    </row>
    <row r="75">
      <c r="A75" s="32" t="n"/>
      <c r="B75" s="32" t="n"/>
      <c r="D75" s="32" t="n"/>
      <c r="I75" s="32" t="n"/>
    </row>
    <row r="76">
      <c r="A76" s="32" t="n"/>
      <c r="B76" s="32" t="n"/>
      <c r="D76" s="32" t="n"/>
      <c r="I76" s="32" t="n"/>
    </row>
    <row r="77">
      <c r="A77" s="32" t="n"/>
      <c r="B77" s="32" t="n"/>
      <c r="D77" s="32" t="n"/>
      <c r="I77" s="32" t="n"/>
    </row>
    <row r="78">
      <c r="A78" s="32" t="n"/>
      <c r="B78" s="32" t="n"/>
      <c r="D78" s="32" t="n"/>
      <c r="I78" s="32" t="n"/>
    </row>
    <row r="79">
      <c r="A79" s="32" t="n"/>
      <c r="B79" s="32" t="n"/>
      <c r="D79" s="32" t="n"/>
      <c r="I79" s="32" t="n"/>
    </row>
    <row r="80">
      <c r="A80" s="32" t="n"/>
      <c r="B80" s="32" t="n"/>
      <c r="D80" s="32" t="n"/>
      <c r="I80" s="32" t="n"/>
    </row>
    <row r="81">
      <c r="A81" s="32" t="n"/>
      <c r="B81" s="32" t="n"/>
      <c r="D81" s="32" t="n"/>
      <c r="I81" s="32" t="n"/>
    </row>
    <row r="82">
      <c r="A82" s="32" t="n"/>
      <c r="B82" s="32" t="n"/>
      <c r="D82" s="32" t="n"/>
      <c r="I82" s="32" t="n"/>
    </row>
    <row r="83">
      <c r="A83" s="32" t="n"/>
      <c r="B83" s="32" t="n"/>
      <c r="D83" s="32" t="n"/>
      <c r="I83" s="32" t="n"/>
    </row>
    <row r="84">
      <c r="A84" s="32" t="n"/>
      <c r="B84" s="32" t="n"/>
      <c r="D84" s="32" t="n"/>
      <c r="I84" s="32" t="n"/>
    </row>
    <row r="85">
      <c r="A85" s="32" t="n"/>
      <c r="B85" s="32" t="n"/>
      <c r="D85" s="32" t="n"/>
      <c r="I85" s="32" t="n"/>
    </row>
    <row r="86">
      <c r="A86" s="32" t="n"/>
      <c r="B86" s="32" t="n"/>
      <c r="D86" s="32" t="n"/>
      <c r="I86" s="32" t="n"/>
    </row>
    <row r="87">
      <c r="A87" s="32" t="n"/>
      <c r="B87" s="32" t="n"/>
      <c r="D87" s="32" t="n"/>
      <c r="I87" s="32" t="n"/>
    </row>
    <row r="88">
      <c r="A88" s="32" t="n"/>
      <c r="B88" s="32" t="n"/>
      <c r="D88" s="32" t="n"/>
      <c r="I88" s="32" t="n"/>
    </row>
    <row r="89">
      <c r="A89" s="32" t="n"/>
      <c r="B89" s="32" t="n"/>
      <c r="D89" s="32" t="n"/>
      <c r="I89" s="32" t="n"/>
    </row>
    <row r="90">
      <c r="A90" s="32" t="n"/>
      <c r="B90" s="32" t="n"/>
      <c r="D90" s="32" t="n"/>
      <c r="I90" s="32" t="n"/>
    </row>
    <row r="91">
      <c r="A91" s="32" t="n"/>
      <c r="B91" s="32" t="n"/>
      <c r="D91" s="32" t="n"/>
      <c r="I91" s="32" t="n"/>
    </row>
    <row r="92">
      <c r="A92" s="32" t="n"/>
      <c r="B92" s="32" t="n"/>
      <c r="D92" s="32" t="n"/>
      <c r="I92" s="32" t="n"/>
    </row>
    <row r="93">
      <c r="A93" s="32" t="n"/>
      <c r="B93" s="32" t="n"/>
      <c r="D93" s="32" t="n"/>
      <c r="I93" s="32" t="n"/>
    </row>
    <row r="94">
      <c r="A94" s="32" t="n"/>
      <c r="B94" s="32" t="n"/>
      <c r="D94" s="32" t="n"/>
      <c r="I94" s="32" t="n"/>
    </row>
    <row r="95">
      <c r="A95" s="32" t="n"/>
      <c r="B95" s="32" t="n"/>
      <c r="D95" s="32" t="n"/>
      <c r="I95" s="32" t="n"/>
    </row>
    <row r="96">
      <c r="A96" s="32" t="n"/>
      <c r="B96" s="32" t="n"/>
      <c r="D96" s="32" t="n"/>
      <c r="I96" s="32" t="n"/>
    </row>
    <row r="97">
      <c r="A97" s="32" t="n"/>
      <c r="B97" s="32" t="n"/>
      <c r="D97" s="32" t="n"/>
      <c r="I97" s="32" t="n"/>
    </row>
    <row r="98">
      <c r="A98" s="32" t="n"/>
      <c r="B98" s="32" t="n"/>
      <c r="D98" s="32" t="n"/>
      <c r="I98" s="32" t="n"/>
    </row>
    <row r="99">
      <c r="A99" s="32" t="n"/>
      <c r="B99" s="32" t="n"/>
      <c r="D99" s="32" t="n"/>
      <c r="I99" s="32" t="n"/>
    </row>
    <row r="100">
      <c r="A100" s="32" t="n"/>
      <c r="B100" s="32" t="n"/>
      <c r="D100" s="32" t="n"/>
      <c r="I100" s="32" t="n"/>
    </row>
    <row r="101">
      <c r="A101" s="32" t="n"/>
      <c r="B101" s="32" t="n"/>
      <c r="D101" s="32" t="n"/>
      <c r="I101" s="32" t="n"/>
    </row>
    <row r="102">
      <c r="A102" s="32" t="n"/>
      <c r="B102" s="32" t="n"/>
      <c r="D102" s="32" t="n"/>
      <c r="I102" s="32" t="n"/>
    </row>
    <row r="103">
      <c r="A103" s="32" t="n"/>
      <c r="B103" s="32" t="n"/>
      <c r="D103" s="32" t="n"/>
      <c r="I103" s="32" t="n"/>
    </row>
    <row r="104">
      <c r="A104" s="32" t="n"/>
      <c r="B104" s="32" t="n"/>
      <c r="D104" s="32" t="n"/>
      <c r="I104" s="32" t="n"/>
    </row>
    <row r="105">
      <c r="A105" s="32" t="n"/>
      <c r="B105" s="32" t="n"/>
      <c r="D105" s="32" t="n"/>
      <c r="I105" s="32" t="n"/>
    </row>
    <row r="106">
      <c r="A106" s="32" t="n"/>
      <c r="B106" s="32" t="n"/>
      <c r="D106" s="32" t="n"/>
      <c r="I106" s="32" t="n"/>
    </row>
    <row r="107">
      <c r="A107" s="32" t="n"/>
      <c r="B107" s="32" t="n"/>
      <c r="D107" s="32" t="n"/>
      <c r="I107" s="32" t="n"/>
    </row>
    <row r="108">
      <c r="A108" s="32" t="n"/>
      <c r="B108" s="32" t="n"/>
      <c r="D108" s="32" t="n"/>
      <c r="I108" s="32" t="n"/>
    </row>
    <row r="109">
      <c r="A109" s="32" t="n"/>
      <c r="B109" s="32" t="n"/>
      <c r="D109" s="32" t="n"/>
      <c r="I109" s="32" t="n"/>
    </row>
    <row r="110">
      <c r="A110" s="32" t="n"/>
      <c r="B110" s="32" t="n"/>
      <c r="D110" s="32" t="n"/>
      <c r="I110" s="32" t="n"/>
    </row>
    <row r="111">
      <c r="A111" s="32" t="n"/>
      <c r="B111" s="32" t="n"/>
      <c r="D111" s="32" t="n"/>
      <c r="I111" s="32" t="n"/>
    </row>
    <row r="112">
      <c r="A112" s="32" t="n"/>
      <c r="B112" s="32" t="n"/>
      <c r="D112" s="32" t="n"/>
      <c r="I112" s="32" t="n"/>
    </row>
    <row r="113">
      <c r="A113" s="32" t="n"/>
      <c r="B113" s="32" t="n"/>
      <c r="D113" s="32" t="n"/>
      <c r="I113" s="32" t="n"/>
    </row>
    <row r="114">
      <c r="A114" s="32" t="n"/>
      <c r="B114" s="32" t="n"/>
      <c r="D114" s="32" t="n"/>
      <c r="I114" s="32" t="n"/>
    </row>
    <row r="115">
      <c r="A115" s="32" t="n"/>
      <c r="B115" s="32" t="n"/>
      <c r="D115" s="32" t="n"/>
      <c r="I115" s="32" t="n"/>
    </row>
    <row r="116">
      <c r="A116" s="32" t="n"/>
      <c r="B116" s="32" t="n"/>
      <c r="D116" s="32" t="n"/>
      <c r="I116" s="32" t="n"/>
    </row>
    <row r="117">
      <c r="A117" s="32" t="n"/>
      <c r="B117" s="32" t="n"/>
      <c r="D117" s="32" t="n"/>
      <c r="I117" s="32" t="n"/>
    </row>
    <row r="118">
      <c r="A118" s="32" t="n"/>
      <c r="B118" s="32" t="n"/>
      <c r="D118" s="32" t="n"/>
      <c r="I118" s="32" t="n"/>
    </row>
    <row r="119">
      <c r="A119" s="32" t="n"/>
      <c r="B119" s="32" t="n"/>
      <c r="D119" s="32" t="n"/>
      <c r="I119" s="32" t="n"/>
    </row>
    <row r="120">
      <c r="A120" s="32" t="n"/>
      <c r="B120" s="32" t="n"/>
      <c r="D120" s="32" t="n"/>
      <c r="I120" s="32" t="n"/>
    </row>
    <row r="121">
      <c r="A121" s="32" t="n"/>
      <c r="B121" s="32" t="n"/>
      <c r="D121" s="32" t="n"/>
      <c r="I121" s="32" t="n"/>
    </row>
    <row r="122">
      <c r="A122" s="32" t="n"/>
      <c r="B122" s="32" t="n"/>
      <c r="D122" s="32" t="n"/>
      <c r="I122" s="32" t="n"/>
    </row>
    <row r="123">
      <c r="A123" s="32" t="n"/>
      <c r="B123" s="32" t="n"/>
      <c r="D123" s="32" t="n"/>
      <c r="I123" s="32" t="n"/>
    </row>
    <row r="124">
      <c r="A124" s="32" t="n"/>
      <c r="B124" s="32" t="n"/>
      <c r="D124" s="32" t="n"/>
      <c r="I124" s="32" t="n"/>
    </row>
    <row r="125">
      <c r="A125" s="32" t="n"/>
      <c r="B125" s="32" t="n"/>
      <c r="D125" s="32" t="n"/>
      <c r="I125" s="32" t="n"/>
    </row>
    <row r="126">
      <c r="A126" s="32" t="n"/>
      <c r="B126" s="32" t="n"/>
      <c r="D126" s="32" t="n"/>
      <c r="I126" s="32" t="n"/>
    </row>
    <row r="127">
      <c r="A127" s="32" t="n"/>
      <c r="B127" s="32" t="n"/>
      <c r="D127" s="32" t="n"/>
      <c r="I127" s="32" t="n"/>
    </row>
    <row r="128">
      <c r="A128" s="32" t="n"/>
      <c r="B128" s="32" t="n"/>
      <c r="D128" s="32" t="n"/>
      <c r="I128" s="32" t="n"/>
    </row>
    <row r="129">
      <c r="A129" s="32" t="n"/>
      <c r="B129" s="32" t="n"/>
      <c r="D129" s="32" t="n"/>
      <c r="I129" s="32" t="n"/>
    </row>
    <row r="130">
      <c r="A130" s="32" t="n"/>
      <c r="B130" s="32" t="n"/>
      <c r="D130" s="32" t="n"/>
      <c r="I130" s="32" t="n"/>
    </row>
    <row r="131">
      <c r="A131" s="32" t="n"/>
      <c r="B131" s="32" t="n"/>
      <c r="D131" s="32" t="n"/>
      <c r="I131" s="32" t="n"/>
    </row>
    <row r="132">
      <c r="A132" s="32" t="n"/>
      <c r="B132" s="32" t="n"/>
      <c r="D132" s="32" t="n"/>
      <c r="I132" s="32" t="n"/>
    </row>
    <row r="133">
      <c r="A133" s="32" t="n"/>
      <c r="B133" s="32" t="n"/>
      <c r="D133" s="32" t="n"/>
      <c r="I133" s="32" t="n"/>
    </row>
    <row r="134">
      <c r="A134" s="32" t="n"/>
      <c r="B134" s="32" t="n"/>
      <c r="D134" s="32" t="n"/>
      <c r="I134" s="32" t="n"/>
    </row>
    <row r="135">
      <c r="A135" s="32" t="n"/>
      <c r="B135" s="32" t="n"/>
      <c r="D135" s="32" t="n"/>
      <c r="I135" s="32" t="n"/>
    </row>
    <row r="136">
      <c r="A136" s="32" t="n"/>
      <c r="B136" s="32" t="n"/>
      <c r="D136" s="32" t="n"/>
      <c r="I136" s="32" t="n"/>
    </row>
    <row r="137">
      <c r="A137" s="32" t="n"/>
      <c r="B137" s="32" t="n"/>
      <c r="D137" s="32" t="n"/>
      <c r="I137" s="32" t="n"/>
    </row>
    <row r="138">
      <c r="A138" s="32" t="n"/>
      <c r="B138" s="32" t="n"/>
      <c r="D138" s="32" t="n"/>
      <c r="I138" s="32" t="n"/>
    </row>
    <row r="139">
      <c r="A139" s="32" t="n"/>
      <c r="B139" s="32" t="n"/>
      <c r="D139" s="32" t="n"/>
      <c r="I139" s="32" t="n"/>
    </row>
    <row r="140">
      <c r="A140" s="32" t="n"/>
      <c r="B140" s="32" t="n"/>
      <c r="D140" s="32" t="n"/>
      <c r="I140" s="32" t="n"/>
    </row>
    <row r="141">
      <c r="A141" s="32" t="n"/>
      <c r="B141" s="32" t="n"/>
      <c r="D141" s="32" t="n"/>
      <c r="I141" s="32" t="n"/>
    </row>
    <row r="142">
      <c r="A142" s="32" t="n"/>
      <c r="B142" s="32" t="n"/>
      <c r="D142" s="32" t="n"/>
      <c r="I142" s="32" t="n"/>
    </row>
    <row r="143">
      <c r="A143" s="32" t="n"/>
      <c r="B143" s="32" t="n"/>
      <c r="D143" s="32" t="n"/>
      <c r="I143" s="32" t="n"/>
    </row>
    <row r="144">
      <c r="A144" s="32" t="n"/>
      <c r="B144" s="32" t="n"/>
      <c r="D144" s="32" t="n"/>
      <c r="I144" s="32" t="n"/>
    </row>
    <row r="145">
      <c r="A145" s="32" t="n"/>
      <c r="B145" s="32" t="n"/>
      <c r="D145" s="32" t="n"/>
      <c r="I145" s="32" t="n"/>
    </row>
    <row r="146">
      <c r="A146" s="32" t="n"/>
      <c r="B146" s="32" t="n"/>
      <c r="D146" s="32" t="n"/>
      <c r="I146" s="32" t="n"/>
    </row>
    <row r="147">
      <c r="A147" s="32" t="n"/>
      <c r="B147" s="32" t="n"/>
      <c r="D147" s="32" t="n"/>
      <c r="I147" s="32" t="n"/>
    </row>
    <row r="148">
      <c r="A148" s="32" t="n"/>
      <c r="B148" s="32" t="n"/>
      <c r="D148" s="32" t="n"/>
      <c r="I148" s="32" t="n"/>
    </row>
    <row r="149">
      <c r="A149" s="32" t="n"/>
      <c r="B149" s="32" t="n"/>
      <c r="D149" s="32" t="n"/>
      <c r="I149" s="32" t="n"/>
    </row>
    <row r="150">
      <c r="A150" s="32" t="n"/>
      <c r="B150" s="32" t="n"/>
      <c r="D150" s="32" t="n"/>
      <c r="I150" s="32" t="n"/>
    </row>
    <row r="151">
      <c r="A151" s="32" t="n"/>
      <c r="B151" s="32" t="n"/>
      <c r="D151" s="32" t="n"/>
      <c r="I151" s="32" t="n"/>
    </row>
    <row r="152">
      <c r="A152" s="32" t="n"/>
      <c r="B152" s="32" t="n"/>
      <c r="D152" s="32" t="n"/>
      <c r="I152" s="32" t="n"/>
    </row>
    <row r="153">
      <c r="A153" s="32" t="n"/>
      <c r="B153" s="32" t="n"/>
      <c r="D153" s="32" t="n"/>
      <c r="I153" s="32" t="n"/>
    </row>
    <row r="154">
      <c r="A154" s="32" t="n"/>
      <c r="B154" s="32" t="n"/>
      <c r="D154" s="32" t="n"/>
      <c r="I154" s="32" t="n"/>
    </row>
    <row r="155">
      <c r="A155" s="32" t="n"/>
      <c r="B155" s="32" t="n"/>
      <c r="D155" s="32" t="n"/>
      <c r="I155" s="32" t="n"/>
    </row>
    <row r="156">
      <c r="A156" s="32" t="n"/>
      <c r="B156" s="32" t="n"/>
      <c r="D156" s="32" t="n"/>
      <c r="I156" s="32" t="n"/>
    </row>
    <row r="157">
      <c r="A157" s="32" t="n"/>
      <c r="B157" s="32" t="n"/>
      <c r="D157" s="32" t="n"/>
      <c r="I157" s="32" t="n"/>
    </row>
    <row r="158">
      <c r="A158" s="32" t="n"/>
      <c r="B158" s="32" t="n"/>
      <c r="D158" s="32" t="n"/>
      <c r="I158" s="32" t="n"/>
    </row>
    <row r="159">
      <c r="A159" s="32" t="n"/>
      <c r="B159" s="32" t="n"/>
      <c r="D159" s="32" t="n"/>
      <c r="I159" s="32" t="n"/>
    </row>
    <row r="160">
      <c r="A160" s="32" t="n"/>
      <c r="B160" s="32" t="n"/>
      <c r="D160" s="32" t="n"/>
      <c r="I160" s="32" t="n"/>
    </row>
    <row r="161">
      <c r="A161" s="32" t="n"/>
      <c r="B161" s="32" t="n"/>
      <c r="D161" s="32" t="n"/>
      <c r="I161" s="32" t="n"/>
    </row>
    <row r="162">
      <c r="A162" s="32" t="n"/>
      <c r="B162" s="32" t="n"/>
      <c r="D162" s="32" t="n"/>
      <c r="I162" s="32" t="n"/>
    </row>
    <row r="163">
      <c r="A163" s="32" t="n"/>
      <c r="B163" s="32" t="n"/>
      <c r="D163" s="32" t="n"/>
      <c r="I163" s="32" t="n"/>
    </row>
    <row r="164">
      <c r="A164" s="32" t="n"/>
      <c r="B164" s="32" t="n"/>
      <c r="D164" s="32" t="n"/>
      <c r="I164" s="32" t="n"/>
    </row>
    <row r="165">
      <c r="A165" s="32" t="n"/>
      <c r="B165" s="32" t="n"/>
      <c r="D165" s="32" t="n"/>
      <c r="I165" s="32" t="n"/>
    </row>
    <row r="166">
      <c r="A166" s="32" t="n"/>
      <c r="B166" s="32" t="n"/>
      <c r="D166" s="32" t="n"/>
      <c r="I166" s="32" t="n"/>
    </row>
    <row r="167">
      <c r="A167" s="32" t="n"/>
      <c r="B167" s="32" t="n"/>
      <c r="D167" s="32" t="n"/>
      <c r="I167" s="32" t="n"/>
    </row>
    <row r="168">
      <c r="A168" s="32" t="n"/>
      <c r="B168" s="32" t="n"/>
      <c r="D168" s="32" t="n"/>
      <c r="I168" s="32" t="n"/>
    </row>
    <row r="169">
      <c r="A169" s="32" t="n"/>
      <c r="B169" s="32" t="n"/>
      <c r="D169" s="32" t="n"/>
      <c r="I169" s="32" t="n"/>
    </row>
    <row r="170">
      <c r="A170" s="32" t="n"/>
      <c r="B170" s="32" t="n"/>
      <c r="D170" s="32" t="n"/>
      <c r="I170" s="32" t="n"/>
    </row>
    <row r="171">
      <c r="A171" s="32" t="n"/>
      <c r="B171" s="32" t="n"/>
      <c r="D171" s="32" t="n"/>
      <c r="I171" s="32" t="n"/>
    </row>
    <row r="172">
      <c r="A172" s="32" t="n"/>
      <c r="B172" s="32" t="n"/>
      <c r="D172" s="32" t="n"/>
      <c r="I172" s="32" t="n"/>
    </row>
    <row r="173">
      <c r="A173" s="32" t="n"/>
      <c r="B173" s="32" t="n"/>
      <c r="D173" s="32" t="n"/>
      <c r="I173" s="32" t="n"/>
    </row>
    <row r="174">
      <c r="A174" s="32" t="n"/>
      <c r="B174" s="32" t="n"/>
      <c r="D174" s="32" t="n"/>
      <c r="I174" s="32" t="n"/>
    </row>
    <row r="175">
      <c r="A175" s="32" t="n"/>
      <c r="B175" s="32" t="n"/>
      <c r="D175" s="32" t="n"/>
      <c r="I175" s="32" t="n"/>
    </row>
    <row r="176">
      <c r="A176" s="32" t="n"/>
      <c r="B176" s="32" t="n"/>
      <c r="D176" s="32" t="n"/>
      <c r="I176" s="32" t="n"/>
    </row>
    <row r="177">
      <c r="A177" s="32" t="n"/>
      <c r="B177" s="32" t="n"/>
      <c r="D177" s="32" t="n"/>
      <c r="I177" s="32" t="n"/>
    </row>
    <row r="178">
      <c r="A178" s="32" t="n"/>
      <c r="B178" s="32" t="n"/>
      <c r="D178" s="32" t="n"/>
      <c r="I178" s="32" t="n"/>
    </row>
    <row r="179">
      <c r="A179" s="32" t="n"/>
      <c r="B179" s="32" t="n"/>
      <c r="D179" s="32" t="n"/>
      <c r="I179" s="32" t="n"/>
    </row>
    <row r="180">
      <c r="A180" s="32" t="n"/>
      <c r="B180" s="32" t="n"/>
      <c r="D180" s="32" t="n"/>
      <c r="I180" s="32" t="n"/>
    </row>
    <row r="181">
      <c r="A181" s="32" t="n"/>
      <c r="B181" s="32" t="n"/>
      <c r="D181" s="32" t="n"/>
      <c r="I181" s="32" t="n"/>
    </row>
    <row r="182">
      <c r="A182" s="32" t="n"/>
      <c r="B182" s="32" t="n"/>
      <c r="D182" s="32" t="n"/>
      <c r="I182" s="32" t="n"/>
    </row>
    <row r="183">
      <c r="A183" s="32" t="n"/>
      <c r="B183" s="32" t="n"/>
      <c r="D183" s="32" t="n"/>
      <c r="I183" s="32" t="n"/>
    </row>
    <row r="184">
      <c r="A184" s="32" t="n"/>
      <c r="B184" s="32" t="n"/>
      <c r="D184" s="32" t="n"/>
      <c r="I184" s="32" t="n"/>
    </row>
    <row r="185">
      <c r="A185" s="32" t="n"/>
      <c r="B185" s="32" t="n"/>
      <c r="D185" s="32" t="n"/>
      <c r="I185" s="32" t="n"/>
    </row>
    <row r="186">
      <c r="A186" s="32" t="n"/>
      <c r="B186" s="32" t="n"/>
      <c r="D186" s="32" t="n"/>
      <c r="I186" s="32" t="n"/>
    </row>
    <row r="187">
      <c r="A187" s="32" t="n"/>
      <c r="B187" s="32" t="n"/>
      <c r="D187" s="32" t="n"/>
      <c r="I187" s="32" t="n"/>
    </row>
    <row r="188">
      <c r="A188" s="32" t="n"/>
      <c r="B188" s="32" t="n"/>
      <c r="D188" s="32" t="n"/>
      <c r="I188" s="32" t="n"/>
    </row>
    <row r="189">
      <c r="A189" s="32" t="n"/>
      <c r="B189" s="32" t="n"/>
      <c r="D189" s="32" t="n"/>
      <c r="I189" s="32" t="n"/>
    </row>
    <row r="190">
      <c r="A190" s="32" t="n"/>
      <c r="B190" s="32" t="n"/>
      <c r="D190" s="32" t="n"/>
      <c r="I190" s="32" t="n"/>
    </row>
    <row r="191">
      <c r="A191" s="32" t="n"/>
      <c r="B191" s="32" t="n"/>
      <c r="D191" s="32" t="n"/>
      <c r="I191" s="32" t="n"/>
    </row>
    <row r="192">
      <c r="A192" s="32" t="n"/>
      <c r="B192" s="32" t="n"/>
      <c r="D192" s="32" t="n"/>
      <c r="I192" s="32" t="n"/>
    </row>
    <row r="193">
      <c r="A193" s="32" t="n"/>
      <c r="B193" s="32" t="n"/>
      <c r="D193" s="32" t="n"/>
      <c r="I193" s="32" t="n"/>
    </row>
    <row r="194">
      <c r="A194" s="32" t="n"/>
      <c r="B194" s="32" t="n"/>
      <c r="D194" s="32" t="n"/>
      <c r="I194" s="32" t="n"/>
    </row>
    <row r="195">
      <c r="A195" s="32" t="n"/>
      <c r="B195" s="32" t="n"/>
      <c r="D195" s="32" t="n"/>
      <c r="I195" s="32" t="n"/>
    </row>
    <row r="196">
      <c r="A196" s="32" t="n"/>
      <c r="B196" s="32" t="n"/>
      <c r="D196" s="32" t="n"/>
      <c r="I196" s="32" t="n"/>
    </row>
    <row r="197">
      <c r="A197" s="32" t="n"/>
      <c r="B197" s="32" t="n"/>
      <c r="D197" s="32" t="n"/>
      <c r="I197" s="32" t="n"/>
    </row>
    <row r="198">
      <c r="A198" s="32" t="n"/>
      <c r="B198" s="32" t="n"/>
      <c r="D198" s="32" t="n"/>
      <c r="I198" s="32" t="n"/>
    </row>
    <row r="199">
      <c r="A199" s="32" t="n"/>
      <c r="B199" s="32" t="n"/>
      <c r="D199" s="32" t="n"/>
      <c r="I199" s="32" t="n"/>
    </row>
    <row r="200">
      <c r="A200" s="32" t="n"/>
      <c r="B200" s="32" t="n"/>
      <c r="D200" s="32" t="n"/>
      <c r="I200" s="32" t="n"/>
    </row>
    <row r="201">
      <c r="A201" s="32" t="n"/>
      <c r="B201" s="32" t="n"/>
      <c r="D201" s="32" t="n"/>
      <c r="I201" s="32" t="n"/>
    </row>
    <row r="202">
      <c r="A202" s="32" t="n"/>
      <c r="B202" s="32" t="n"/>
      <c r="D202" s="32" t="n"/>
      <c r="I202" s="32" t="n"/>
    </row>
    <row r="203">
      <c r="A203" s="32" t="n"/>
      <c r="B203" s="32" t="n"/>
      <c r="D203" s="32" t="n"/>
      <c r="I203" s="32" t="n"/>
    </row>
    <row r="204">
      <c r="A204" s="32" t="n"/>
      <c r="B204" s="32" t="n"/>
      <c r="D204" s="32" t="n"/>
      <c r="I204" s="32" t="n"/>
    </row>
  </sheetData>
  <conditionalFormatting sqref="O5:O60004">
    <cfRule type="expression" priority="1" dxfId="3">
      <formula>LEN(O5)&gt;0</formula>
    </cfRule>
  </conditionalFormatting>
  <conditionalFormatting sqref="A5:N60004">
    <cfRule type="expression" priority="2" dxfId="7">
      <formula>$L5="Yes"</formula>
    </cfRule>
  </conditionalFormatting>
  <dataValidations count="7">
    <dataValidation sqref="A5:A60004" showDropDown="0" showInputMessage="0" showErrorMessage="1" allowBlank="1" errorTitle="CITY LINKS" error="Payment ID already exists." type="custom">
      <formula1>COUNTIF($A$5:$A$60004,A5)=1</formula1>
    </dataValidation>
    <dataValidation sqref="D5:D60004" showDropDown="0" showInputMessage="0" showErrorMessage="1" allowBlank="1" errorTitle="CITY LINKS" error="Choose a month in the format YYYY-MM, e.g. 2026-10." type="list">
      <formula1>L_Months</formula1>
    </dataValidation>
    <dataValidation sqref="F5:F60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G5:G60004" showDropDown="0" showInputMessage="0" showErrorMessage="1" allowBlank="1" errorTitle="CITY LINKS" error="Payment amount must be more than 0 (cannot be negative)." type="decimal" operator="greaterThan">
      <formula1>0</formula1>
    </dataValidation>
    <dataValidation sqref="H5:H60004" showDropDown="0" showInputMessage="0" showErrorMessage="1" allowBlank="1" errorTitle="CITY LINKS" error="Choose Cash, Bank, JazzCash, EasyPaisa or Other." type="list">
      <formula1>L_Methods</formula1>
    </dataValidation>
    <dataValidation sqref="I5:I60004" showDropDown="0" showInputMessage="0" showErrorMessage="1" allowBlank="1" errorTitle="CITY LINKS" error="This Collector ID does not exist. Add it in COLLECTORS first." type="list">
      <formula1>L_CollectorIDs</formula1>
    </dataValidation>
    <dataValidation sqref="L5:L60004" showDropDown="0" showInputMessage="0" showErrorMessage="1" allowBlank="1" errorTitle="CITY LINKS" error="Choose Yes or No." type="list">
      <formula1>L_YesNo</formula1>
    </dataValidation>
  </dataValidations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9" customWidth="1" min="9" max="9"/>
    <col hidden="1" width="13" customWidth="1" min="11" max="11"/>
  </cols>
  <sheetData>
    <row r="1">
      <c r="A1" s="13" t="inlineStr">
        <is>
          <t>PAYMENT ENTRY</t>
        </is>
      </c>
      <c r="H1" s="9" t="inlineStr">
        <is>
          <t>◄ HOME</t>
        </is>
      </c>
    </row>
    <row r="2">
      <c r="A2" s="16" t="inlineStr">
        <is>
          <t>Type a Customer ID to see the bill. Recommended: record payments with the menu program (option 'Record payment') - it saves and checks everything automatically.</t>
        </is>
      </c>
    </row>
    <row r="4">
      <c r="B4" s="4" t="inlineStr">
        <is>
          <t>Customer ID</t>
        </is>
      </c>
      <c r="C4" s="14" t="inlineStr"/>
    </row>
    <row r="5">
      <c r="B5" s="4" t="inlineStr">
        <is>
          <t>Month</t>
        </is>
      </c>
      <c r="C5" s="37">
        <f>CFG_CurrentMonth</f>
        <v/>
      </c>
    </row>
    <row r="7">
      <c r="B7" s="4" t="inlineStr">
        <is>
          <t>Customer Name</t>
        </is>
      </c>
      <c r="C7" s="11">
        <f>IF(PE_CustomerID="","",IFERROR(INDEX(tblCustomers[Customer Name],MATCH(PE_CustomerID,tblCustomers[Customer ID],0)),"Customer "&amp;PE_CustomerID&amp;" was not found."))</f>
        <v/>
      </c>
    </row>
    <row r="8">
      <c r="B8" s="4" t="inlineStr">
        <is>
          <t>Full Address</t>
        </is>
      </c>
      <c r="C8" s="11">
        <f>IF(PE_CustomerID="","",IFERROR(INDEX(tblCustomers[Full Address],MATCH(PE_CustomerID,tblCustomers[Customer ID],0)),"Customer "&amp;PE_CustomerID&amp;" was not found."))</f>
        <v/>
      </c>
    </row>
    <row r="9">
      <c r="B9" s="4" t="inlineStr">
        <is>
          <t>VLAN ID</t>
        </is>
      </c>
      <c r="C9" s="11">
        <f>IF(PE_CustomerID="","",IFERROR(INDEX(tblCustomers[VLAN ID],MATCH(PE_CustomerID,tblCustomers[Customer ID],0)),"Customer "&amp;PE_CustomerID&amp;" was not found."))</f>
        <v/>
      </c>
    </row>
    <row r="10">
      <c r="B10" s="4" t="inlineStr">
        <is>
          <t>Mobile</t>
        </is>
      </c>
      <c r="C10" s="11">
        <f>IF(PE_CustomerID="","",IFERROR(INDEX(tblCustomers[Mobile Number],MATCH(PE_CustomerID,tblCustomers[Customer ID],0)),"Customer "&amp;PE_CustomerID&amp;" was not found."))</f>
        <v/>
      </c>
    </row>
    <row r="11">
      <c r="B11" s="4" t="inlineStr">
        <is>
          <t>Customer Status</t>
        </is>
      </c>
      <c r="C11" s="11">
        <f>IF(PE_CustomerID="","",IFERROR(INDEX(tblCustomers[Customer Status],MATCH(PE_CustomerID,tblCustomers[Customer ID],0)),"Customer "&amp;PE_CustomerID&amp;" was not found."))</f>
        <v/>
      </c>
    </row>
    <row r="12">
      <c r="B12" s="4" t="inlineStr">
        <is>
          <t>Bill (this month)</t>
        </is>
      </c>
      <c r="C12" s="38">
        <f>IF(PE_CustomerID="","",IFERROR(INDEX(tblBilling[Monthly Fee],MATCH(PE_Month&amp;"-"&amp;PE_CustomerID,tblBilling[Billing ID],0)),"No bill for this month"))</f>
        <v/>
      </c>
    </row>
    <row r="13">
      <c r="B13" s="4" t="inlineStr">
        <is>
          <t>Already Paid</t>
        </is>
      </c>
      <c r="C13" s="38">
        <f>IF(PE_CustomerID="","",IFERROR(INDEX(tblBilling[Amount Paid],MATCH(PE_Month&amp;"-"&amp;PE_CustomerID,tblBilling[Billing ID],0)),"No bill for this month"))</f>
        <v/>
      </c>
    </row>
    <row r="14">
      <c r="B14" s="4" t="inlineStr">
        <is>
          <t>Remaining</t>
        </is>
      </c>
      <c r="C14" s="39">
        <f>IF(PE_CustomerID="","",IFERROR(INDEX(tblBilling[Balance],MATCH(PE_Month&amp;"-"&amp;PE_CustomerID,tblBilling[Billing ID],0)),"No bill for this month"))</f>
        <v/>
      </c>
    </row>
    <row r="15">
      <c r="B15" s="4" t="inlineStr">
        <is>
          <t>Payment Status</t>
        </is>
      </c>
      <c r="C15" s="15">
        <f>IF(PE_CustomerID="","",IFERROR(INDEX(tblBilling[Payment Status],MATCH(PE_Month&amp;"-"&amp;PE_CustomerID,tblBilling[Billing ID],0)),"No bill for this month"))</f>
        <v/>
      </c>
    </row>
    <row r="16">
      <c r="B16" s="4" t="inlineStr">
        <is>
          <t>Assigned Collector</t>
        </is>
      </c>
      <c r="C16" s="11">
        <f>IF(PE_CustomerID="","",IFERROR(INDEX(tblBilling[Collector Name],MATCH(PE_Month&amp;"-"&amp;PE_CustomerID,tblBilling[Billing ID],0)),"No bill for this month"))</f>
        <v/>
      </c>
    </row>
    <row r="17">
      <c r="B17" s="4" t="inlineStr">
        <is>
          <t>Outstanding (all months)</t>
        </is>
      </c>
      <c r="C17" s="38">
        <f>IF(PE_CustomerID="","",SUMIFS(tblBilling[Balance],tblBilling[Customer ID],PE_CustomerID))</f>
        <v/>
      </c>
    </row>
    <row r="18">
      <c r="B18" s="4" t="inlineStr">
        <is>
          <t>Next Payment ID</t>
        </is>
      </c>
      <c r="C18" s="11">
        <f>"PAY-"&amp;TEXT(IFERROR(AGGREGATE(14,6,--MID(tblPayments[Payment ID],5,10),1),0)+1,"000000")</f>
        <v/>
      </c>
    </row>
    <row r="20">
      <c r="B20" s="7" t="inlineStr">
        <is>
          <t>HOW TO SAVE A PAYMENT WITHOUT THE MENU PROGRAM</t>
        </is>
      </c>
      <c r="C20" s="8" t="n"/>
      <c r="D20" s="8" t="n"/>
    </row>
    <row r="21">
      <c r="B21" t="inlineStr">
        <is>
          <t>1. Go to PAYMENTS and type in the first empty row below the table: Payment ID (shown above), Customer ID, Month,</t>
        </is>
      </c>
    </row>
    <row r="22">
      <c r="B22" t="inlineStr">
        <is>
          <t xml:space="preserve">   Payment Date, Amount, Payment Method, Collector ID. Set Voided = No.</t>
        </is>
      </c>
    </row>
    <row r="23">
      <c r="B23" t="inlineStr">
        <is>
          <t>2. Amount Paid, Balance and Status in MONTHLY_BILLING update automatically. Several partial payments are allowed.</t>
        </is>
      </c>
    </row>
    <row r="24">
      <c r="B24" t="inlineStr">
        <is>
          <t>3. Never delete a wrong payment - set Voided = Yes and write the reason.</t>
        </is>
      </c>
    </row>
    <row r="26">
      <c r="B26" s="9" t="inlineStr">
        <is>
          <t>► Open PAYMENTS</t>
        </is>
      </c>
    </row>
    <row r="28">
      <c r="B28" s="7" t="inlineStr">
        <is>
          <t>THIS CUSTOMER'S PAYMENTS (latest 20 shown in order entered)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B29" s="23" t="inlineStr">
        <is>
          <t>Payment ID</t>
        </is>
      </c>
      <c r="C29" s="23" t="inlineStr">
        <is>
          <t>Month</t>
        </is>
      </c>
      <c r="D29" s="23" t="inlineStr">
        <is>
          <t>Payment Date</t>
        </is>
      </c>
      <c r="E29" s="23" t="inlineStr">
        <is>
          <t>Amount</t>
        </is>
      </c>
      <c r="F29" s="23" t="inlineStr">
        <is>
          <t>Method</t>
        </is>
      </c>
      <c r="G29" s="23" t="inlineStr">
        <is>
          <t>Collector</t>
        </is>
      </c>
      <c r="H29" s="23" t="inlineStr">
        <is>
          <t>Reference</t>
        </is>
      </c>
      <c r="I29" s="23" t="inlineStr">
        <is>
          <t>Voided</t>
        </is>
      </c>
    </row>
    <row r="30">
      <c r="B30" s="40">
        <f>IF($K30="","",INDEX(tblPayments[Payment ID],$K30)&amp;"")</f>
        <v/>
      </c>
      <c r="C30" s="40">
        <f>IF($K30="","",INDEX(tblPayments[Month],$K30)&amp;"")</f>
        <v/>
      </c>
      <c r="D30" s="41">
        <f>IF($K30="","",INDEX(tblPayments[Payment Date],$K30))</f>
        <v/>
      </c>
      <c r="E30" s="42">
        <f>IF($K30="","",INDEX(tblPayments[Amount],$K30))</f>
        <v/>
      </c>
      <c r="F30" s="40">
        <f>IF($K30="","",INDEX(tblPayments[Payment Method],$K30)&amp;"")</f>
        <v/>
      </c>
      <c r="G30" s="40">
        <f>IF($K30="","",INDEX(tblPayments[Collector ID],$K30)&amp;"")</f>
        <v/>
      </c>
      <c r="H30" s="40">
        <f>IF($K30="","",INDEX(tblPayments[Reference],$K30)&amp;"")</f>
        <v/>
      </c>
      <c r="I30" s="40">
        <f>IF($K30="","",INDEX(tblPayments[Voided],$K30)&amp;"")</f>
        <v/>
      </c>
      <c r="K30">
        <f>IF(PE_CustomerID="","",IFERROR(MATCH(PE_CustomerID,tblPayments[Customer ID],0),""))</f>
        <v/>
      </c>
    </row>
    <row r="31">
      <c r="B31" s="40">
        <f>IF($K31="","",INDEX(tblPayments[Payment ID],$K31)&amp;"")</f>
        <v/>
      </c>
      <c r="C31" s="40">
        <f>IF($K31="","",INDEX(tblPayments[Month],$K31)&amp;"")</f>
        <v/>
      </c>
      <c r="D31" s="41">
        <f>IF($K31="","",INDEX(tblPayments[Payment Date],$K31))</f>
        <v/>
      </c>
      <c r="E31" s="42">
        <f>IF($K31="","",INDEX(tblPayments[Amount],$K31))</f>
        <v/>
      </c>
      <c r="F31" s="40">
        <f>IF($K31="","",INDEX(tblPayments[Payment Method],$K31)&amp;"")</f>
        <v/>
      </c>
      <c r="G31" s="40">
        <f>IF($K31="","",INDEX(tblPayments[Collector ID],$K31)&amp;"")</f>
        <v/>
      </c>
      <c r="H31" s="40">
        <f>IF($K31="","",INDEX(tblPayments[Reference],$K31)&amp;"")</f>
        <v/>
      </c>
      <c r="I31" s="40">
        <f>IF($K31="","",INDEX(tblPayments[Voided],$K31)&amp;"")</f>
        <v/>
      </c>
      <c r="K31">
        <f>IF(K30="","",IFERROR(K30+MATCH(PE_CustomerID,INDEX(tblPayments[Customer ID],K30+1):INDEX(tblPayments[Customer ID],ROWS(tblPayments[Customer ID])),0),""))</f>
        <v/>
      </c>
    </row>
    <row r="32">
      <c r="B32" s="40">
        <f>IF($K32="","",INDEX(tblPayments[Payment ID],$K32)&amp;"")</f>
        <v/>
      </c>
      <c r="C32" s="40">
        <f>IF($K32="","",INDEX(tblPayments[Month],$K32)&amp;"")</f>
        <v/>
      </c>
      <c r="D32" s="41">
        <f>IF($K32="","",INDEX(tblPayments[Payment Date],$K32))</f>
        <v/>
      </c>
      <c r="E32" s="42">
        <f>IF($K32="","",INDEX(tblPayments[Amount],$K32))</f>
        <v/>
      </c>
      <c r="F32" s="40">
        <f>IF($K32="","",INDEX(tblPayments[Payment Method],$K32)&amp;"")</f>
        <v/>
      </c>
      <c r="G32" s="40">
        <f>IF($K32="","",INDEX(tblPayments[Collector ID],$K32)&amp;"")</f>
        <v/>
      </c>
      <c r="H32" s="40">
        <f>IF($K32="","",INDEX(tblPayments[Reference],$K32)&amp;"")</f>
        <v/>
      </c>
      <c r="I32" s="40">
        <f>IF($K32="","",INDEX(tblPayments[Voided],$K32)&amp;"")</f>
        <v/>
      </c>
      <c r="K32">
        <f>IF(K31="","",IFERROR(K31+MATCH(PE_CustomerID,INDEX(tblPayments[Customer ID],K31+1):INDEX(tblPayments[Customer ID],ROWS(tblPayments[Customer ID])),0),""))</f>
        <v/>
      </c>
    </row>
    <row r="33">
      <c r="B33" s="40">
        <f>IF($K33="","",INDEX(tblPayments[Payment ID],$K33)&amp;"")</f>
        <v/>
      </c>
      <c r="C33" s="40">
        <f>IF($K33="","",INDEX(tblPayments[Month],$K33)&amp;"")</f>
        <v/>
      </c>
      <c r="D33" s="41">
        <f>IF($K33="","",INDEX(tblPayments[Payment Date],$K33))</f>
        <v/>
      </c>
      <c r="E33" s="42">
        <f>IF($K33="","",INDEX(tblPayments[Amount],$K33))</f>
        <v/>
      </c>
      <c r="F33" s="40">
        <f>IF($K33="","",INDEX(tblPayments[Payment Method],$K33)&amp;"")</f>
        <v/>
      </c>
      <c r="G33" s="40">
        <f>IF($K33="","",INDEX(tblPayments[Collector ID],$K33)&amp;"")</f>
        <v/>
      </c>
      <c r="H33" s="40">
        <f>IF($K33="","",INDEX(tblPayments[Reference],$K33)&amp;"")</f>
        <v/>
      </c>
      <c r="I33" s="40">
        <f>IF($K33="","",INDEX(tblPayments[Voided],$K33)&amp;"")</f>
        <v/>
      </c>
      <c r="K33">
        <f>IF(K32="","",IFERROR(K32+MATCH(PE_CustomerID,INDEX(tblPayments[Customer ID],K32+1):INDEX(tblPayments[Customer ID],ROWS(tblPayments[Customer ID])),0),""))</f>
        <v/>
      </c>
    </row>
    <row r="34">
      <c r="B34" s="40">
        <f>IF($K34="","",INDEX(tblPayments[Payment ID],$K34)&amp;"")</f>
        <v/>
      </c>
      <c r="C34" s="40">
        <f>IF($K34="","",INDEX(tblPayments[Month],$K34)&amp;"")</f>
        <v/>
      </c>
      <c r="D34" s="41">
        <f>IF($K34="","",INDEX(tblPayments[Payment Date],$K34))</f>
        <v/>
      </c>
      <c r="E34" s="42">
        <f>IF($K34="","",INDEX(tblPayments[Amount],$K34))</f>
        <v/>
      </c>
      <c r="F34" s="40">
        <f>IF($K34="","",INDEX(tblPayments[Payment Method],$K34)&amp;"")</f>
        <v/>
      </c>
      <c r="G34" s="40">
        <f>IF($K34="","",INDEX(tblPayments[Collector ID],$K34)&amp;"")</f>
        <v/>
      </c>
      <c r="H34" s="40">
        <f>IF($K34="","",INDEX(tblPayments[Reference],$K34)&amp;"")</f>
        <v/>
      </c>
      <c r="I34" s="40">
        <f>IF($K34="","",INDEX(tblPayments[Voided],$K34)&amp;"")</f>
        <v/>
      </c>
      <c r="K34">
        <f>IF(K33="","",IFERROR(K33+MATCH(PE_CustomerID,INDEX(tblPayments[Customer ID],K33+1):INDEX(tblPayments[Customer ID],ROWS(tblPayments[Customer ID])),0),""))</f>
        <v/>
      </c>
    </row>
    <row r="35">
      <c r="B35" s="40">
        <f>IF($K35="","",INDEX(tblPayments[Payment ID],$K35)&amp;"")</f>
        <v/>
      </c>
      <c r="C35" s="40">
        <f>IF($K35="","",INDEX(tblPayments[Month],$K35)&amp;"")</f>
        <v/>
      </c>
      <c r="D35" s="41">
        <f>IF($K35="","",INDEX(tblPayments[Payment Date],$K35))</f>
        <v/>
      </c>
      <c r="E35" s="42">
        <f>IF($K35="","",INDEX(tblPayments[Amount],$K35))</f>
        <v/>
      </c>
      <c r="F35" s="40">
        <f>IF($K35="","",INDEX(tblPayments[Payment Method],$K35)&amp;"")</f>
        <v/>
      </c>
      <c r="G35" s="40">
        <f>IF($K35="","",INDEX(tblPayments[Collector ID],$K35)&amp;"")</f>
        <v/>
      </c>
      <c r="H35" s="40">
        <f>IF($K35="","",INDEX(tblPayments[Reference],$K35)&amp;"")</f>
        <v/>
      </c>
      <c r="I35" s="40">
        <f>IF($K35="","",INDEX(tblPayments[Voided],$K35)&amp;"")</f>
        <v/>
      </c>
      <c r="K35">
        <f>IF(K34="","",IFERROR(K34+MATCH(PE_CustomerID,INDEX(tblPayments[Customer ID],K34+1):INDEX(tblPayments[Customer ID],ROWS(tblPayments[Customer ID])),0),""))</f>
        <v/>
      </c>
    </row>
    <row r="36">
      <c r="B36" s="40">
        <f>IF($K36="","",INDEX(tblPayments[Payment ID],$K36)&amp;"")</f>
        <v/>
      </c>
      <c r="C36" s="40">
        <f>IF($K36="","",INDEX(tblPayments[Month],$K36)&amp;"")</f>
        <v/>
      </c>
      <c r="D36" s="41">
        <f>IF($K36="","",INDEX(tblPayments[Payment Date],$K36))</f>
        <v/>
      </c>
      <c r="E36" s="42">
        <f>IF($K36="","",INDEX(tblPayments[Amount],$K36))</f>
        <v/>
      </c>
      <c r="F36" s="40">
        <f>IF($K36="","",INDEX(tblPayments[Payment Method],$K36)&amp;"")</f>
        <v/>
      </c>
      <c r="G36" s="40">
        <f>IF($K36="","",INDEX(tblPayments[Collector ID],$K36)&amp;"")</f>
        <v/>
      </c>
      <c r="H36" s="40">
        <f>IF($K36="","",INDEX(tblPayments[Reference],$K36)&amp;"")</f>
        <v/>
      </c>
      <c r="I36" s="40">
        <f>IF($K36="","",INDEX(tblPayments[Voided],$K36)&amp;"")</f>
        <v/>
      </c>
      <c r="K36">
        <f>IF(K35="","",IFERROR(K35+MATCH(PE_CustomerID,INDEX(tblPayments[Customer ID],K35+1):INDEX(tblPayments[Customer ID],ROWS(tblPayments[Customer ID])),0),""))</f>
        <v/>
      </c>
    </row>
    <row r="37">
      <c r="B37" s="40">
        <f>IF($K37="","",INDEX(tblPayments[Payment ID],$K37)&amp;"")</f>
        <v/>
      </c>
      <c r="C37" s="40">
        <f>IF($K37="","",INDEX(tblPayments[Month],$K37)&amp;"")</f>
        <v/>
      </c>
      <c r="D37" s="41">
        <f>IF($K37="","",INDEX(tblPayments[Payment Date],$K37))</f>
        <v/>
      </c>
      <c r="E37" s="42">
        <f>IF($K37="","",INDEX(tblPayments[Amount],$K37))</f>
        <v/>
      </c>
      <c r="F37" s="40">
        <f>IF($K37="","",INDEX(tblPayments[Payment Method],$K37)&amp;"")</f>
        <v/>
      </c>
      <c r="G37" s="40">
        <f>IF($K37="","",INDEX(tblPayments[Collector ID],$K37)&amp;"")</f>
        <v/>
      </c>
      <c r="H37" s="40">
        <f>IF($K37="","",INDEX(tblPayments[Reference],$K37)&amp;"")</f>
        <v/>
      </c>
      <c r="I37" s="40">
        <f>IF($K37="","",INDEX(tblPayments[Voided],$K37)&amp;"")</f>
        <v/>
      </c>
      <c r="K37">
        <f>IF(K36="","",IFERROR(K36+MATCH(PE_CustomerID,INDEX(tblPayments[Customer ID],K36+1):INDEX(tblPayments[Customer ID],ROWS(tblPayments[Customer ID])),0),""))</f>
        <v/>
      </c>
    </row>
    <row r="38">
      <c r="B38" s="40">
        <f>IF($K38="","",INDEX(tblPayments[Payment ID],$K38)&amp;"")</f>
        <v/>
      </c>
      <c r="C38" s="40">
        <f>IF($K38="","",INDEX(tblPayments[Month],$K38)&amp;"")</f>
        <v/>
      </c>
      <c r="D38" s="41">
        <f>IF($K38="","",INDEX(tblPayments[Payment Date],$K38))</f>
        <v/>
      </c>
      <c r="E38" s="42">
        <f>IF($K38="","",INDEX(tblPayments[Amount],$K38))</f>
        <v/>
      </c>
      <c r="F38" s="40">
        <f>IF($K38="","",INDEX(tblPayments[Payment Method],$K38)&amp;"")</f>
        <v/>
      </c>
      <c r="G38" s="40">
        <f>IF($K38="","",INDEX(tblPayments[Collector ID],$K38)&amp;"")</f>
        <v/>
      </c>
      <c r="H38" s="40">
        <f>IF($K38="","",INDEX(tblPayments[Reference],$K38)&amp;"")</f>
        <v/>
      </c>
      <c r="I38" s="40">
        <f>IF($K38="","",INDEX(tblPayments[Voided],$K38)&amp;"")</f>
        <v/>
      </c>
      <c r="K38">
        <f>IF(K37="","",IFERROR(K37+MATCH(PE_CustomerID,INDEX(tblPayments[Customer ID],K37+1):INDEX(tblPayments[Customer ID],ROWS(tblPayments[Customer ID])),0),""))</f>
        <v/>
      </c>
    </row>
    <row r="39">
      <c r="B39" s="40">
        <f>IF($K39="","",INDEX(tblPayments[Payment ID],$K39)&amp;"")</f>
        <v/>
      </c>
      <c r="C39" s="40">
        <f>IF($K39="","",INDEX(tblPayments[Month],$K39)&amp;"")</f>
        <v/>
      </c>
      <c r="D39" s="41">
        <f>IF($K39="","",INDEX(tblPayments[Payment Date],$K39))</f>
        <v/>
      </c>
      <c r="E39" s="42">
        <f>IF($K39="","",INDEX(tblPayments[Amount],$K39))</f>
        <v/>
      </c>
      <c r="F39" s="40">
        <f>IF($K39="","",INDEX(tblPayments[Payment Method],$K39)&amp;"")</f>
        <v/>
      </c>
      <c r="G39" s="40">
        <f>IF($K39="","",INDEX(tblPayments[Collector ID],$K39)&amp;"")</f>
        <v/>
      </c>
      <c r="H39" s="40">
        <f>IF($K39="","",INDEX(tblPayments[Reference],$K39)&amp;"")</f>
        <v/>
      </c>
      <c r="I39" s="40">
        <f>IF($K39="","",INDEX(tblPayments[Voided],$K39)&amp;"")</f>
        <v/>
      </c>
      <c r="K39">
        <f>IF(K38="","",IFERROR(K38+MATCH(PE_CustomerID,INDEX(tblPayments[Customer ID],K38+1):INDEX(tblPayments[Customer ID],ROWS(tblPayments[Customer ID])),0),""))</f>
        <v/>
      </c>
    </row>
    <row r="40">
      <c r="B40" s="40">
        <f>IF($K40="","",INDEX(tblPayments[Payment ID],$K40)&amp;"")</f>
        <v/>
      </c>
      <c r="C40" s="40">
        <f>IF($K40="","",INDEX(tblPayments[Month],$K40)&amp;"")</f>
        <v/>
      </c>
      <c r="D40" s="41">
        <f>IF($K40="","",INDEX(tblPayments[Payment Date],$K40))</f>
        <v/>
      </c>
      <c r="E40" s="42">
        <f>IF($K40="","",INDEX(tblPayments[Amount],$K40))</f>
        <v/>
      </c>
      <c r="F40" s="40">
        <f>IF($K40="","",INDEX(tblPayments[Payment Method],$K40)&amp;"")</f>
        <v/>
      </c>
      <c r="G40" s="40">
        <f>IF($K40="","",INDEX(tblPayments[Collector ID],$K40)&amp;"")</f>
        <v/>
      </c>
      <c r="H40" s="40">
        <f>IF($K40="","",INDEX(tblPayments[Reference],$K40)&amp;"")</f>
        <v/>
      </c>
      <c r="I40" s="40">
        <f>IF($K40="","",INDEX(tblPayments[Voided],$K40)&amp;"")</f>
        <v/>
      </c>
      <c r="K40">
        <f>IF(K39="","",IFERROR(K39+MATCH(PE_CustomerID,INDEX(tblPayments[Customer ID],K39+1):INDEX(tblPayments[Customer ID],ROWS(tblPayments[Customer ID])),0),""))</f>
        <v/>
      </c>
    </row>
    <row r="41">
      <c r="B41" s="40">
        <f>IF($K41="","",INDEX(tblPayments[Payment ID],$K41)&amp;"")</f>
        <v/>
      </c>
      <c r="C41" s="40">
        <f>IF($K41="","",INDEX(tblPayments[Month],$K41)&amp;"")</f>
        <v/>
      </c>
      <c r="D41" s="41">
        <f>IF($K41="","",INDEX(tblPayments[Payment Date],$K41))</f>
        <v/>
      </c>
      <c r="E41" s="42">
        <f>IF($K41="","",INDEX(tblPayments[Amount],$K41))</f>
        <v/>
      </c>
      <c r="F41" s="40">
        <f>IF($K41="","",INDEX(tblPayments[Payment Method],$K41)&amp;"")</f>
        <v/>
      </c>
      <c r="G41" s="40">
        <f>IF($K41="","",INDEX(tblPayments[Collector ID],$K41)&amp;"")</f>
        <v/>
      </c>
      <c r="H41" s="40">
        <f>IF($K41="","",INDEX(tblPayments[Reference],$K41)&amp;"")</f>
        <v/>
      </c>
      <c r="I41" s="40">
        <f>IF($K41="","",INDEX(tblPayments[Voided],$K41)&amp;"")</f>
        <v/>
      </c>
      <c r="K41">
        <f>IF(K40="","",IFERROR(K40+MATCH(PE_CustomerID,INDEX(tblPayments[Customer ID],K40+1):INDEX(tblPayments[Customer ID],ROWS(tblPayments[Customer ID])),0),""))</f>
        <v/>
      </c>
    </row>
    <row r="42">
      <c r="B42" s="40">
        <f>IF($K42="","",INDEX(tblPayments[Payment ID],$K42)&amp;"")</f>
        <v/>
      </c>
      <c r="C42" s="40">
        <f>IF($K42="","",INDEX(tblPayments[Month],$K42)&amp;"")</f>
        <v/>
      </c>
      <c r="D42" s="41">
        <f>IF($K42="","",INDEX(tblPayments[Payment Date],$K42))</f>
        <v/>
      </c>
      <c r="E42" s="42">
        <f>IF($K42="","",INDEX(tblPayments[Amount],$K42))</f>
        <v/>
      </c>
      <c r="F42" s="40">
        <f>IF($K42="","",INDEX(tblPayments[Payment Method],$K42)&amp;"")</f>
        <v/>
      </c>
      <c r="G42" s="40">
        <f>IF($K42="","",INDEX(tblPayments[Collector ID],$K42)&amp;"")</f>
        <v/>
      </c>
      <c r="H42" s="40">
        <f>IF($K42="","",INDEX(tblPayments[Reference],$K42)&amp;"")</f>
        <v/>
      </c>
      <c r="I42" s="40">
        <f>IF($K42="","",INDEX(tblPayments[Voided],$K42)&amp;"")</f>
        <v/>
      </c>
      <c r="K42">
        <f>IF(K41="","",IFERROR(K41+MATCH(PE_CustomerID,INDEX(tblPayments[Customer ID],K41+1):INDEX(tblPayments[Customer ID],ROWS(tblPayments[Customer ID])),0),""))</f>
        <v/>
      </c>
    </row>
    <row r="43">
      <c r="B43" s="40">
        <f>IF($K43="","",INDEX(tblPayments[Payment ID],$K43)&amp;"")</f>
        <v/>
      </c>
      <c r="C43" s="40">
        <f>IF($K43="","",INDEX(tblPayments[Month],$K43)&amp;"")</f>
        <v/>
      </c>
      <c r="D43" s="41">
        <f>IF($K43="","",INDEX(tblPayments[Payment Date],$K43))</f>
        <v/>
      </c>
      <c r="E43" s="42">
        <f>IF($K43="","",INDEX(tblPayments[Amount],$K43))</f>
        <v/>
      </c>
      <c r="F43" s="40">
        <f>IF($K43="","",INDEX(tblPayments[Payment Method],$K43)&amp;"")</f>
        <v/>
      </c>
      <c r="G43" s="40">
        <f>IF($K43="","",INDEX(tblPayments[Collector ID],$K43)&amp;"")</f>
        <v/>
      </c>
      <c r="H43" s="40">
        <f>IF($K43="","",INDEX(tblPayments[Reference],$K43)&amp;"")</f>
        <v/>
      </c>
      <c r="I43" s="40">
        <f>IF($K43="","",INDEX(tblPayments[Voided],$K43)&amp;"")</f>
        <v/>
      </c>
      <c r="K43">
        <f>IF(K42="","",IFERROR(K42+MATCH(PE_CustomerID,INDEX(tblPayments[Customer ID],K42+1):INDEX(tblPayments[Customer ID],ROWS(tblPayments[Customer ID])),0),""))</f>
        <v/>
      </c>
    </row>
    <row r="44">
      <c r="B44" s="40">
        <f>IF($K44="","",INDEX(tblPayments[Payment ID],$K44)&amp;"")</f>
        <v/>
      </c>
      <c r="C44" s="40">
        <f>IF($K44="","",INDEX(tblPayments[Month],$K44)&amp;"")</f>
        <v/>
      </c>
      <c r="D44" s="41">
        <f>IF($K44="","",INDEX(tblPayments[Payment Date],$K44))</f>
        <v/>
      </c>
      <c r="E44" s="42">
        <f>IF($K44="","",INDEX(tblPayments[Amount],$K44))</f>
        <v/>
      </c>
      <c r="F44" s="40">
        <f>IF($K44="","",INDEX(tblPayments[Payment Method],$K44)&amp;"")</f>
        <v/>
      </c>
      <c r="G44" s="40">
        <f>IF($K44="","",INDEX(tblPayments[Collector ID],$K44)&amp;"")</f>
        <v/>
      </c>
      <c r="H44" s="40">
        <f>IF($K44="","",INDEX(tblPayments[Reference],$K44)&amp;"")</f>
        <v/>
      </c>
      <c r="I44" s="40">
        <f>IF($K44="","",INDEX(tblPayments[Voided],$K44)&amp;"")</f>
        <v/>
      </c>
      <c r="K44">
        <f>IF(K43="","",IFERROR(K43+MATCH(PE_CustomerID,INDEX(tblPayments[Customer ID],K43+1):INDEX(tblPayments[Customer ID],ROWS(tblPayments[Customer ID])),0),""))</f>
        <v/>
      </c>
    </row>
    <row r="45">
      <c r="B45" s="40">
        <f>IF($K45="","",INDEX(tblPayments[Payment ID],$K45)&amp;"")</f>
        <v/>
      </c>
      <c r="C45" s="40">
        <f>IF($K45="","",INDEX(tblPayments[Month],$K45)&amp;"")</f>
        <v/>
      </c>
      <c r="D45" s="41">
        <f>IF($K45="","",INDEX(tblPayments[Payment Date],$K45))</f>
        <v/>
      </c>
      <c r="E45" s="42">
        <f>IF($K45="","",INDEX(tblPayments[Amount],$K45))</f>
        <v/>
      </c>
      <c r="F45" s="40">
        <f>IF($K45="","",INDEX(tblPayments[Payment Method],$K45)&amp;"")</f>
        <v/>
      </c>
      <c r="G45" s="40">
        <f>IF($K45="","",INDEX(tblPayments[Collector ID],$K45)&amp;"")</f>
        <v/>
      </c>
      <c r="H45" s="40">
        <f>IF($K45="","",INDEX(tblPayments[Reference],$K45)&amp;"")</f>
        <v/>
      </c>
      <c r="I45" s="40">
        <f>IF($K45="","",INDEX(tblPayments[Voided],$K45)&amp;"")</f>
        <v/>
      </c>
      <c r="K45">
        <f>IF(K44="","",IFERROR(K44+MATCH(PE_CustomerID,INDEX(tblPayments[Customer ID],K44+1):INDEX(tblPayments[Customer ID],ROWS(tblPayments[Customer ID])),0),""))</f>
        <v/>
      </c>
    </row>
    <row r="46">
      <c r="B46" s="40">
        <f>IF($K46="","",INDEX(tblPayments[Payment ID],$K46)&amp;"")</f>
        <v/>
      </c>
      <c r="C46" s="40">
        <f>IF($K46="","",INDEX(tblPayments[Month],$K46)&amp;"")</f>
        <v/>
      </c>
      <c r="D46" s="41">
        <f>IF($K46="","",INDEX(tblPayments[Payment Date],$K46))</f>
        <v/>
      </c>
      <c r="E46" s="42">
        <f>IF($K46="","",INDEX(tblPayments[Amount],$K46))</f>
        <v/>
      </c>
      <c r="F46" s="40">
        <f>IF($K46="","",INDEX(tblPayments[Payment Method],$K46)&amp;"")</f>
        <v/>
      </c>
      <c r="G46" s="40">
        <f>IF($K46="","",INDEX(tblPayments[Collector ID],$K46)&amp;"")</f>
        <v/>
      </c>
      <c r="H46" s="40">
        <f>IF($K46="","",INDEX(tblPayments[Reference],$K46)&amp;"")</f>
        <v/>
      </c>
      <c r="I46" s="40">
        <f>IF($K46="","",INDEX(tblPayments[Voided],$K46)&amp;"")</f>
        <v/>
      </c>
      <c r="K46">
        <f>IF(K45="","",IFERROR(K45+MATCH(PE_CustomerID,INDEX(tblPayments[Customer ID],K45+1):INDEX(tblPayments[Customer ID],ROWS(tblPayments[Customer ID])),0),""))</f>
        <v/>
      </c>
    </row>
    <row r="47">
      <c r="B47" s="40">
        <f>IF($K47="","",INDEX(tblPayments[Payment ID],$K47)&amp;"")</f>
        <v/>
      </c>
      <c r="C47" s="40">
        <f>IF($K47="","",INDEX(tblPayments[Month],$K47)&amp;"")</f>
        <v/>
      </c>
      <c r="D47" s="41">
        <f>IF($K47="","",INDEX(tblPayments[Payment Date],$K47))</f>
        <v/>
      </c>
      <c r="E47" s="42">
        <f>IF($K47="","",INDEX(tblPayments[Amount],$K47))</f>
        <v/>
      </c>
      <c r="F47" s="40">
        <f>IF($K47="","",INDEX(tblPayments[Payment Method],$K47)&amp;"")</f>
        <v/>
      </c>
      <c r="G47" s="40">
        <f>IF($K47="","",INDEX(tblPayments[Collector ID],$K47)&amp;"")</f>
        <v/>
      </c>
      <c r="H47" s="40">
        <f>IF($K47="","",INDEX(tblPayments[Reference],$K47)&amp;"")</f>
        <v/>
      </c>
      <c r="I47" s="40">
        <f>IF($K47="","",INDEX(tblPayments[Voided],$K47)&amp;"")</f>
        <v/>
      </c>
      <c r="K47">
        <f>IF(K46="","",IFERROR(K46+MATCH(PE_CustomerID,INDEX(tblPayments[Customer ID],K46+1):INDEX(tblPayments[Customer ID],ROWS(tblPayments[Customer ID])),0),""))</f>
        <v/>
      </c>
    </row>
    <row r="48">
      <c r="B48" s="40">
        <f>IF($K48="","",INDEX(tblPayments[Payment ID],$K48)&amp;"")</f>
        <v/>
      </c>
      <c r="C48" s="40">
        <f>IF($K48="","",INDEX(tblPayments[Month],$K48)&amp;"")</f>
        <v/>
      </c>
      <c r="D48" s="41">
        <f>IF($K48="","",INDEX(tblPayments[Payment Date],$K48))</f>
        <v/>
      </c>
      <c r="E48" s="42">
        <f>IF($K48="","",INDEX(tblPayments[Amount],$K48))</f>
        <v/>
      </c>
      <c r="F48" s="40">
        <f>IF($K48="","",INDEX(tblPayments[Payment Method],$K48)&amp;"")</f>
        <v/>
      </c>
      <c r="G48" s="40">
        <f>IF($K48="","",INDEX(tblPayments[Collector ID],$K48)&amp;"")</f>
        <v/>
      </c>
      <c r="H48" s="40">
        <f>IF($K48="","",INDEX(tblPayments[Reference],$K48)&amp;"")</f>
        <v/>
      </c>
      <c r="I48" s="40">
        <f>IF($K48="","",INDEX(tblPayments[Voided],$K48)&amp;"")</f>
        <v/>
      </c>
      <c r="K48">
        <f>IF(K47="","",IFERROR(K47+MATCH(PE_CustomerID,INDEX(tblPayments[Customer ID],K47+1):INDEX(tblPayments[Customer ID],ROWS(tblPayments[Customer ID])),0),""))</f>
        <v/>
      </c>
    </row>
    <row r="49">
      <c r="B49" s="40">
        <f>IF($K49="","",INDEX(tblPayments[Payment ID],$K49)&amp;"")</f>
        <v/>
      </c>
      <c r="C49" s="40">
        <f>IF($K49="","",INDEX(tblPayments[Month],$K49)&amp;"")</f>
        <v/>
      </c>
      <c r="D49" s="41">
        <f>IF($K49="","",INDEX(tblPayments[Payment Date],$K49))</f>
        <v/>
      </c>
      <c r="E49" s="42">
        <f>IF($K49="","",INDEX(tblPayments[Amount],$K49))</f>
        <v/>
      </c>
      <c r="F49" s="40">
        <f>IF($K49="","",INDEX(tblPayments[Payment Method],$K49)&amp;"")</f>
        <v/>
      </c>
      <c r="G49" s="40">
        <f>IF($K49="","",INDEX(tblPayments[Collector ID],$K49)&amp;"")</f>
        <v/>
      </c>
      <c r="H49" s="40">
        <f>IF($K49="","",INDEX(tblPayments[Reference],$K49)&amp;"")</f>
        <v/>
      </c>
      <c r="I49" s="40">
        <f>IF($K49="","",INDEX(tblPayments[Voided],$K49)&amp;"")</f>
        <v/>
      </c>
      <c r="K49">
        <f>IF(K48="","",IFERROR(K48+MATCH(PE_CustomerID,INDEX(tblPayments[Customer ID],K48+1):INDEX(tblPayments[Customer ID],ROWS(tblPayments[Customer ID])),0),""))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C5" showDropDown="0" showInputMessage="0" showErrorMessage="1" allowBlank="1" errorTitle="CITY LINKS" error="Choose a month in the format YYYY-MM, e.g. 2026-10." type="list">
      <formula1>L_Months</formula1>
    </dataValidation>
  </dataValidations>
  <hyperlinks>
    <hyperlink ref="H1" location="'HOME'!A1" display="◄ HOME"/>
    <hyperlink ref="B26" location="'PAYMENTS'!A1" display="► Open PAYMENTS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/>
  </sheetPr>
  <dimension ref="A1:H10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46" customWidth="1" min="4" max="4"/>
    <col width="3" customWidth="1" min="5" max="5"/>
    <col width="16" customWidth="1" min="6" max="6"/>
    <col width="8" customWidth="1" min="7" max="7"/>
  </cols>
  <sheetData>
    <row r="1">
      <c r="A1" s="13" t="inlineStr">
        <is>
          <t>PRINT CENTER - RECOVERY LISTS</t>
        </is>
      </c>
      <c r="H1" s="9" t="inlineStr">
        <is>
          <t>◄ HOME</t>
        </is>
      </c>
    </row>
    <row r="2">
      <c r="A2" s="16" t="inlineStr">
        <is>
          <t>1) Choose filters in the yellow cells  2) Check the preview count  3) Open PRINT SHEET and print (Ctrl+P).</t>
        </is>
      </c>
    </row>
    <row r="3">
      <c r="F3" s="5" t="inlineStr">
        <is>
          <t>Custom Customer IDs</t>
        </is>
      </c>
      <c r="G3" t="inlineStr">
        <is>
          <t>Count</t>
        </is>
      </c>
    </row>
    <row r="4">
      <c r="B4" s="4" t="inlineStr">
        <is>
          <t>Print Mode</t>
        </is>
      </c>
      <c r="C4" s="37" t="inlineStr">
        <is>
          <t>Area-wise Recovery</t>
        </is>
      </c>
      <c r="F4" s="14" t="n"/>
      <c r="G4">
        <f>COUNTIF(PC_CustomIDs,"?*")</f>
        <v/>
      </c>
    </row>
    <row r="5">
      <c r="B5" s="4" t="inlineStr">
        <is>
          <t>Month</t>
        </is>
      </c>
      <c r="C5" s="14">
        <f>CFG_CurrentMonth</f>
        <v/>
      </c>
      <c r="D5">
        <f>IFERROR(TEXT(DATE(LEFT(PC_Month,4),MID(PC_Month,6,2),1),"mmmm yyyy"),"")</f>
        <v/>
      </c>
      <c r="F5" s="14" t="n"/>
    </row>
    <row r="6">
      <c r="B6" s="4" t="inlineStr">
        <is>
          <t>Area</t>
        </is>
      </c>
      <c r="C6" s="37" t="inlineStr">
        <is>
          <t>All</t>
        </is>
      </c>
      <c r="F6" s="14" t="n"/>
    </row>
    <row r="7">
      <c r="B7" s="4" t="inlineStr">
        <is>
          <t>Location Code / Street</t>
        </is>
      </c>
      <c r="C7" s="14" t="inlineStr">
        <is>
          <t>All</t>
        </is>
      </c>
      <c r="D7">
        <f>IF(PC_Location="All","",IFERROR(INDEX(tblLocations[Full Address],MATCH(PC_Location,tblLocations[Location Code],0)),"Location Code does not exist"))</f>
        <v/>
      </c>
      <c r="F7" s="14" t="n"/>
    </row>
    <row r="8">
      <c r="B8" s="4" t="inlineStr">
        <is>
          <t>Collector</t>
        </is>
      </c>
      <c r="C8" s="37" t="inlineStr">
        <is>
          <t>All</t>
        </is>
      </c>
      <c r="F8" s="14" t="n"/>
    </row>
    <row r="9">
      <c r="B9" s="4" t="inlineStr">
        <is>
          <t>Payment Status</t>
        </is>
      </c>
      <c r="C9" s="37" t="inlineStr">
        <is>
          <t>All</t>
        </is>
      </c>
      <c r="D9" s="16" t="inlineStr">
        <is>
          <t>UNPAID = Pending + Partial (everyone who still owes money)</t>
        </is>
      </c>
      <c r="F9" s="14" t="n"/>
    </row>
    <row r="10">
      <c r="B10" s="4" t="inlineStr">
        <is>
          <t>Due Date (day)</t>
        </is>
      </c>
      <c r="C10" s="37" t="inlineStr">
        <is>
          <t>All</t>
        </is>
      </c>
      <c r="F10" s="14" t="n"/>
    </row>
    <row r="11">
      <c r="F11" s="14" t="n"/>
    </row>
    <row r="12">
      <c r="B12" s="4" t="inlineStr">
        <is>
          <t>Effective Status Filter</t>
        </is>
      </c>
      <c r="C12" s="11">
        <f>IF(AND(PC_Mode="Pending Recovery",PC_Status="All"),"UNPAID",IF(AND(PC_Mode="Partial Payment Recovery",PC_Status="All"),"PARTIAL",PC_Status))</f>
        <v/>
      </c>
      <c r="F12" s="14" t="n"/>
    </row>
    <row r="13">
      <c r="B13" s="4" t="inlineStr">
        <is>
          <t>Customers in this list</t>
        </is>
      </c>
      <c r="C13" s="43">
        <f>SUM(tblBilling[Print Match])</f>
        <v/>
      </c>
      <c r="F13" s="14" t="n"/>
    </row>
    <row r="14">
      <c r="B14" s="4" t="inlineStr">
        <is>
          <t>List Title</t>
        </is>
      </c>
      <c r="C14" s="15">
        <f>TRIM(IF(PC_Location&lt;&gt;"All",IFERROR(INDEX(tblLocations[Full Address],MATCH(PC_Location,tblLocations[Location Code],0)),PC_Location),IF(PC_Area&lt;&gt;"All",PC_Area,"All Areas"))&amp;" "&amp;IFERROR(INDEX(L_PrintStatusLabels,MATCH(PC_StatusEff,L_PrintStatuses,0)),"")&amp;" Recovery List"&amp;IF(PC_Collector&lt;&gt;"All"," - "&amp;PC_Collector,"")&amp;IF(PC_DueDate&lt;&gt;"All"," - Due "&amp;PC_DueDate,""))</f>
        <v/>
      </c>
      <c r="F14" s="14" t="n"/>
    </row>
    <row r="15">
      <c r="B15" s="4" t="inlineStr">
        <is>
          <t>Total Billing</t>
        </is>
      </c>
      <c r="C15" s="38">
        <f>SUMIFS(tblBilling[Monthly Fee],tblBilling[Print Match],1)</f>
        <v/>
      </c>
      <c r="F15" s="14" t="n"/>
    </row>
    <row r="16">
      <c r="B16" s="4" t="inlineStr">
        <is>
          <t>Total Recovered</t>
        </is>
      </c>
      <c r="C16" s="38">
        <f>SUMIFS(tblBilling[Amount Paid],tblBilling[Print Match],1)</f>
        <v/>
      </c>
      <c r="F16" s="14" t="n"/>
    </row>
    <row r="17">
      <c r="B17" s="4" t="inlineStr">
        <is>
          <t>Total Pending</t>
        </is>
      </c>
      <c r="C17" s="38">
        <f>SUMIFS(tblBilling[Balance],tblBilling[Print Match],1)</f>
        <v/>
      </c>
      <c r="F17" s="14" t="n"/>
    </row>
    <row r="18">
      <c r="B18" s="4" t="inlineStr">
        <is>
          <t>Message</t>
        </is>
      </c>
      <c r="C18" s="15">
        <f>IF(COUNTIF(tblBilling[Month],PC_Month)=0,"No billing exists for "&amp;PC_Month&amp;". Generate the month first.",IF(PC_Count&gt;500,"More than 500 customers - narrow the filters or use the menu program (Print recovery list PDF).",IF(PC_Count=0,"No customers match these filters.","Ready to print.")))</f>
        <v/>
      </c>
      <c r="F18" s="14" t="n"/>
    </row>
    <row r="19">
      <c r="F19" s="14" t="n"/>
    </row>
    <row r="20">
      <c r="C20" s="9" t="inlineStr">
        <is>
          <t>► OPEN PRINT SHEET (English)</t>
        </is>
      </c>
      <c r="F20" s="14" t="n"/>
    </row>
    <row r="21">
      <c r="C21" s="9" t="inlineStr">
        <is>
          <t>► OPEN PRINT SHEET (Urdu / RTL)</t>
        </is>
      </c>
      <c r="F21" s="14" t="n"/>
    </row>
    <row r="22">
      <c r="C22" s="16">
        <f>"Print Language in SETTINGS: "&amp;CFG_PrintLanguage</f>
        <v/>
      </c>
      <c r="F22" s="14" t="n"/>
    </row>
    <row r="23">
      <c r="F23" s="14" t="n"/>
    </row>
    <row r="24">
      <c r="B24" s="7" t="inlineStr">
        <is>
          <t>PRINT MODES (presets)</t>
        </is>
      </c>
      <c r="C24" s="8" t="n"/>
      <c r="D24" s="8" t="n"/>
      <c r="F24" s="14" t="n"/>
    </row>
    <row r="25">
      <c r="B25" s="5" t="inlineStr">
        <is>
          <t>Area-wise Recovery</t>
        </is>
      </c>
      <c r="C25" t="inlineStr">
        <is>
          <t>Choose Area, keep Location = All.</t>
        </is>
      </c>
      <c r="F25" s="14" t="n"/>
    </row>
    <row r="26">
      <c r="B26" s="5" t="inlineStr">
        <is>
          <t>Street-wise Recovery</t>
        </is>
      </c>
      <c r="C26" t="inlineStr">
        <is>
          <t>Choose Location Code e.g. A1 (Arif Town, Gali 1).</t>
        </is>
      </c>
      <c r="F26" s="14" t="n"/>
    </row>
    <row r="27">
      <c r="B27" s="5" t="inlineStr">
        <is>
          <t>Collector-wise Recovery</t>
        </is>
      </c>
      <c r="C27" t="inlineStr">
        <is>
          <t>Choose Collector (uses RECOVERY_ASSIGNMENTS).</t>
        </is>
      </c>
      <c r="F27" s="14" t="n"/>
    </row>
    <row r="28">
      <c r="B28" s="5" t="inlineStr">
        <is>
          <t>Due-Date-wise Recovery</t>
        </is>
      </c>
      <c r="C28" t="inlineStr">
        <is>
          <t>Choose Due Date (day of month).</t>
        </is>
      </c>
      <c r="F28" s="14" t="n"/>
    </row>
    <row r="29">
      <c r="B29" s="5" t="inlineStr">
        <is>
          <t>Pending Recovery</t>
        </is>
      </c>
      <c r="C29" t="inlineStr">
        <is>
          <t>Status All is treated as UNPAID (pending + partial).</t>
        </is>
      </c>
      <c r="F29" s="14" t="n"/>
    </row>
    <row r="30">
      <c r="B30" s="5" t="inlineStr">
        <is>
          <t>Partial Payment Recovery</t>
        </is>
      </c>
      <c r="C30" t="inlineStr">
        <is>
          <t>Status All is treated as PARTIAL.</t>
        </is>
      </c>
      <c r="F30" s="14" t="n"/>
    </row>
    <row r="31">
      <c r="B31" s="5" t="inlineStr">
        <is>
          <t>Custom Filtered Recovery</t>
        </is>
      </c>
      <c r="C31" t="inlineStr">
        <is>
          <t>Type Customer IDs in column F; only those customers are listed (other filters still apply).</t>
        </is>
      </c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  <row r="45">
      <c r="F45" s="14" t="n"/>
    </row>
    <row r="46">
      <c r="F46" s="14" t="n"/>
    </row>
    <row r="47">
      <c r="F47" s="14" t="n"/>
    </row>
    <row r="48">
      <c r="F48" s="14" t="n"/>
    </row>
    <row r="49">
      <c r="F49" s="14" t="n"/>
    </row>
    <row r="50">
      <c r="F50" s="14" t="n"/>
    </row>
    <row r="51">
      <c r="F51" s="14" t="n"/>
    </row>
    <row r="52">
      <c r="F52" s="14" t="n"/>
    </row>
    <row r="53">
      <c r="F53" s="14" t="n"/>
    </row>
    <row r="54">
      <c r="F54" s="14" t="n"/>
    </row>
    <row r="55">
      <c r="F55" s="14" t="n"/>
    </row>
    <row r="56">
      <c r="F56" s="14" t="n"/>
    </row>
    <row r="57">
      <c r="F57" s="14" t="n"/>
    </row>
    <row r="58">
      <c r="F58" s="14" t="n"/>
    </row>
    <row r="59">
      <c r="F59" s="14" t="n"/>
    </row>
    <row r="60">
      <c r="F60" s="14" t="n"/>
    </row>
    <row r="61">
      <c r="F61" s="14" t="n"/>
    </row>
    <row r="62">
      <c r="F62" s="14" t="n"/>
    </row>
    <row r="63">
      <c r="F63" s="14" t="n"/>
    </row>
    <row r="64">
      <c r="F64" s="14" t="n"/>
    </row>
    <row r="65">
      <c r="F65" s="14" t="n"/>
    </row>
    <row r="66">
      <c r="F66" s="14" t="n"/>
    </row>
    <row r="67">
      <c r="F67" s="14" t="n"/>
    </row>
    <row r="68">
      <c r="F68" s="14" t="n"/>
    </row>
    <row r="69">
      <c r="F69" s="14" t="n"/>
    </row>
    <row r="70">
      <c r="F70" s="14" t="n"/>
    </row>
    <row r="71">
      <c r="F71" s="14" t="n"/>
    </row>
    <row r="72">
      <c r="F72" s="14" t="n"/>
    </row>
    <row r="73">
      <c r="F73" s="14" t="n"/>
    </row>
    <row r="74">
      <c r="F74" s="14" t="n"/>
    </row>
    <row r="75">
      <c r="F75" s="14" t="n"/>
    </row>
    <row r="76">
      <c r="F76" s="14" t="n"/>
    </row>
    <row r="77">
      <c r="F77" s="14" t="n"/>
    </row>
    <row r="78">
      <c r="F78" s="14" t="n"/>
    </row>
    <row r="79">
      <c r="F79" s="14" t="n"/>
    </row>
    <row r="80">
      <c r="F80" s="14" t="n"/>
    </row>
    <row r="81">
      <c r="F81" s="14" t="n"/>
    </row>
    <row r="82">
      <c r="F82" s="14" t="n"/>
    </row>
    <row r="83">
      <c r="F83" s="14" t="n"/>
    </row>
    <row r="84">
      <c r="F84" s="14" t="n"/>
    </row>
    <row r="85">
      <c r="F85" s="14" t="n"/>
    </row>
    <row r="86">
      <c r="F86" s="14" t="n"/>
    </row>
    <row r="87">
      <c r="F87" s="14" t="n"/>
    </row>
    <row r="88">
      <c r="F88" s="14" t="n"/>
    </row>
    <row r="89">
      <c r="F89" s="14" t="n"/>
    </row>
    <row r="90">
      <c r="F90" s="14" t="n"/>
    </row>
    <row r="91">
      <c r="F91" s="14" t="n"/>
    </row>
    <row r="92">
      <c r="F92" s="14" t="n"/>
    </row>
    <row r="93">
      <c r="F93" s="14" t="n"/>
    </row>
    <row r="94">
      <c r="F94" s="14" t="n"/>
    </row>
    <row r="95">
      <c r="F95" s="14" t="n"/>
    </row>
    <row r="96">
      <c r="F96" s="14" t="n"/>
    </row>
    <row r="97">
      <c r="F97" s="14" t="n"/>
    </row>
    <row r="98">
      <c r="F98" s="14" t="n"/>
    </row>
    <row r="99">
      <c r="F99" s="14" t="n"/>
    </row>
    <row r="100">
      <c r="F100" s="14" t="n"/>
    </row>
    <row r="101">
      <c r="F101" s="14" t="n"/>
    </row>
    <row r="102">
      <c r="F102" s="14" t="n"/>
    </row>
    <row r="103">
      <c r="F103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C4" showDropDown="0" showInputMessage="0" showErrorMessage="1" allowBlank="0" errorTitle="CITY LINKS" error="Please choose a value from the list." type="list">
      <formula1>L_PrintModes</formula1>
    </dataValidation>
    <dataValidation sqref="C5" showDropDown="0" showInputMessage="0" showErrorMessage="1" allowBlank="0" errorTitle="CITY LINKS" error="Please choose a value from the list." type="list">
      <formula1>L_Months</formula1>
    </dataValidation>
    <dataValidation sqref="C6" showDropDown="0" showInputMessage="0" showErrorMessage="1" allowBlank="0" errorTitle="CITY LINKS" error="Please choose a value from the list." type="list">
      <formula1>L_AreaNamesAll</formula1>
    </dataValidation>
    <dataValidation sqref="C7" showDropDown="0" showInputMessage="0" showErrorMessage="1" allowBlank="0" errorTitle="CITY LINKS" error="Please choose a value from the list." type="list">
      <formula1>L_LocCodesAll</formula1>
    </dataValidation>
    <dataValidation sqref="C8" showDropDown="0" showInputMessage="0" showErrorMessage="1" allowBlank="0" errorTitle="CITY LINKS" error="Please choose a value from the list." type="list">
      <formula1>L_CollectorNamesAll</formula1>
    </dataValidation>
    <dataValidation sqref="C9" showDropDown="0" showInputMessage="0" showErrorMessage="1" allowBlank="0" errorTitle="CITY LINKS" error="Please choose a value from the list." type="list">
      <formula1>L_PrintStatuses</formula1>
    </dataValidation>
    <dataValidation sqref="C10" showDropDown="0" showInputMessage="0" showErrorMessage="1" allowBlank="0" errorTitle="CITY LINKS" error="Please choose a value from the list." type="list">
      <formula1>L_DueDaysAll</formula1>
    </dataValidation>
  </dataValidations>
  <hyperlinks>
    <hyperlink ref="H1" location="'HOME'!A1" display="◄ HOME"/>
    <hyperlink ref="C20" location="'PRINT_SHEET'!A1" display="► OPEN PRINT SHEET (English)"/>
    <hyperlink ref="C21" location="'PRINT_SHEET_UR'!A1" display="► OPEN PRINT SHEET (Urdu / RTL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Z50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hidden="1" width="13" customWidth="1" min="14" max="14"/>
    <col hidden="1" width="13" customWidth="1" min="15" max="15"/>
  </cols>
  <sheetData>
    <row r="1">
      <c r="A1" s="44">
        <f>CFG_CompanyName</f>
        <v/>
      </c>
      <c r="Z1" s="45">
        <f>MIN(PC_Count,500)+9+7</f>
        <v/>
      </c>
    </row>
    <row r="2">
      <c r="A2" s="46">
        <f>CFG_Tagline</f>
        <v/>
      </c>
    </row>
    <row r="3">
      <c r="A3" s="47" t="inlineStr">
        <is>
          <t>MONTHLY RECOVERY SHEET</t>
        </is>
      </c>
    </row>
    <row r="4">
      <c r="A4" s="48">
        <f>PC_Title</f>
        <v/>
      </c>
    </row>
    <row r="5">
      <c r="A5" s="5" t="inlineStr">
        <is>
          <t>Area:</t>
        </is>
      </c>
      <c r="C5" s="49">
        <f>PC_Area</f>
        <v/>
      </c>
      <c r="D5" s="5" t="inlineStr">
        <is>
          <t>Location/Street:</t>
        </is>
      </c>
      <c r="E5" s="49">
        <f>IF(PC_Location="All","All",PC_Location&amp;" - "&amp;IFERROR(INDEX(tblLocations[Full Address],MATCH(PC_Location,tblLocations[Location Code],0)),""))</f>
        <v/>
      </c>
      <c r="H5" s="5" t="inlineStr">
        <is>
          <t>Month:</t>
        </is>
      </c>
      <c r="I5" s="49">
        <f>IFERROR(TEXT(DATE(LEFT(PC_Month,4),MID(PC_Month,6,2),1),"mmmm yyyy"),PC_Month)</f>
        <v/>
      </c>
      <c r="J5" s="5" t="inlineStr">
        <is>
          <t>Collector:</t>
        </is>
      </c>
      <c r="K5" s="49">
        <f>PC_Collector</f>
        <v/>
      </c>
    </row>
    <row r="6">
      <c r="A6" s="5" t="inlineStr">
        <is>
          <t>Total Customers:</t>
        </is>
      </c>
      <c r="C6" s="49">
        <f>PC_Count</f>
        <v/>
      </c>
      <c r="D6" s="5" t="inlineStr">
        <is>
          <t>Total Billing:</t>
        </is>
      </c>
      <c r="E6" s="49">
        <f>CFG_CurrencySymbol&amp;" "&amp;TEXT(PC_TotalFee,"#,##0")</f>
        <v/>
      </c>
      <c r="H6" s="5" t="inlineStr">
        <is>
          <t>Recovered:</t>
        </is>
      </c>
      <c r="I6" s="49">
        <f>CFG_CurrencySymbol&amp;" "&amp;TEXT(PC_TotalPaid,"#,##0")</f>
        <v/>
      </c>
      <c r="J6" s="5" t="inlineStr">
        <is>
          <t>Pending:</t>
        </is>
      </c>
      <c r="K6" s="49">
        <f>CFG_CurrencySymbol&amp;" "&amp;TEXT(PC_TotalBalance,"#,##0")</f>
        <v/>
      </c>
    </row>
    <row r="7">
      <c r="A7" s="5" t="inlineStr">
        <is>
          <t>Status:</t>
        </is>
      </c>
      <c r="C7" s="49">
        <f>PC_StatusEff</f>
        <v/>
      </c>
      <c r="D7" s="5" t="inlineStr">
        <is>
          <t>Printed:</t>
        </is>
      </c>
      <c r="E7" s="50">
        <f>TODAY()</f>
        <v/>
      </c>
    </row>
    <row r="9" ht="30" customHeight="1">
      <c r="A9" s="51" t="inlineStr">
        <is>
          <t>#</t>
        </is>
      </c>
      <c r="B9" s="51" t="inlineStr">
        <is>
          <t>Customer ID</t>
        </is>
      </c>
      <c r="C9" s="51" t="inlineStr">
        <is>
          <t>Customer Name</t>
        </is>
      </c>
      <c r="D9" s="51" t="inlineStr">
        <is>
          <t>Address</t>
        </is>
      </c>
      <c r="E9" s="51" t="inlineStr">
        <is>
          <t>VLAN ID</t>
        </is>
      </c>
      <c r="F9" s="51" t="inlineStr">
        <is>
          <t>Due Date</t>
        </is>
      </c>
      <c r="G9" s="51" t="inlineStr">
        <is>
          <t>Monthly Fee</t>
        </is>
      </c>
      <c r="H9" s="51" t="inlineStr">
        <is>
          <t>Amount Paid</t>
        </is>
      </c>
      <c r="I9" s="51" t="inlineStr">
        <is>
          <t>Balance</t>
        </is>
      </c>
      <c r="J9" s="51" t="inlineStr">
        <is>
          <t>Status</t>
        </is>
      </c>
      <c r="K9" s="51" t="inlineStr">
        <is>
          <t>Collection Date</t>
        </is>
      </c>
      <c r="L9" s="51" t="inlineStr">
        <is>
          <t>Collector</t>
        </is>
      </c>
    </row>
    <row r="10" ht="20" customHeight="1">
      <c r="A10" s="52">
        <f>IF($N10="","",ROW()-9)</f>
        <v/>
      </c>
      <c r="B10" s="53">
        <f>IF($N10&lt;&gt;"",INDEX(tblBilling[Customer ID],$N10),"")</f>
        <v/>
      </c>
      <c r="C10" s="53">
        <f>IF($N10&lt;&gt;"",INDEX(tblBilling[Customer Name],$N10),CHOOSE(MIN(MAX($O10,0),7)+1,"","TOTAL","","Total Customers: "&amp;PC_Count,"Total Recovered: "&amp;CFG_CurrencySymbol&amp;" "&amp;TEXT(PC_TotalPaid,"#,##0"),"","Collector Signature: ____________",""))</f>
        <v/>
      </c>
      <c r="D10" s="53">
        <f>IF($N10&lt;&gt;"",INDEX(tblBilling[Full Address],$N10),CHOOSE(MIN(MAX($O10,0),7)+1,"","","","Total Billing: "&amp;CFG_CurrencySymbol&amp;" "&amp;TEXT(PC_TotalFee,"#,##0"),"Total Pending: "&amp;CFG_CurrencySymbol&amp;" "&amp;TEXT(PC_TotalBalance,"#,##0"),"","Office Verification: ____________",""))</f>
        <v/>
      </c>
      <c r="E10" s="53">
        <f>IF($N10&lt;&gt;"",INDEX(tblBilling[VLAN ID],$N10),"")</f>
        <v/>
      </c>
      <c r="F10" s="52">
        <f>IF($N10&lt;&gt;"",INDEX(tblBilling[Due Date],$N10),"")</f>
        <v/>
      </c>
      <c r="G10" s="54">
        <f>IF($N10&lt;&gt;"",INDEX(tblBilling[Monthly Fee],$N10),IF($O10=1,PC_TotalFee,""))</f>
        <v/>
      </c>
      <c r="H10" s="54">
        <f>IF($N10&lt;&gt;"",INDEX(tblBilling[Amount Paid],$N10),IF($O10=1,PC_TotalPaid,""))</f>
        <v/>
      </c>
      <c r="I10" s="54">
        <f>IF($N10&lt;&gt;"",INDEX(tblBilling[Balance],$N10),IF($O10=1,PC_TotalBalance,""))</f>
        <v/>
      </c>
      <c r="J10" s="53">
        <f>IF($N10&lt;&gt;"",INDEX(tblBilling[Payment Status],$N10),"")</f>
        <v/>
      </c>
      <c r="K10" s="55">
        <f>IF($N10&lt;&gt;"",IF(INDEX(tblBilling[Last Payment Date],$N10)="","",INDEX(tblBilling[Last Payment Date],$N10)),"")</f>
        <v/>
      </c>
      <c r="L10" s="53">
        <f>IF($N10&lt;&gt;"",INDEX(tblBilling[Collector Name],$N10),"")</f>
        <v/>
      </c>
      <c r="N10">
        <f>IFERROR(MATCH(1,tblBilling[Print Match],0),"")</f>
        <v/>
      </c>
      <c r="O10">
        <f>ROW()-9-MIN(PC_Count,500)</f>
        <v/>
      </c>
    </row>
    <row r="11" ht="20" customHeight="1">
      <c r="A11" s="52">
        <f>IF($N11="","",ROW()-9)</f>
        <v/>
      </c>
      <c r="B11" s="53">
        <f>IF($N11&lt;&gt;"",INDEX(tblBilling[Customer ID],$N11),"")</f>
        <v/>
      </c>
      <c r="C11" s="53">
        <f>IF($N11&lt;&gt;"",INDEX(tblBilling[Customer Name],$N11),CHOOSE(MIN(MAX($O11,0),7)+1,"","TOTAL","","Total Customers: "&amp;PC_Count,"Total Recovered: "&amp;CFG_CurrencySymbol&amp;" "&amp;TEXT(PC_TotalPaid,"#,##0"),"","Collector Signature: ____________",""))</f>
        <v/>
      </c>
      <c r="D11" s="53">
        <f>IF($N11&lt;&gt;"",INDEX(tblBilling[Full Address],$N11),CHOOSE(MIN(MAX($O11,0),7)+1,"","","","Total Billing: "&amp;CFG_CurrencySymbol&amp;" "&amp;TEXT(PC_TotalFee,"#,##0"),"Total Pending: "&amp;CFG_CurrencySymbol&amp;" "&amp;TEXT(PC_TotalBalance,"#,##0"),"","Office Verification: ____________",""))</f>
        <v/>
      </c>
      <c r="E11" s="53">
        <f>IF($N11&lt;&gt;"",INDEX(tblBilling[VLAN ID],$N11),"")</f>
        <v/>
      </c>
      <c r="F11" s="52">
        <f>IF($N11&lt;&gt;"",INDEX(tblBilling[Due Date],$N11),"")</f>
        <v/>
      </c>
      <c r="G11" s="54">
        <f>IF($N11&lt;&gt;"",INDEX(tblBilling[Monthly Fee],$N11),IF($O11=1,PC_TotalFee,""))</f>
        <v/>
      </c>
      <c r="H11" s="54">
        <f>IF($N11&lt;&gt;"",INDEX(tblBilling[Amount Paid],$N11),IF($O11=1,PC_TotalPaid,""))</f>
        <v/>
      </c>
      <c r="I11" s="54">
        <f>IF($N11&lt;&gt;"",INDEX(tblBilling[Balance],$N11),IF($O11=1,PC_TotalBalance,""))</f>
        <v/>
      </c>
      <c r="J11" s="53">
        <f>IF($N11&lt;&gt;"",INDEX(tblBilling[Payment Status],$N11),"")</f>
        <v/>
      </c>
      <c r="K11" s="55">
        <f>IF($N11&lt;&gt;"",IF(INDEX(tblBilling[Last Payment Date],$N11)="","",INDEX(tblBilling[Last Payment Date],$N11)),"")</f>
        <v/>
      </c>
      <c r="L11" s="53">
        <f>IF($N11&lt;&gt;"",INDEX(tblBilling[Collector Name],$N11),"")</f>
        <v/>
      </c>
      <c r="N11">
        <f>IF(N10="","",IFERROR(N10+MATCH(1,INDEX(tblBilling[Print Match],N10+1):INDEX(tblBilling[Print Match],ROWS(tblBilling[Print Match])),0),""))</f>
        <v/>
      </c>
      <c r="O11">
        <f>ROW()-9-MIN(PC_Count,500)</f>
        <v/>
      </c>
    </row>
    <row r="12" ht="20" customHeight="1">
      <c r="A12" s="52">
        <f>IF($N12="","",ROW()-9)</f>
        <v/>
      </c>
      <c r="B12" s="53">
        <f>IF($N12&lt;&gt;"",INDEX(tblBilling[Customer ID],$N12),"")</f>
        <v/>
      </c>
      <c r="C12" s="53">
        <f>IF($N12&lt;&gt;"",INDEX(tblBilling[Customer Name],$N12),CHOOSE(MIN(MAX($O12,0),7)+1,"","TOTAL","","Total Customers: "&amp;PC_Count,"Total Recovered: "&amp;CFG_CurrencySymbol&amp;" "&amp;TEXT(PC_TotalPaid,"#,##0"),"","Collector Signature: ____________",""))</f>
        <v/>
      </c>
      <c r="D12" s="53">
        <f>IF($N12&lt;&gt;"",INDEX(tblBilling[Full Address],$N12),CHOOSE(MIN(MAX($O12,0),7)+1,"","","","Total Billing: "&amp;CFG_CurrencySymbol&amp;" "&amp;TEXT(PC_TotalFee,"#,##0"),"Total Pending: "&amp;CFG_CurrencySymbol&amp;" "&amp;TEXT(PC_TotalBalance,"#,##0"),"","Office Verification: ____________",""))</f>
        <v/>
      </c>
      <c r="E12" s="53">
        <f>IF($N12&lt;&gt;"",INDEX(tblBilling[VLAN ID],$N12),"")</f>
        <v/>
      </c>
      <c r="F12" s="52">
        <f>IF($N12&lt;&gt;"",INDEX(tblBilling[Due Date],$N12),"")</f>
        <v/>
      </c>
      <c r="G12" s="54">
        <f>IF($N12&lt;&gt;"",INDEX(tblBilling[Monthly Fee],$N12),IF($O12=1,PC_TotalFee,""))</f>
        <v/>
      </c>
      <c r="H12" s="54">
        <f>IF($N12&lt;&gt;"",INDEX(tblBilling[Amount Paid],$N12),IF($O12=1,PC_TotalPaid,""))</f>
        <v/>
      </c>
      <c r="I12" s="54">
        <f>IF($N12&lt;&gt;"",INDEX(tblBilling[Balance],$N12),IF($O12=1,PC_TotalBalance,""))</f>
        <v/>
      </c>
      <c r="J12" s="53">
        <f>IF($N12&lt;&gt;"",INDEX(tblBilling[Payment Status],$N12),"")</f>
        <v/>
      </c>
      <c r="K12" s="55">
        <f>IF($N12&lt;&gt;"",IF(INDEX(tblBilling[Last Payment Date],$N12)="","",INDEX(tblBilling[Last Payment Date],$N12)),"")</f>
        <v/>
      </c>
      <c r="L12" s="53">
        <f>IF($N12&lt;&gt;"",INDEX(tblBilling[Collector Name],$N12),"")</f>
        <v/>
      </c>
      <c r="N12">
        <f>IF(N11="","",IFERROR(N11+MATCH(1,INDEX(tblBilling[Print Match],N11+1):INDEX(tblBilling[Print Match],ROWS(tblBilling[Print Match])),0),""))</f>
        <v/>
      </c>
      <c r="O12">
        <f>ROW()-9-MIN(PC_Count,500)</f>
        <v/>
      </c>
    </row>
    <row r="13" ht="20" customHeight="1">
      <c r="A13" s="52">
        <f>IF($N13="","",ROW()-9)</f>
        <v/>
      </c>
      <c r="B13" s="53">
        <f>IF($N13&lt;&gt;"",INDEX(tblBilling[Customer ID],$N13),"")</f>
        <v/>
      </c>
      <c r="C13" s="53">
        <f>IF($N13&lt;&gt;"",INDEX(tblBilling[Customer Name],$N13),CHOOSE(MIN(MAX($O13,0),7)+1,"","TOTAL","","Total Customers: "&amp;PC_Count,"Total Recovered: "&amp;CFG_CurrencySymbol&amp;" "&amp;TEXT(PC_TotalPaid,"#,##0"),"","Collector Signature: ____________",""))</f>
        <v/>
      </c>
      <c r="D13" s="53">
        <f>IF($N13&lt;&gt;"",INDEX(tblBilling[Full Address],$N13),CHOOSE(MIN(MAX($O13,0),7)+1,"","","","Total Billing: "&amp;CFG_CurrencySymbol&amp;" "&amp;TEXT(PC_TotalFee,"#,##0"),"Total Pending: "&amp;CFG_CurrencySymbol&amp;" "&amp;TEXT(PC_TotalBalance,"#,##0"),"","Office Verification: ____________",""))</f>
        <v/>
      </c>
      <c r="E13" s="53">
        <f>IF($N13&lt;&gt;"",INDEX(tblBilling[VLAN ID],$N13),"")</f>
        <v/>
      </c>
      <c r="F13" s="52">
        <f>IF($N13&lt;&gt;"",INDEX(tblBilling[Due Date],$N13),"")</f>
        <v/>
      </c>
      <c r="G13" s="54">
        <f>IF($N13&lt;&gt;"",INDEX(tblBilling[Monthly Fee],$N13),IF($O13=1,PC_TotalFee,""))</f>
        <v/>
      </c>
      <c r="H13" s="54">
        <f>IF($N13&lt;&gt;"",INDEX(tblBilling[Amount Paid],$N13),IF($O13=1,PC_TotalPaid,""))</f>
        <v/>
      </c>
      <c r="I13" s="54">
        <f>IF($N13&lt;&gt;"",INDEX(tblBilling[Balance],$N13),IF($O13=1,PC_TotalBalance,""))</f>
        <v/>
      </c>
      <c r="J13" s="53">
        <f>IF($N13&lt;&gt;"",INDEX(tblBilling[Payment Status],$N13),"")</f>
        <v/>
      </c>
      <c r="K13" s="55">
        <f>IF($N13&lt;&gt;"",IF(INDEX(tblBilling[Last Payment Date],$N13)="","",INDEX(tblBilling[Last Payment Date],$N13)),"")</f>
        <v/>
      </c>
      <c r="L13" s="53">
        <f>IF($N13&lt;&gt;"",INDEX(tblBilling[Collector Name],$N13),"")</f>
        <v/>
      </c>
      <c r="N13">
        <f>IF(N12="","",IFERROR(N12+MATCH(1,INDEX(tblBilling[Print Match],N12+1):INDEX(tblBilling[Print Match],ROWS(tblBilling[Print Match])),0),""))</f>
        <v/>
      </c>
      <c r="O13">
        <f>ROW()-9-MIN(PC_Count,500)</f>
        <v/>
      </c>
    </row>
    <row r="14" ht="20" customHeight="1">
      <c r="A14" s="52">
        <f>IF($N14="","",ROW()-9)</f>
        <v/>
      </c>
      <c r="B14" s="53">
        <f>IF($N14&lt;&gt;"",INDEX(tblBilling[Customer ID],$N14),"")</f>
        <v/>
      </c>
      <c r="C14" s="53">
        <f>IF($N14&lt;&gt;"",INDEX(tblBilling[Customer Name],$N14),CHOOSE(MIN(MAX($O14,0),7)+1,"","TOTAL","","Total Customers: "&amp;PC_Count,"Total Recovered: "&amp;CFG_CurrencySymbol&amp;" "&amp;TEXT(PC_TotalPaid,"#,##0"),"","Collector Signature: ____________",""))</f>
        <v/>
      </c>
      <c r="D14" s="53">
        <f>IF($N14&lt;&gt;"",INDEX(tblBilling[Full Address],$N14),CHOOSE(MIN(MAX($O14,0),7)+1,"","","","Total Billing: "&amp;CFG_CurrencySymbol&amp;" "&amp;TEXT(PC_TotalFee,"#,##0"),"Total Pending: "&amp;CFG_CurrencySymbol&amp;" "&amp;TEXT(PC_TotalBalance,"#,##0"),"","Office Verification: ____________",""))</f>
        <v/>
      </c>
      <c r="E14" s="53">
        <f>IF($N14&lt;&gt;"",INDEX(tblBilling[VLAN ID],$N14),"")</f>
        <v/>
      </c>
      <c r="F14" s="52">
        <f>IF($N14&lt;&gt;"",INDEX(tblBilling[Due Date],$N14),"")</f>
        <v/>
      </c>
      <c r="G14" s="54">
        <f>IF($N14&lt;&gt;"",INDEX(tblBilling[Monthly Fee],$N14),IF($O14=1,PC_TotalFee,""))</f>
        <v/>
      </c>
      <c r="H14" s="54">
        <f>IF($N14&lt;&gt;"",INDEX(tblBilling[Amount Paid],$N14),IF($O14=1,PC_TotalPaid,""))</f>
        <v/>
      </c>
      <c r="I14" s="54">
        <f>IF($N14&lt;&gt;"",INDEX(tblBilling[Balance],$N14),IF($O14=1,PC_TotalBalance,""))</f>
        <v/>
      </c>
      <c r="J14" s="53">
        <f>IF($N14&lt;&gt;"",INDEX(tblBilling[Payment Status],$N14),"")</f>
        <v/>
      </c>
      <c r="K14" s="55">
        <f>IF($N14&lt;&gt;"",IF(INDEX(tblBilling[Last Payment Date],$N14)="","",INDEX(tblBilling[Last Payment Date],$N14)),"")</f>
        <v/>
      </c>
      <c r="L14" s="53">
        <f>IF($N14&lt;&gt;"",INDEX(tblBilling[Collector Name],$N14),"")</f>
        <v/>
      </c>
      <c r="N14">
        <f>IF(N13="","",IFERROR(N13+MATCH(1,INDEX(tblBilling[Print Match],N13+1):INDEX(tblBilling[Print Match],ROWS(tblBilling[Print Match])),0),""))</f>
        <v/>
      </c>
      <c r="O14">
        <f>ROW()-9-MIN(PC_Count,500)</f>
        <v/>
      </c>
    </row>
    <row r="15" ht="20" customHeight="1">
      <c r="A15" s="52">
        <f>IF($N15="","",ROW()-9)</f>
        <v/>
      </c>
      <c r="B15" s="53">
        <f>IF($N15&lt;&gt;"",INDEX(tblBilling[Customer ID],$N15),"")</f>
        <v/>
      </c>
      <c r="C15" s="53">
        <f>IF($N15&lt;&gt;"",INDEX(tblBilling[Customer Name],$N15),CHOOSE(MIN(MAX($O15,0),7)+1,"","TOTAL","","Total Customers: "&amp;PC_Count,"Total Recovered: "&amp;CFG_CurrencySymbol&amp;" "&amp;TEXT(PC_TotalPaid,"#,##0"),"","Collector Signature: ____________",""))</f>
        <v/>
      </c>
      <c r="D15" s="53">
        <f>IF($N15&lt;&gt;"",INDEX(tblBilling[Full Address],$N15),CHOOSE(MIN(MAX($O15,0),7)+1,"","","","Total Billing: "&amp;CFG_CurrencySymbol&amp;" "&amp;TEXT(PC_TotalFee,"#,##0"),"Total Pending: "&amp;CFG_CurrencySymbol&amp;" "&amp;TEXT(PC_TotalBalance,"#,##0"),"","Office Verification: ____________",""))</f>
        <v/>
      </c>
      <c r="E15" s="53">
        <f>IF($N15&lt;&gt;"",INDEX(tblBilling[VLAN ID],$N15),"")</f>
        <v/>
      </c>
      <c r="F15" s="52">
        <f>IF($N15&lt;&gt;"",INDEX(tblBilling[Due Date],$N15),"")</f>
        <v/>
      </c>
      <c r="G15" s="54">
        <f>IF($N15&lt;&gt;"",INDEX(tblBilling[Monthly Fee],$N15),IF($O15=1,PC_TotalFee,""))</f>
        <v/>
      </c>
      <c r="H15" s="54">
        <f>IF($N15&lt;&gt;"",INDEX(tblBilling[Amount Paid],$N15),IF($O15=1,PC_TotalPaid,""))</f>
        <v/>
      </c>
      <c r="I15" s="54">
        <f>IF($N15&lt;&gt;"",INDEX(tblBilling[Balance],$N15),IF($O15=1,PC_TotalBalance,""))</f>
        <v/>
      </c>
      <c r="J15" s="53">
        <f>IF($N15&lt;&gt;"",INDEX(tblBilling[Payment Status],$N15),"")</f>
        <v/>
      </c>
      <c r="K15" s="55">
        <f>IF($N15&lt;&gt;"",IF(INDEX(tblBilling[Last Payment Date],$N15)="","",INDEX(tblBilling[Last Payment Date],$N15)),"")</f>
        <v/>
      </c>
      <c r="L15" s="53">
        <f>IF($N15&lt;&gt;"",INDEX(tblBilling[Collector Name],$N15),"")</f>
        <v/>
      </c>
      <c r="N15">
        <f>IF(N14="","",IFERROR(N14+MATCH(1,INDEX(tblBilling[Print Match],N14+1):INDEX(tblBilling[Print Match],ROWS(tblBilling[Print Match])),0),""))</f>
        <v/>
      </c>
      <c r="O15">
        <f>ROW()-9-MIN(PC_Count,500)</f>
        <v/>
      </c>
    </row>
    <row r="16" ht="20" customHeight="1">
      <c r="A16" s="52">
        <f>IF($N16="","",ROW()-9)</f>
        <v/>
      </c>
      <c r="B16" s="53">
        <f>IF($N16&lt;&gt;"",INDEX(tblBilling[Customer ID],$N16),"")</f>
        <v/>
      </c>
      <c r="C16" s="53">
        <f>IF($N16&lt;&gt;"",INDEX(tblBilling[Customer Name],$N16),CHOOSE(MIN(MAX($O16,0),7)+1,"","TOTAL","","Total Customers: "&amp;PC_Count,"Total Recovered: "&amp;CFG_CurrencySymbol&amp;" "&amp;TEXT(PC_TotalPaid,"#,##0"),"","Collector Signature: ____________",""))</f>
        <v/>
      </c>
      <c r="D16" s="53">
        <f>IF($N16&lt;&gt;"",INDEX(tblBilling[Full Address],$N16),CHOOSE(MIN(MAX($O16,0),7)+1,"","","","Total Billing: "&amp;CFG_CurrencySymbol&amp;" "&amp;TEXT(PC_TotalFee,"#,##0"),"Total Pending: "&amp;CFG_CurrencySymbol&amp;" "&amp;TEXT(PC_TotalBalance,"#,##0"),"","Office Verification: ____________",""))</f>
        <v/>
      </c>
      <c r="E16" s="53">
        <f>IF($N16&lt;&gt;"",INDEX(tblBilling[VLAN ID],$N16),"")</f>
        <v/>
      </c>
      <c r="F16" s="52">
        <f>IF($N16&lt;&gt;"",INDEX(tblBilling[Due Date],$N16),"")</f>
        <v/>
      </c>
      <c r="G16" s="54">
        <f>IF($N16&lt;&gt;"",INDEX(tblBilling[Monthly Fee],$N16),IF($O16=1,PC_TotalFee,""))</f>
        <v/>
      </c>
      <c r="H16" s="54">
        <f>IF($N16&lt;&gt;"",INDEX(tblBilling[Amount Paid],$N16),IF($O16=1,PC_TotalPaid,""))</f>
        <v/>
      </c>
      <c r="I16" s="54">
        <f>IF($N16&lt;&gt;"",INDEX(tblBilling[Balance],$N16),IF($O16=1,PC_TotalBalance,""))</f>
        <v/>
      </c>
      <c r="J16" s="53">
        <f>IF($N16&lt;&gt;"",INDEX(tblBilling[Payment Status],$N16),"")</f>
        <v/>
      </c>
      <c r="K16" s="55">
        <f>IF($N16&lt;&gt;"",IF(INDEX(tblBilling[Last Payment Date],$N16)="","",INDEX(tblBilling[Last Payment Date],$N16)),"")</f>
        <v/>
      </c>
      <c r="L16" s="53">
        <f>IF($N16&lt;&gt;"",INDEX(tblBilling[Collector Name],$N16),"")</f>
        <v/>
      </c>
      <c r="N16">
        <f>IF(N15="","",IFERROR(N15+MATCH(1,INDEX(tblBilling[Print Match],N15+1):INDEX(tblBilling[Print Match],ROWS(tblBilling[Print Match])),0),""))</f>
        <v/>
      </c>
      <c r="O16">
        <f>ROW()-9-MIN(PC_Count,500)</f>
        <v/>
      </c>
    </row>
    <row r="17" ht="20" customHeight="1">
      <c r="A17" s="52">
        <f>IF($N17="","",ROW()-9)</f>
        <v/>
      </c>
      <c r="B17" s="53">
        <f>IF($N17&lt;&gt;"",INDEX(tblBilling[Customer ID],$N17),"")</f>
        <v/>
      </c>
      <c r="C17" s="53">
        <f>IF($N17&lt;&gt;"",INDEX(tblBilling[Customer Name],$N17),CHOOSE(MIN(MAX($O17,0),7)+1,"","TOTAL","","Total Customers: "&amp;PC_Count,"Total Recovered: "&amp;CFG_CurrencySymbol&amp;" "&amp;TEXT(PC_TotalPaid,"#,##0"),"","Collector Signature: ____________",""))</f>
        <v/>
      </c>
      <c r="D17" s="53">
        <f>IF($N17&lt;&gt;"",INDEX(tblBilling[Full Address],$N17),CHOOSE(MIN(MAX($O17,0),7)+1,"","","","Total Billing: "&amp;CFG_CurrencySymbol&amp;" "&amp;TEXT(PC_TotalFee,"#,##0"),"Total Pending: "&amp;CFG_CurrencySymbol&amp;" "&amp;TEXT(PC_TotalBalance,"#,##0"),"","Office Verification: ____________",""))</f>
        <v/>
      </c>
      <c r="E17" s="53">
        <f>IF($N17&lt;&gt;"",INDEX(tblBilling[VLAN ID],$N17),"")</f>
        <v/>
      </c>
      <c r="F17" s="52">
        <f>IF($N17&lt;&gt;"",INDEX(tblBilling[Due Date],$N17),"")</f>
        <v/>
      </c>
      <c r="G17" s="54">
        <f>IF($N17&lt;&gt;"",INDEX(tblBilling[Monthly Fee],$N17),IF($O17=1,PC_TotalFee,""))</f>
        <v/>
      </c>
      <c r="H17" s="54">
        <f>IF($N17&lt;&gt;"",INDEX(tblBilling[Amount Paid],$N17),IF($O17=1,PC_TotalPaid,""))</f>
        <v/>
      </c>
      <c r="I17" s="54">
        <f>IF($N17&lt;&gt;"",INDEX(tblBilling[Balance],$N17),IF($O17=1,PC_TotalBalance,""))</f>
        <v/>
      </c>
      <c r="J17" s="53">
        <f>IF($N17&lt;&gt;"",INDEX(tblBilling[Payment Status],$N17),"")</f>
        <v/>
      </c>
      <c r="K17" s="55">
        <f>IF($N17&lt;&gt;"",IF(INDEX(tblBilling[Last Payment Date],$N17)="","",INDEX(tblBilling[Last Payment Date],$N17)),"")</f>
        <v/>
      </c>
      <c r="L17" s="53">
        <f>IF($N17&lt;&gt;"",INDEX(tblBilling[Collector Name],$N17),"")</f>
        <v/>
      </c>
      <c r="N17">
        <f>IF(N16="","",IFERROR(N16+MATCH(1,INDEX(tblBilling[Print Match],N16+1):INDEX(tblBilling[Print Match],ROWS(tblBilling[Print Match])),0),""))</f>
        <v/>
      </c>
      <c r="O17">
        <f>ROW()-9-MIN(PC_Count,500)</f>
        <v/>
      </c>
    </row>
    <row r="18" ht="20" customHeight="1">
      <c r="A18" s="52">
        <f>IF($N18="","",ROW()-9)</f>
        <v/>
      </c>
      <c r="B18" s="53">
        <f>IF($N18&lt;&gt;"",INDEX(tblBilling[Customer ID],$N18),"")</f>
        <v/>
      </c>
      <c r="C18" s="53">
        <f>IF($N18&lt;&gt;"",INDEX(tblBilling[Customer Name],$N18),CHOOSE(MIN(MAX($O18,0),7)+1,"","TOTAL","","Total Customers: "&amp;PC_Count,"Total Recovered: "&amp;CFG_CurrencySymbol&amp;" "&amp;TEXT(PC_TotalPaid,"#,##0"),"","Collector Signature: ____________",""))</f>
        <v/>
      </c>
      <c r="D18" s="53">
        <f>IF($N18&lt;&gt;"",INDEX(tblBilling[Full Address],$N18),CHOOSE(MIN(MAX($O18,0),7)+1,"","","","Total Billing: "&amp;CFG_CurrencySymbol&amp;" "&amp;TEXT(PC_TotalFee,"#,##0"),"Total Pending: "&amp;CFG_CurrencySymbol&amp;" "&amp;TEXT(PC_TotalBalance,"#,##0"),"","Office Verification: ____________",""))</f>
        <v/>
      </c>
      <c r="E18" s="53">
        <f>IF($N18&lt;&gt;"",INDEX(tblBilling[VLAN ID],$N18),"")</f>
        <v/>
      </c>
      <c r="F18" s="52">
        <f>IF($N18&lt;&gt;"",INDEX(tblBilling[Due Date],$N18),"")</f>
        <v/>
      </c>
      <c r="G18" s="54">
        <f>IF($N18&lt;&gt;"",INDEX(tblBilling[Monthly Fee],$N18),IF($O18=1,PC_TotalFee,""))</f>
        <v/>
      </c>
      <c r="H18" s="54">
        <f>IF($N18&lt;&gt;"",INDEX(tblBilling[Amount Paid],$N18),IF($O18=1,PC_TotalPaid,""))</f>
        <v/>
      </c>
      <c r="I18" s="54">
        <f>IF($N18&lt;&gt;"",INDEX(tblBilling[Balance],$N18),IF($O18=1,PC_TotalBalance,""))</f>
        <v/>
      </c>
      <c r="J18" s="53">
        <f>IF($N18&lt;&gt;"",INDEX(tblBilling[Payment Status],$N18),"")</f>
        <v/>
      </c>
      <c r="K18" s="55">
        <f>IF($N18&lt;&gt;"",IF(INDEX(tblBilling[Last Payment Date],$N18)="","",INDEX(tblBilling[Last Payment Date],$N18)),"")</f>
        <v/>
      </c>
      <c r="L18" s="53">
        <f>IF($N18&lt;&gt;"",INDEX(tblBilling[Collector Name],$N18),"")</f>
        <v/>
      </c>
      <c r="N18">
        <f>IF(N17="","",IFERROR(N17+MATCH(1,INDEX(tblBilling[Print Match],N17+1):INDEX(tblBilling[Print Match],ROWS(tblBilling[Print Match])),0),""))</f>
        <v/>
      </c>
      <c r="O18">
        <f>ROW()-9-MIN(PC_Count,500)</f>
        <v/>
      </c>
    </row>
    <row r="19" ht="20" customHeight="1">
      <c r="A19" s="52">
        <f>IF($N19="","",ROW()-9)</f>
        <v/>
      </c>
      <c r="B19" s="53">
        <f>IF($N19&lt;&gt;"",INDEX(tblBilling[Customer ID],$N19),"")</f>
        <v/>
      </c>
      <c r="C19" s="53">
        <f>IF($N19&lt;&gt;"",INDEX(tblBilling[Customer Name],$N19),CHOOSE(MIN(MAX($O19,0),7)+1,"","TOTAL","","Total Customers: "&amp;PC_Count,"Total Recovered: "&amp;CFG_CurrencySymbol&amp;" "&amp;TEXT(PC_TotalPaid,"#,##0"),"","Collector Signature: ____________",""))</f>
        <v/>
      </c>
      <c r="D19" s="53">
        <f>IF($N19&lt;&gt;"",INDEX(tblBilling[Full Address],$N19),CHOOSE(MIN(MAX($O19,0),7)+1,"","","","Total Billing: "&amp;CFG_CurrencySymbol&amp;" "&amp;TEXT(PC_TotalFee,"#,##0"),"Total Pending: "&amp;CFG_CurrencySymbol&amp;" "&amp;TEXT(PC_TotalBalance,"#,##0"),"","Office Verification: ____________",""))</f>
        <v/>
      </c>
      <c r="E19" s="53">
        <f>IF($N19&lt;&gt;"",INDEX(tblBilling[VLAN ID],$N19),"")</f>
        <v/>
      </c>
      <c r="F19" s="52">
        <f>IF($N19&lt;&gt;"",INDEX(tblBilling[Due Date],$N19),"")</f>
        <v/>
      </c>
      <c r="G19" s="54">
        <f>IF($N19&lt;&gt;"",INDEX(tblBilling[Monthly Fee],$N19),IF($O19=1,PC_TotalFee,""))</f>
        <v/>
      </c>
      <c r="H19" s="54">
        <f>IF($N19&lt;&gt;"",INDEX(tblBilling[Amount Paid],$N19),IF($O19=1,PC_TotalPaid,""))</f>
        <v/>
      </c>
      <c r="I19" s="54">
        <f>IF($N19&lt;&gt;"",INDEX(tblBilling[Balance],$N19),IF($O19=1,PC_TotalBalance,""))</f>
        <v/>
      </c>
      <c r="J19" s="53">
        <f>IF($N19&lt;&gt;"",INDEX(tblBilling[Payment Status],$N19),"")</f>
        <v/>
      </c>
      <c r="K19" s="55">
        <f>IF($N19&lt;&gt;"",IF(INDEX(tblBilling[Last Payment Date],$N19)="","",INDEX(tblBilling[Last Payment Date],$N19)),"")</f>
        <v/>
      </c>
      <c r="L19" s="53">
        <f>IF($N19&lt;&gt;"",INDEX(tblBilling[Collector Name],$N19),"")</f>
        <v/>
      </c>
      <c r="N19">
        <f>IF(N18="","",IFERROR(N18+MATCH(1,INDEX(tblBilling[Print Match],N18+1):INDEX(tblBilling[Print Match],ROWS(tblBilling[Print Match])),0),""))</f>
        <v/>
      </c>
      <c r="O19">
        <f>ROW()-9-MIN(PC_Count,500)</f>
        <v/>
      </c>
    </row>
    <row r="20" ht="20" customHeight="1">
      <c r="A20" s="52">
        <f>IF($N20="","",ROW()-9)</f>
        <v/>
      </c>
      <c r="B20" s="53">
        <f>IF($N20&lt;&gt;"",INDEX(tblBilling[Customer ID],$N20),"")</f>
        <v/>
      </c>
      <c r="C20" s="53">
        <f>IF($N20&lt;&gt;"",INDEX(tblBilling[Customer Name],$N20),CHOOSE(MIN(MAX($O20,0),7)+1,"","TOTAL","","Total Customers: "&amp;PC_Count,"Total Recovered: "&amp;CFG_CurrencySymbol&amp;" "&amp;TEXT(PC_TotalPaid,"#,##0"),"","Collector Signature: ____________",""))</f>
        <v/>
      </c>
      <c r="D20" s="53">
        <f>IF($N20&lt;&gt;"",INDEX(tblBilling[Full Address],$N20),CHOOSE(MIN(MAX($O20,0),7)+1,"","","","Total Billing: "&amp;CFG_CurrencySymbol&amp;" "&amp;TEXT(PC_TotalFee,"#,##0"),"Total Pending: "&amp;CFG_CurrencySymbol&amp;" "&amp;TEXT(PC_TotalBalance,"#,##0"),"","Office Verification: ____________",""))</f>
        <v/>
      </c>
      <c r="E20" s="53">
        <f>IF($N20&lt;&gt;"",INDEX(tblBilling[VLAN ID],$N20),"")</f>
        <v/>
      </c>
      <c r="F20" s="52">
        <f>IF($N20&lt;&gt;"",INDEX(tblBilling[Due Date],$N20),"")</f>
        <v/>
      </c>
      <c r="G20" s="54">
        <f>IF($N20&lt;&gt;"",INDEX(tblBilling[Monthly Fee],$N20),IF($O20=1,PC_TotalFee,""))</f>
        <v/>
      </c>
      <c r="H20" s="54">
        <f>IF($N20&lt;&gt;"",INDEX(tblBilling[Amount Paid],$N20),IF($O20=1,PC_TotalPaid,""))</f>
        <v/>
      </c>
      <c r="I20" s="54">
        <f>IF($N20&lt;&gt;"",INDEX(tblBilling[Balance],$N20),IF($O20=1,PC_TotalBalance,""))</f>
        <v/>
      </c>
      <c r="J20" s="53">
        <f>IF($N20&lt;&gt;"",INDEX(tblBilling[Payment Status],$N20),"")</f>
        <v/>
      </c>
      <c r="K20" s="55">
        <f>IF($N20&lt;&gt;"",IF(INDEX(tblBilling[Last Payment Date],$N20)="","",INDEX(tblBilling[Last Payment Date],$N20)),"")</f>
        <v/>
      </c>
      <c r="L20" s="53">
        <f>IF($N20&lt;&gt;"",INDEX(tblBilling[Collector Name],$N20),"")</f>
        <v/>
      </c>
      <c r="N20">
        <f>IF(N19="","",IFERROR(N19+MATCH(1,INDEX(tblBilling[Print Match],N19+1):INDEX(tblBilling[Print Match],ROWS(tblBilling[Print Match])),0),""))</f>
        <v/>
      </c>
      <c r="O20">
        <f>ROW()-9-MIN(PC_Count,500)</f>
        <v/>
      </c>
    </row>
    <row r="21" ht="20" customHeight="1">
      <c r="A21" s="52">
        <f>IF($N21="","",ROW()-9)</f>
        <v/>
      </c>
      <c r="B21" s="53">
        <f>IF($N21&lt;&gt;"",INDEX(tblBilling[Customer ID],$N21),"")</f>
        <v/>
      </c>
      <c r="C21" s="53">
        <f>IF($N21&lt;&gt;"",INDEX(tblBilling[Customer Name],$N21),CHOOSE(MIN(MAX($O21,0),7)+1,"","TOTAL","","Total Customers: "&amp;PC_Count,"Total Recovered: "&amp;CFG_CurrencySymbol&amp;" "&amp;TEXT(PC_TotalPaid,"#,##0"),"","Collector Signature: ____________",""))</f>
        <v/>
      </c>
      <c r="D21" s="53">
        <f>IF($N21&lt;&gt;"",INDEX(tblBilling[Full Address],$N21),CHOOSE(MIN(MAX($O21,0),7)+1,"","","","Total Billing: "&amp;CFG_CurrencySymbol&amp;" "&amp;TEXT(PC_TotalFee,"#,##0"),"Total Pending: "&amp;CFG_CurrencySymbol&amp;" "&amp;TEXT(PC_TotalBalance,"#,##0"),"","Office Verification: ____________",""))</f>
        <v/>
      </c>
      <c r="E21" s="53">
        <f>IF($N21&lt;&gt;"",INDEX(tblBilling[VLAN ID],$N21),"")</f>
        <v/>
      </c>
      <c r="F21" s="52">
        <f>IF($N21&lt;&gt;"",INDEX(tblBilling[Due Date],$N21),"")</f>
        <v/>
      </c>
      <c r="G21" s="54">
        <f>IF($N21&lt;&gt;"",INDEX(tblBilling[Monthly Fee],$N21),IF($O21=1,PC_TotalFee,""))</f>
        <v/>
      </c>
      <c r="H21" s="54">
        <f>IF($N21&lt;&gt;"",INDEX(tblBilling[Amount Paid],$N21),IF($O21=1,PC_TotalPaid,""))</f>
        <v/>
      </c>
      <c r="I21" s="54">
        <f>IF($N21&lt;&gt;"",INDEX(tblBilling[Balance],$N21),IF($O21=1,PC_TotalBalance,""))</f>
        <v/>
      </c>
      <c r="J21" s="53">
        <f>IF($N21&lt;&gt;"",INDEX(tblBilling[Payment Status],$N21),"")</f>
        <v/>
      </c>
      <c r="K21" s="55">
        <f>IF($N21&lt;&gt;"",IF(INDEX(tblBilling[Last Payment Date],$N21)="","",INDEX(tblBilling[Last Payment Date],$N21)),"")</f>
        <v/>
      </c>
      <c r="L21" s="53">
        <f>IF($N21&lt;&gt;"",INDEX(tblBilling[Collector Name],$N21),"")</f>
        <v/>
      </c>
      <c r="N21">
        <f>IF(N20="","",IFERROR(N20+MATCH(1,INDEX(tblBilling[Print Match],N20+1):INDEX(tblBilling[Print Match],ROWS(tblBilling[Print Match])),0),""))</f>
        <v/>
      </c>
      <c r="O21">
        <f>ROW()-9-MIN(PC_Count,500)</f>
        <v/>
      </c>
    </row>
    <row r="22" ht="20" customHeight="1">
      <c r="A22" s="52">
        <f>IF($N22="","",ROW()-9)</f>
        <v/>
      </c>
      <c r="B22" s="53">
        <f>IF($N22&lt;&gt;"",INDEX(tblBilling[Customer ID],$N22),"")</f>
        <v/>
      </c>
      <c r="C22" s="53">
        <f>IF($N22&lt;&gt;"",INDEX(tblBilling[Customer Name],$N22),CHOOSE(MIN(MAX($O22,0),7)+1,"","TOTAL","","Total Customers: "&amp;PC_Count,"Total Recovered: "&amp;CFG_CurrencySymbol&amp;" "&amp;TEXT(PC_TotalPaid,"#,##0"),"","Collector Signature: ____________",""))</f>
        <v/>
      </c>
      <c r="D22" s="53">
        <f>IF($N22&lt;&gt;"",INDEX(tblBilling[Full Address],$N22),CHOOSE(MIN(MAX($O22,0),7)+1,"","","","Total Billing: "&amp;CFG_CurrencySymbol&amp;" "&amp;TEXT(PC_TotalFee,"#,##0"),"Total Pending: "&amp;CFG_CurrencySymbol&amp;" "&amp;TEXT(PC_TotalBalance,"#,##0"),"","Office Verification: ____________",""))</f>
        <v/>
      </c>
      <c r="E22" s="53">
        <f>IF($N22&lt;&gt;"",INDEX(tblBilling[VLAN ID],$N22),"")</f>
        <v/>
      </c>
      <c r="F22" s="52">
        <f>IF($N22&lt;&gt;"",INDEX(tblBilling[Due Date],$N22),"")</f>
        <v/>
      </c>
      <c r="G22" s="54">
        <f>IF($N22&lt;&gt;"",INDEX(tblBilling[Monthly Fee],$N22),IF($O22=1,PC_TotalFee,""))</f>
        <v/>
      </c>
      <c r="H22" s="54">
        <f>IF($N22&lt;&gt;"",INDEX(tblBilling[Amount Paid],$N22),IF($O22=1,PC_TotalPaid,""))</f>
        <v/>
      </c>
      <c r="I22" s="54">
        <f>IF($N22&lt;&gt;"",INDEX(tblBilling[Balance],$N22),IF($O22=1,PC_TotalBalance,""))</f>
        <v/>
      </c>
      <c r="J22" s="53">
        <f>IF($N22&lt;&gt;"",INDEX(tblBilling[Payment Status],$N22),"")</f>
        <v/>
      </c>
      <c r="K22" s="55">
        <f>IF($N22&lt;&gt;"",IF(INDEX(tblBilling[Last Payment Date],$N22)="","",INDEX(tblBilling[Last Payment Date],$N22)),"")</f>
        <v/>
      </c>
      <c r="L22" s="53">
        <f>IF($N22&lt;&gt;"",INDEX(tblBilling[Collector Name],$N22),"")</f>
        <v/>
      </c>
      <c r="N22">
        <f>IF(N21="","",IFERROR(N21+MATCH(1,INDEX(tblBilling[Print Match],N21+1):INDEX(tblBilling[Print Match],ROWS(tblBilling[Print Match])),0),""))</f>
        <v/>
      </c>
      <c r="O22">
        <f>ROW()-9-MIN(PC_Count,500)</f>
        <v/>
      </c>
    </row>
    <row r="23" ht="20" customHeight="1">
      <c r="A23" s="52">
        <f>IF($N23="","",ROW()-9)</f>
        <v/>
      </c>
      <c r="B23" s="53">
        <f>IF($N23&lt;&gt;"",INDEX(tblBilling[Customer ID],$N23),"")</f>
        <v/>
      </c>
      <c r="C23" s="53">
        <f>IF($N23&lt;&gt;"",INDEX(tblBilling[Customer Name],$N23),CHOOSE(MIN(MAX($O23,0),7)+1,"","TOTAL","","Total Customers: "&amp;PC_Count,"Total Recovered: "&amp;CFG_CurrencySymbol&amp;" "&amp;TEXT(PC_TotalPaid,"#,##0"),"","Collector Signature: ____________",""))</f>
        <v/>
      </c>
      <c r="D23" s="53">
        <f>IF($N23&lt;&gt;"",INDEX(tblBilling[Full Address],$N23),CHOOSE(MIN(MAX($O23,0),7)+1,"","","","Total Billing: "&amp;CFG_CurrencySymbol&amp;" "&amp;TEXT(PC_TotalFee,"#,##0"),"Total Pending: "&amp;CFG_CurrencySymbol&amp;" "&amp;TEXT(PC_TotalBalance,"#,##0"),"","Office Verification: ____________",""))</f>
        <v/>
      </c>
      <c r="E23" s="53">
        <f>IF($N23&lt;&gt;"",INDEX(tblBilling[VLAN ID],$N23),"")</f>
        <v/>
      </c>
      <c r="F23" s="52">
        <f>IF($N23&lt;&gt;"",INDEX(tblBilling[Due Date],$N23),"")</f>
        <v/>
      </c>
      <c r="G23" s="54">
        <f>IF($N23&lt;&gt;"",INDEX(tblBilling[Monthly Fee],$N23),IF($O23=1,PC_TotalFee,""))</f>
        <v/>
      </c>
      <c r="H23" s="54">
        <f>IF($N23&lt;&gt;"",INDEX(tblBilling[Amount Paid],$N23),IF($O23=1,PC_TotalPaid,""))</f>
        <v/>
      </c>
      <c r="I23" s="54">
        <f>IF($N23&lt;&gt;"",INDEX(tblBilling[Balance],$N23),IF($O23=1,PC_TotalBalance,""))</f>
        <v/>
      </c>
      <c r="J23" s="53">
        <f>IF($N23&lt;&gt;"",INDEX(tblBilling[Payment Status],$N23),"")</f>
        <v/>
      </c>
      <c r="K23" s="55">
        <f>IF($N23&lt;&gt;"",IF(INDEX(tblBilling[Last Payment Date],$N23)="","",INDEX(tblBilling[Last Payment Date],$N23)),"")</f>
        <v/>
      </c>
      <c r="L23" s="53">
        <f>IF($N23&lt;&gt;"",INDEX(tblBilling[Collector Name],$N23),"")</f>
        <v/>
      </c>
      <c r="N23">
        <f>IF(N22="","",IFERROR(N22+MATCH(1,INDEX(tblBilling[Print Match],N22+1):INDEX(tblBilling[Print Match],ROWS(tblBilling[Print Match])),0),""))</f>
        <v/>
      </c>
      <c r="O23">
        <f>ROW()-9-MIN(PC_Count,500)</f>
        <v/>
      </c>
    </row>
    <row r="24" ht="20" customHeight="1">
      <c r="A24" s="52">
        <f>IF($N24="","",ROW()-9)</f>
        <v/>
      </c>
      <c r="B24" s="53">
        <f>IF($N24&lt;&gt;"",INDEX(tblBilling[Customer ID],$N24),"")</f>
        <v/>
      </c>
      <c r="C24" s="53">
        <f>IF($N24&lt;&gt;"",INDEX(tblBilling[Customer Name],$N24),CHOOSE(MIN(MAX($O24,0),7)+1,"","TOTAL","","Total Customers: "&amp;PC_Count,"Total Recovered: "&amp;CFG_CurrencySymbol&amp;" "&amp;TEXT(PC_TotalPaid,"#,##0"),"","Collector Signature: ____________",""))</f>
        <v/>
      </c>
      <c r="D24" s="53">
        <f>IF($N24&lt;&gt;"",INDEX(tblBilling[Full Address],$N24),CHOOSE(MIN(MAX($O24,0),7)+1,"","","","Total Billing: "&amp;CFG_CurrencySymbol&amp;" "&amp;TEXT(PC_TotalFee,"#,##0"),"Total Pending: "&amp;CFG_CurrencySymbol&amp;" "&amp;TEXT(PC_TotalBalance,"#,##0"),"","Office Verification: ____________",""))</f>
        <v/>
      </c>
      <c r="E24" s="53">
        <f>IF($N24&lt;&gt;"",INDEX(tblBilling[VLAN ID],$N24),"")</f>
        <v/>
      </c>
      <c r="F24" s="52">
        <f>IF($N24&lt;&gt;"",INDEX(tblBilling[Due Date],$N24),"")</f>
        <v/>
      </c>
      <c r="G24" s="54">
        <f>IF($N24&lt;&gt;"",INDEX(tblBilling[Monthly Fee],$N24),IF($O24=1,PC_TotalFee,""))</f>
        <v/>
      </c>
      <c r="H24" s="54">
        <f>IF($N24&lt;&gt;"",INDEX(tblBilling[Amount Paid],$N24),IF($O24=1,PC_TotalPaid,""))</f>
        <v/>
      </c>
      <c r="I24" s="54">
        <f>IF($N24&lt;&gt;"",INDEX(tblBilling[Balance],$N24),IF($O24=1,PC_TotalBalance,""))</f>
        <v/>
      </c>
      <c r="J24" s="53">
        <f>IF($N24&lt;&gt;"",INDEX(tblBilling[Payment Status],$N24),"")</f>
        <v/>
      </c>
      <c r="K24" s="55">
        <f>IF($N24&lt;&gt;"",IF(INDEX(tblBilling[Last Payment Date],$N24)="","",INDEX(tblBilling[Last Payment Date],$N24)),"")</f>
        <v/>
      </c>
      <c r="L24" s="53">
        <f>IF($N24&lt;&gt;"",INDEX(tblBilling[Collector Name],$N24),"")</f>
        <v/>
      </c>
      <c r="N24">
        <f>IF(N23="","",IFERROR(N23+MATCH(1,INDEX(tblBilling[Print Match],N23+1):INDEX(tblBilling[Print Match],ROWS(tblBilling[Print Match])),0),""))</f>
        <v/>
      </c>
      <c r="O24">
        <f>ROW()-9-MIN(PC_Count,500)</f>
        <v/>
      </c>
    </row>
    <row r="25" ht="20" customHeight="1">
      <c r="A25" s="52">
        <f>IF($N25="","",ROW()-9)</f>
        <v/>
      </c>
      <c r="B25" s="53">
        <f>IF($N25&lt;&gt;"",INDEX(tblBilling[Customer ID],$N25),"")</f>
        <v/>
      </c>
      <c r="C25" s="53">
        <f>IF($N25&lt;&gt;"",INDEX(tblBilling[Customer Name],$N25),CHOOSE(MIN(MAX($O25,0),7)+1,"","TOTAL","","Total Customers: "&amp;PC_Count,"Total Recovered: "&amp;CFG_CurrencySymbol&amp;" "&amp;TEXT(PC_TotalPaid,"#,##0"),"","Collector Signature: ____________",""))</f>
        <v/>
      </c>
      <c r="D25" s="53">
        <f>IF($N25&lt;&gt;"",INDEX(tblBilling[Full Address],$N25),CHOOSE(MIN(MAX($O25,0),7)+1,"","","","Total Billing: "&amp;CFG_CurrencySymbol&amp;" "&amp;TEXT(PC_TotalFee,"#,##0"),"Total Pending: "&amp;CFG_CurrencySymbol&amp;" "&amp;TEXT(PC_TotalBalance,"#,##0"),"","Office Verification: ____________",""))</f>
        <v/>
      </c>
      <c r="E25" s="53">
        <f>IF($N25&lt;&gt;"",INDEX(tblBilling[VLAN ID],$N25),"")</f>
        <v/>
      </c>
      <c r="F25" s="52">
        <f>IF($N25&lt;&gt;"",INDEX(tblBilling[Due Date],$N25),"")</f>
        <v/>
      </c>
      <c r="G25" s="54">
        <f>IF($N25&lt;&gt;"",INDEX(tblBilling[Monthly Fee],$N25),IF($O25=1,PC_TotalFee,""))</f>
        <v/>
      </c>
      <c r="H25" s="54">
        <f>IF($N25&lt;&gt;"",INDEX(tblBilling[Amount Paid],$N25),IF($O25=1,PC_TotalPaid,""))</f>
        <v/>
      </c>
      <c r="I25" s="54">
        <f>IF($N25&lt;&gt;"",INDEX(tblBilling[Balance],$N25),IF($O25=1,PC_TotalBalance,""))</f>
        <v/>
      </c>
      <c r="J25" s="53">
        <f>IF($N25&lt;&gt;"",INDEX(tblBilling[Payment Status],$N25),"")</f>
        <v/>
      </c>
      <c r="K25" s="55">
        <f>IF($N25&lt;&gt;"",IF(INDEX(tblBilling[Last Payment Date],$N25)="","",INDEX(tblBilling[Last Payment Date],$N25)),"")</f>
        <v/>
      </c>
      <c r="L25" s="53">
        <f>IF($N25&lt;&gt;"",INDEX(tblBilling[Collector Name],$N25),"")</f>
        <v/>
      </c>
      <c r="N25">
        <f>IF(N24="","",IFERROR(N24+MATCH(1,INDEX(tblBilling[Print Match],N24+1):INDEX(tblBilling[Print Match],ROWS(tblBilling[Print Match])),0),""))</f>
        <v/>
      </c>
      <c r="O25">
        <f>ROW()-9-MIN(PC_Count,500)</f>
        <v/>
      </c>
    </row>
    <row r="26" ht="20" customHeight="1">
      <c r="A26" s="52">
        <f>IF($N26="","",ROW()-9)</f>
        <v/>
      </c>
      <c r="B26" s="53">
        <f>IF($N26&lt;&gt;"",INDEX(tblBilling[Customer ID],$N26),"")</f>
        <v/>
      </c>
      <c r="C26" s="53">
        <f>IF($N26&lt;&gt;"",INDEX(tblBilling[Customer Name],$N26),CHOOSE(MIN(MAX($O26,0),7)+1,"","TOTAL","","Total Customers: "&amp;PC_Count,"Total Recovered: "&amp;CFG_CurrencySymbol&amp;" "&amp;TEXT(PC_TotalPaid,"#,##0"),"","Collector Signature: ____________",""))</f>
        <v/>
      </c>
      <c r="D26" s="53">
        <f>IF($N26&lt;&gt;"",INDEX(tblBilling[Full Address],$N26),CHOOSE(MIN(MAX($O26,0),7)+1,"","","","Total Billing: "&amp;CFG_CurrencySymbol&amp;" "&amp;TEXT(PC_TotalFee,"#,##0"),"Total Pending: "&amp;CFG_CurrencySymbol&amp;" "&amp;TEXT(PC_TotalBalance,"#,##0"),"","Office Verification: ____________",""))</f>
        <v/>
      </c>
      <c r="E26" s="53">
        <f>IF($N26&lt;&gt;"",INDEX(tblBilling[VLAN ID],$N26),"")</f>
        <v/>
      </c>
      <c r="F26" s="52">
        <f>IF($N26&lt;&gt;"",INDEX(tblBilling[Due Date],$N26),"")</f>
        <v/>
      </c>
      <c r="G26" s="54">
        <f>IF($N26&lt;&gt;"",INDEX(tblBilling[Monthly Fee],$N26),IF($O26=1,PC_TotalFee,""))</f>
        <v/>
      </c>
      <c r="H26" s="54">
        <f>IF($N26&lt;&gt;"",INDEX(tblBilling[Amount Paid],$N26),IF($O26=1,PC_TotalPaid,""))</f>
        <v/>
      </c>
      <c r="I26" s="54">
        <f>IF($N26&lt;&gt;"",INDEX(tblBilling[Balance],$N26),IF($O26=1,PC_TotalBalance,""))</f>
        <v/>
      </c>
      <c r="J26" s="53">
        <f>IF($N26&lt;&gt;"",INDEX(tblBilling[Payment Status],$N26),"")</f>
        <v/>
      </c>
      <c r="K26" s="55">
        <f>IF($N26&lt;&gt;"",IF(INDEX(tblBilling[Last Payment Date],$N26)="","",INDEX(tblBilling[Last Payment Date],$N26)),"")</f>
        <v/>
      </c>
      <c r="L26" s="53">
        <f>IF($N26&lt;&gt;"",INDEX(tblBilling[Collector Name],$N26),"")</f>
        <v/>
      </c>
      <c r="N26">
        <f>IF(N25="","",IFERROR(N25+MATCH(1,INDEX(tblBilling[Print Match],N25+1):INDEX(tblBilling[Print Match],ROWS(tblBilling[Print Match])),0),""))</f>
        <v/>
      </c>
      <c r="O26">
        <f>ROW()-9-MIN(PC_Count,500)</f>
        <v/>
      </c>
    </row>
    <row r="27" ht="20" customHeight="1">
      <c r="A27" s="52">
        <f>IF($N27="","",ROW()-9)</f>
        <v/>
      </c>
      <c r="B27" s="53">
        <f>IF($N27&lt;&gt;"",INDEX(tblBilling[Customer ID],$N27),"")</f>
        <v/>
      </c>
      <c r="C27" s="53">
        <f>IF($N27&lt;&gt;"",INDEX(tblBilling[Customer Name],$N27),CHOOSE(MIN(MAX($O27,0),7)+1,"","TOTAL","","Total Customers: "&amp;PC_Count,"Total Recovered: "&amp;CFG_CurrencySymbol&amp;" "&amp;TEXT(PC_TotalPaid,"#,##0"),"","Collector Signature: ____________",""))</f>
        <v/>
      </c>
      <c r="D27" s="53">
        <f>IF($N27&lt;&gt;"",INDEX(tblBilling[Full Address],$N27),CHOOSE(MIN(MAX($O27,0),7)+1,"","","","Total Billing: "&amp;CFG_CurrencySymbol&amp;" "&amp;TEXT(PC_TotalFee,"#,##0"),"Total Pending: "&amp;CFG_CurrencySymbol&amp;" "&amp;TEXT(PC_TotalBalance,"#,##0"),"","Office Verification: ____________",""))</f>
        <v/>
      </c>
      <c r="E27" s="53">
        <f>IF($N27&lt;&gt;"",INDEX(tblBilling[VLAN ID],$N27),"")</f>
        <v/>
      </c>
      <c r="F27" s="52">
        <f>IF($N27&lt;&gt;"",INDEX(tblBilling[Due Date],$N27),"")</f>
        <v/>
      </c>
      <c r="G27" s="54">
        <f>IF($N27&lt;&gt;"",INDEX(tblBilling[Monthly Fee],$N27),IF($O27=1,PC_TotalFee,""))</f>
        <v/>
      </c>
      <c r="H27" s="54">
        <f>IF($N27&lt;&gt;"",INDEX(tblBilling[Amount Paid],$N27),IF($O27=1,PC_TotalPaid,""))</f>
        <v/>
      </c>
      <c r="I27" s="54">
        <f>IF($N27&lt;&gt;"",INDEX(tblBilling[Balance],$N27),IF($O27=1,PC_TotalBalance,""))</f>
        <v/>
      </c>
      <c r="J27" s="53">
        <f>IF($N27&lt;&gt;"",INDEX(tblBilling[Payment Status],$N27),"")</f>
        <v/>
      </c>
      <c r="K27" s="55">
        <f>IF($N27&lt;&gt;"",IF(INDEX(tblBilling[Last Payment Date],$N27)="","",INDEX(tblBilling[Last Payment Date],$N27)),"")</f>
        <v/>
      </c>
      <c r="L27" s="53">
        <f>IF($N27&lt;&gt;"",INDEX(tblBilling[Collector Name],$N27),"")</f>
        <v/>
      </c>
      <c r="N27">
        <f>IF(N26="","",IFERROR(N26+MATCH(1,INDEX(tblBilling[Print Match],N26+1):INDEX(tblBilling[Print Match],ROWS(tblBilling[Print Match])),0),""))</f>
        <v/>
      </c>
      <c r="O27">
        <f>ROW()-9-MIN(PC_Count,500)</f>
        <v/>
      </c>
    </row>
    <row r="28" ht="20" customHeight="1">
      <c r="A28" s="52">
        <f>IF($N28="","",ROW()-9)</f>
        <v/>
      </c>
      <c r="B28" s="53">
        <f>IF($N28&lt;&gt;"",INDEX(tblBilling[Customer ID],$N28),"")</f>
        <v/>
      </c>
      <c r="C28" s="53">
        <f>IF($N28&lt;&gt;"",INDEX(tblBilling[Customer Name],$N28),CHOOSE(MIN(MAX($O28,0),7)+1,"","TOTAL","","Total Customers: "&amp;PC_Count,"Total Recovered: "&amp;CFG_CurrencySymbol&amp;" "&amp;TEXT(PC_TotalPaid,"#,##0"),"","Collector Signature: ____________",""))</f>
        <v/>
      </c>
      <c r="D28" s="53">
        <f>IF($N28&lt;&gt;"",INDEX(tblBilling[Full Address],$N28),CHOOSE(MIN(MAX($O28,0),7)+1,"","","","Total Billing: "&amp;CFG_CurrencySymbol&amp;" "&amp;TEXT(PC_TotalFee,"#,##0"),"Total Pending: "&amp;CFG_CurrencySymbol&amp;" "&amp;TEXT(PC_TotalBalance,"#,##0"),"","Office Verification: ____________",""))</f>
        <v/>
      </c>
      <c r="E28" s="53">
        <f>IF($N28&lt;&gt;"",INDEX(tblBilling[VLAN ID],$N28),"")</f>
        <v/>
      </c>
      <c r="F28" s="52">
        <f>IF($N28&lt;&gt;"",INDEX(tblBilling[Due Date],$N28),"")</f>
        <v/>
      </c>
      <c r="G28" s="54">
        <f>IF($N28&lt;&gt;"",INDEX(tblBilling[Monthly Fee],$N28),IF($O28=1,PC_TotalFee,""))</f>
        <v/>
      </c>
      <c r="H28" s="54">
        <f>IF($N28&lt;&gt;"",INDEX(tblBilling[Amount Paid],$N28),IF($O28=1,PC_TotalPaid,""))</f>
        <v/>
      </c>
      <c r="I28" s="54">
        <f>IF($N28&lt;&gt;"",INDEX(tblBilling[Balance],$N28),IF($O28=1,PC_TotalBalance,""))</f>
        <v/>
      </c>
      <c r="J28" s="53">
        <f>IF($N28&lt;&gt;"",INDEX(tblBilling[Payment Status],$N28),"")</f>
        <v/>
      </c>
      <c r="K28" s="55">
        <f>IF($N28&lt;&gt;"",IF(INDEX(tblBilling[Last Payment Date],$N28)="","",INDEX(tblBilling[Last Payment Date],$N28)),"")</f>
        <v/>
      </c>
      <c r="L28" s="53">
        <f>IF($N28&lt;&gt;"",INDEX(tblBilling[Collector Name],$N28),"")</f>
        <v/>
      </c>
      <c r="N28">
        <f>IF(N27="","",IFERROR(N27+MATCH(1,INDEX(tblBilling[Print Match],N27+1):INDEX(tblBilling[Print Match],ROWS(tblBilling[Print Match])),0),""))</f>
        <v/>
      </c>
      <c r="O28">
        <f>ROW()-9-MIN(PC_Count,500)</f>
        <v/>
      </c>
    </row>
    <row r="29" ht="20" customHeight="1">
      <c r="A29" s="52">
        <f>IF($N29="","",ROW()-9)</f>
        <v/>
      </c>
      <c r="B29" s="53">
        <f>IF($N29&lt;&gt;"",INDEX(tblBilling[Customer ID],$N29),"")</f>
        <v/>
      </c>
      <c r="C29" s="53">
        <f>IF($N29&lt;&gt;"",INDEX(tblBilling[Customer Name],$N29),CHOOSE(MIN(MAX($O29,0),7)+1,"","TOTAL","","Total Customers: "&amp;PC_Count,"Total Recovered: "&amp;CFG_CurrencySymbol&amp;" "&amp;TEXT(PC_TotalPaid,"#,##0"),"","Collector Signature: ____________",""))</f>
        <v/>
      </c>
      <c r="D29" s="53">
        <f>IF($N29&lt;&gt;"",INDEX(tblBilling[Full Address],$N29),CHOOSE(MIN(MAX($O29,0),7)+1,"","","","Total Billing: "&amp;CFG_CurrencySymbol&amp;" "&amp;TEXT(PC_TotalFee,"#,##0"),"Total Pending: "&amp;CFG_CurrencySymbol&amp;" "&amp;TEXT(PC_TotalBalance,"#,##0"),"","Office Verification: ____________",""))</f>
        <v/>
      </c>
      <c r="E29" s="53">
        <f>IF($N29&lt;&gt;"",INDEX(tblBilling[VLAN ID],$N29),"")</f>
        <v/>
      </c>
      <c r="F29" s="52">
        <f>IF($N29&lt;&gt;"",INDEX(tblBilling[Due Date],$N29),"")</f>
        <v/>
      </c>
      <c r="G29" s="54">
        <f>IF($N29&lt;&gt;"",INDEX(tblBilling[Monthly Fee],$N29),IF($O29=1,PC_TotalFee,""))</f>
        <v/>
      </c>
      <c r="H29" s="54">
        <f>IF($N29&lt;&gt;"",INDEX(tblBilling[Amount Paid],$N29),IF($O29=1,PC_TotalPaid,""))</f>
        <v/>
      </c>
      <c r="I29" s="54">
        <f>IF($N29&lt;&gt;"",INDEX(tblBilling[Balance],$N29),IF($O29=1,PC_TotalBalance,""))</f>
        <v/>
      </c>
      <c r="J29" s="53">
        <f>IF($N29&lt;&gt;"",INDEX(tblBilling[Payment Status],$N29),"")</f>
        <v/>
      </c>
      <c r="K29" s="55">
        <f>IF($N29&lt;&gt;"",IF(INDEX(tblBilling[Last Payment Date],$N29)="","",INDEX(tblBilling[Last Payment Date],$N29)),"")</f>
        <v/>
      </c>
      <c r="L29" s="53">
        <f>IF($N29&lt;&gt;"",INDEX(tblBilling[Collector Name],$N29),"")</f>
        <v/>
      </c>
      <c r="N29">
        <f>IF(N28="","",IFERROR(N28+MATCH(1,INDEX(tblBilling[Print Match],N28+1):INDEX(tblBilling[Print Match],ROWS(tblBilling[Print Match])),0),""))</f>
        <v/>
      </c>
      <c r="O29">
        <f>ROW()-9-MIN(PC_Count,500)</f>
        <v/>
      </c>
    </row>
    <row r="30" ht="20" customHeight="1">
      <c r="A30" s="52">
        <f>IF($N30="","",ROW()-9)</f>
        <v/>
      </c>
      <c r="B30" s="53">
        <f>IF($N30&lt;&gt;"",INDEX(tblBilling[Customer ID],$N30),"")</f>
        <v/>
      </c>
      <c r="C30" s="53">
        <f>IF($N30&lt;&gt;"",INDEX(tblBilling[Customer Name],$N30),CHOOSE(MIN(MAX($O30,0),7)+1,"","TOTAL","","Total Customers: "&amp;PC_Count,"Total Recovered: "&amp;CFG_CurrencySymbol&amp;" "&amp;TEXT(PC_TotalPaid,"#,##0"),"","Collector Signature: ____________",""))</f>
        <v/>
      </c>
      <c r="D30" s="53">
        <f>IF($N30&lt;&gt;"",INDEX(tblBilling[Full Address],$N30),CHOOSE(MIN(MAX($O30,0),7)+1,"","","","Total Billing: "&amp;CFG_CurrencySymbol&amp;" "&amp;TEXT(PC_TotalFee,"#,##0"),"Total Pending: "&amp;CFG_CurrencySymbol&amp;" "&amp;TEXT(PC_TotalBalance,"#,##0"),"","Office Verification: ____________",""))</f>
        <v/>
      </c>
      <c r="E30" s="53">
        <f>IF($N30&lt;&gt;"",INDEX(tblBilling[VLAN ID],$N30),"")</f>
        <v/>
      </c>
      <c r="F30" s="52">
        <f>IF($N30&lt;&gt;"",INDEX(tblBilling[Due Date],$N30),"")</f>
        <v/>
      </c>
      <c r="G30" s="54">
        <f>IF($N30&lt;&gt;"",INDEX(tblBilling[Monthly Fee],$N30),IF($O30=1,PC_TotalFee,""))</f>
        <v/>
      </c>
      <c r="H30" s="54">
        <f>IF($N30&lt;&gt;"",INDEX(tblBilling[Amount Paid],$N30),IF($O30=1,PC_TotalPaid,""))</f>
        <v/>
      </c>
      <c r="I30" s="54">
        <f>IF($N30&lt;&gt;"",INDEX(tblBilling[Balance],$N30),IF($O30=1,PC_TotalBalance,""))</f>
        <v/>
      </c>
      <c r="J30" s="53">
        <f>IF($N30&lt;&gt;"",INDEX(tblBilling[Payment Status],$N30),"")</f>
        <v/>
      </c>
      <c r="K30" s="55">
        <f>IF($N30&lt;&gt;"",IF(INDEX(tblBilling[Last Payment Date],$N30)="","",INDEX(tblBilling[Last Payment Date],$N30)),"")</f>
        <v/>
      </c>
      <c r="L30" s="53">
        <f>IF($N30&lt;&gt;"",INDEX(tblBilling[Collector Name],$N30),"")</f>
        <v/>
      </c>
      <c r="N30">
        <f>IF(N29="","",IFERROR(N29+MATCH(1,INDEX(tblBilling[Print Match],N29+1):INDEX(tblBilling[Print Match],ROWS(tblBilling[Print Match])),0),""))</f>
        <v/>
      </c>
      <c r="O30">
        <f>ROW()-9-MIN(PC_Count,500)</f>
        <v/>
      </c>
    </row>
    <row r="31" ht="20" customHeight="1">
      <c r="A31" s="52">
        <f>IF($N31="","",ROW()-9)</f>
        <v/>
      </c>
      <c r="B31" s="53">
        <f>IF($N31&lt;&gt;"",INDEX(tblBilling[Customer ID],$N31),"")</f>
        <v/>
      </c>
      <c r="C31" s="53">
        <f>IF($N31&lt;&gt;"",INDEX(tblBilling[Customer Name],$N31),CHOOSE(MIN(MAX($O31,0),7)+1,"","TOTAL","","Total Customers: "&amp;PC_Count,"Total Recovered: "&amp;CFG_CurrencySymbol&amp;" "&amp;TEXT(PC_TotalPaid,"#,##0"),"","Collector Signature: ____________",""))</f>
        <v/>
      </c>
      <c r="D31" s="53">
        <f>IF($N31&lt;&gt;"",INDEX(tblBilling[Full Address],$N31),CHOOSE(MIN(MAX($O31,0),7)+1,"","","","Total Billing: "&amp;CFG_CurrencySymbol&amp;" "&amp;TEXT(PC_TotalFee,"#,##0"),"Total Pending: "&amp;CFG_CurrencySymbol&amp;" "&amp;TEXT(PC_TotalBalance,"#,##0"),"","Office Verification: ____________",""))</f>
        <v/>
      </c>
      <c r="E31" s="53">
        <f>IF($N31&lt;&gt;"",INDEX(tblBilling[VLAN ID],$N31),"")</f>
        <v/>
      </c>
      <c r="F31" s="52">
        <f>IF($N31&lt;&gt;"",INDEX(tblBilling[Due Date],$N31),"")</f>
        <v/>
      </c>
      <c r="G31" s="54">
        <f>IF($N31&lt;&gt;"",INDEX(tblBilling[Monthly Fee],$N31),IF($O31=1,PC_TotalFee,""))</f>
        <v/>
      </c>
      <c r="H31" s="54">
        <f>IF($N31&lt;&gt;"",INDEX(tblBilling[Amount Paid],$N31),IF($O31=1,PC_TotalPaid,""))</f>
        <v/>
      </c>
      <c r="I31" s="54">
        <f>IF($N31&lt;&gt;"",INDEX(tblBilling[Balance],$N31),IF($O31=1,PC_TotalBalance,""))</f>
        <v/>
      </c>
      <c r="J31" s="53">
        <f>IF($N31&lt;&gt;"",INDEX(tblBilling[Payment Status],$N31),"")</f>
        <v/>
      </c>
      <c r="K31" s="55">
        <f>IF($N31&lt;&gt;"",IF(INDEX(tblBilling[Last Payment Date],$N31)="","",INDEX(tblBilling[Last Payment Date],$N31)),"")</f>
        <v/>
      </c>
      <c r="L31" s="53">
        <f>IF($N31&lt;&gt;"",INDEX(tblBilling[Collector Name],$N31),"")</f>
        <v/>
      </c>
      <c r="N31">
        <f>IF(N30="","",IFERROR(N30+MATCH(1,INDEX(tblBilling[Print Match],N30+1):INDEX(tblBilling[Print Match],ROWS(tblBilling[Print Match])),0),""))</f>
        <v/>
      </c>
      <c r="O31">
        <f>ROW()-9-MIN(PC_Count,500)</f>
        <v/>
      </c>
    </row>
    <row r="32" ht="20" customHeight="1">
      <c r="A32" s="52">
        <f>IF($N32="","",ROW()-9)</f>
        <v/>
      </c>
      <c r="B32" s="53">
        <f>IF($N32&lt;&gt;"",INDEX(tblBilling[Customer ID],$N32),"")</f>
        <v/>
      </c>
      <c r="C32" s="53">
        <f>IF($N32&lt;&gt;"",INDEX(tblBilling[Customer Name],$N32),CHOOSE(MIN(MAX($O32,0),7)+1,"","TOTAL","","Total Customers: "&amp;PC_Count,"Total Recovered: "&amp;CFG_CurrencySymbol&amp;" "&amp;TEXT(PC_TotalPaid,"#,##0"),"","Collector Signature: ____________",""))</f>
        <v/>
      </c>
      <c r="D32" s="53">
        <f>IF($N32&lt;&gt;"",INDEX(tblBilling[Full Address],$N32),CHOOSE(MIN(MAX($O32,0),7)+1,"","","","Total Billing: "&amp;CFG_CurrencySymbol&amp;" "&amp;TEXT(PC_TotalFee,"#,##0"),"Total Pending: "&amp;CFG_CurrencySymbol&amp;" "&amp;TEXT(PC_TotalBalance,"#,##0"),"","Office Verification: ____________",""))</f>
        <v/>
      </c>
      <c r="E32" s="53">
        <f>IF($N32&lt;&gt;"",INDEX(tblBilling[VLAN ID],$N32),"")</f>
        <v/>
      </c>
      <c r="F32" s="52">
        <f>IF($N32&lt;&gt;"",INDEX(tblBilling[Due Date],$N32),"")</f>
        <v/>
      </c>
      <c r="G32" s="54">
        <f>IF($N32&lt;&gt;"",INDEX(tblBilling[Monthly Fee],$N32),IF($O32=1,PC_TotalFee,""))</f>
        <v/>
      </c>
      <c r="H32" s="54">
        <f>IF($N32&lt;&gt;"",INDEX(tblBilling[Amount Paid],$N32),IF($O32=1,PC_TotalPaid,""))</f>
        <v/>
      </c>
      <c r="I32" s="54">
        <f>IF($N32&lt;&gt;"",INDEX(tblBilling[Balance],$N32),IF($O32=1,PC_TotalBalance,""))</f>
        <v/>
      </c>
      <c r="J32" s="53">
        <f>IF($N32&lt;&gt;"",INDEX(tblBilling[Payment Status],$N32),"")</f>
        <v/>
      </c>
      <c r="K32" s="55">
        <f>IF($N32&lt;&gt;"",IF(INDEX(tblBilling[Last Payment Date],$N32)="","",INDEX(tblBilling[Last Payment Date],$N32)),"")</f>
        <v/>
      </c>
      <c r="L32" s="53">
        <f>IF($N32&lt;&gt;"",INDEX(tblBilling[Collector Name],$N32),"")</f>
        <v/>
      </c>
      <c r="N32">
        <f>IF(N31="","",IFERROR(N31+MATCH(1,INDEX(tblBilling[Print Match],N31+1):INDEX(tblBilling[Print Match],ROWS(tblBilling[Print Match])),0),""))</f>
        <v/>
      </c>
      <c r="O32">
        <f>ROW()-9-MIN(PC_Count,500)</f>
        <v/>
      </c>
    </row>
    <row r="33" ht="20" customHeight="1">
      <c r="A33" s="52">
        <f>IF($N33="","",ROW()-9)</f>
        <v/>
      </c>
      <c r="B33" s="53">
        <f>IF($N33&lt;&gt;"",INDEX(tblBilling[Customer ID],$N33),"")</f>
        <v/>
      </c>
      <c r="C33" s="53">
        <f>IF($N33&lt;&gt;"",INDEX(tblBilling[Customer Name],$N33),CHOOSE(MIN(MAX($O33,0),7)+1,"","TOTAL","","Total Customers: "&amp;PC_Count,"Total Recovered: "&amp;CFG_CurrencySymbol&amp;" "&amp;TEXT(PC_TotalPaid,"#,##0"),"","Collector Signature: ____________",""))</f>
        <v/>
      </c>
      <c r="D33" s="53">
        <f>IF($N33&lt;&gt;"",INDEX(tblBilling[Full Address],$N33),CHOOSE(MIN(MAX($O33,0),7)+1,"","","","Total Billing: "&amp;CFG_CurrencySymbol&amp;" "&amp;TEXT(PC_TotalFee,"#,##0"),"Total Pending: "&amp;CFG_CurrencySymbol&amp;" "&amp;TEXT(PC_TotalBalance,"#,##0"),"","Office Verification: ____________",""))</f>
        <v/>
      </c>
      <c r="E33" s="53">
        <f>IF($N33&lt;&gt;"",INDEX(tblBilling[VLAN ID],$N33),"")</f>
        <v/>
      </c>
      <c r="F33" s="52">
        <f>IF($N33&lt;&gt;"",INDEX(tblBilling[Due Date],$N33),"")</f>
        <v/>
      </c>
      <c r="G33" s="54">
        <f>IF($N33&lt;&gt;"",INDEX(tblBilling[Monthly Fee],$N33),IF($O33=1,PC_TotalFee,""))</f>
        <v/>
      </c>
      <c r="H33" s="54">
        <f>IF($N33&lt;&gt;"",INDEX(tblBilling[Amount Paid],$N33),IF($O33=1,PC_TotalPaid,""))</f>
        <v/>
      </c>
      <c r="I33" s="54">
        <f>IF($N33&lt;&gt;"",INDEX(tblBilling[Balance],$N33),IF($O33=1,PC_TotalBalance,""))</f>
        <v/>
      </c>
      <c r="J33" s="53">
        <f>IF($N33&lt;&gt;"",INDEX(tblBilling[Payment Status],$N33),"")</f>
        <v/>
      </c>
      <c r="K33" s="55">
        <f>IF($N33&lt;&gt;"",IF(INDEX(tblBilling[Last Payment Date],$N33)="","",INDEX(tblBilling[Last Payment Date],$N33)),"")</f>
        <v/>
      </c>
      <c r="L33" s="53">
        <f>IF($N33&lt;&gt;"",INDEX(tblBilling[Collector Name],$N33),"")</f>
        <v/>
      </c>
      <c r="N33">
        <f>IF(N32="","",IFERROR(N32+MATCH(1,INDEX(tblBilling[Print Match],N32+1):INDEX(tblBilling[Print Match],ROWS(tblBilling[Print Match])),0),""))</f>
        <v/>
      </c>
      <c r="O33">
        <f>ROW()-9-MIN(PC_Count,500)</f>
        <v/>
      </c>
    </row>
    <row r="34" ht="20" customHeight="1">
      <c r="A34" s="52">
        <f>IF($N34="","",ROW()-9)</f>
        <v/>
      </c>
      <c r="B34" s="53">
        <f>IF($N34&lt;&gt;"",INDEX(tblBilling[Customer ID],$N34),"")</f>
        <v/>
      </c>
      <c r="C34" s="53">
        <f>IF($N34&lt;&gt;"",INDEX(tblBilling[Customer Name],$N34),CHOOSE(MIN(MAX($O34,0),7)+1,"","TOTAL","","Total Customers: "&amp;PC_Count,"Total Recovered: "&amp;CFG_CurrencySymbol&amp;" "&amp;TEXT(PC_TotalPaid,"#,##0"),"","Collector Signature: ____________",""))</f>
        <v/>
      </c>
      <c r="D34" s="53">
        <f>IF($N34&lt;&gt;"",INDEX(tblBilling[Full Address],$N34),CHOOSE(MIN(MAX($O34,0),7)+1,"","","","Total Billing: "&amp;CFG_CurrencySymbol&amp;" "&amp;TEXT(PC_TotalFee,"#,##0"),"Total Pending: "&amp;CFG_CurrencySymbol&amp;" "&amp;TEXT(PC_TotalBalance,"#,##0"),"","Office Verification: ____________",""))</f>
        <v/>
      </c>
      <c r="E34" s="53">
        <f>IF($N34&lt;&gt;"",INDEX(tblBilling[VLAN ID],$N34),"")</f>
        <v/>
      </c>
      <c r="F34" s="52">
        <f>IF($N34&lt;&gt;"",INDEX(tblBilling[Due Date],$N34),"")</f>
        <v/>
      </c>
      <c r="G34" s="54">
        <f>IF($N34&lt;&gt;"",INDEX(tblBilling[Monthly Fee],$N34),IF($O34=1,PC_TotalFee,""))</f>
        <v/>
      </c>
      <c r="H34" s="54">
        <f>IF($N34&lt;&gt;"",INDEX(tblBilling[Amount Paid],$N34),IF($O34=1,PC_TotalPaid,""))</f>
        <v/>
      </c>
      <c r="I34" s="54">
        <f>IF($N34&lt;&gt;"",INDEX(tblBilling[Balance],$N34),IF($O34=1,PC_TotalBalance,""))</f>
        <v/>
      </c>
      <c r="J34" s="53">
        <f>IF($N34&lt;&gt;"",INDEX(tblBilling[Payment Status],$N34),"")</f>
        <v/>
      </c>
      <c r="K34" s="55">
        <f>IF($N34&lt;&gt;"",IF(INDEX(tblBilling[Last Payment Date],$N34)="","",INDEX(tblBilling[Last Payment Date],$N34)),"")</f>
        <v/>
      </c>
      <c r="L34" s="53">
        <f>IF($N34&lt;&gt;"",INDEX(tblBilling[Collector Name],$N34),"")</f>
        <v/>
      </c>
      <c r="N34">
        <f>IF(N33="","",IFERROR(N33+MATCH(1,INDEX(tblBilling[Print Match],N33+1):INDEX(tblBilling[Print Match],ROWS(tblBilling[Print Match])),0),""))</f>
        <v/>
      </c>
      <c r="O34">
        <f>ROW()-9-MIN(PC_Count,500)</f>
        <v/>
      </c>
    </row>
    <row r="35" ht="20" customHeight="1">
      <c r="A35" s="52">
        <f>IF($N35="","",ROW()-9)</f>
        <v/>
      </c>
      <c r="B35" s="53">
        <f>IF($N35&lt;&gt;"",INDEX(tblBilling[Customer ID],$N35),"")</f>
        <v/>
      </c>
      <c r="C35" s="53">
        <f>IF($N35&lt;&gt;"",INDEX(tblBilling[Customer Name],$N35),CHOOSE(MIN(MAX($O35,0),7)+1,"","TOTAL","","Total Customers: "&amp;PC_Count,"Total Recovered: "&amp;CFG_CurrencySymbol&amp;" "&amp;TEXT(PC_TotalPaid,"#,##0"),"","Collector Signature: ____________",""))</f>
        <v/>
      </c>
      <c r="D35" s="53">
        <f>IF($N35&lt;&gt;"",INDEX(tblBilling[Full Address],$N35),CHOOSE(MIN(MAX($O35,0),7)+1,"","","","Total Billing: "&amp;CFG_CurrencySymbol&amp;" "&amp;TEXT(PC_TotalFee,"#,##0"),"Total Pending: "&amp;CFG_CurrencySymbol&amp;" "&amp;TEXT(PC_TotalBalance,"#,##0"),"","Office Verification: ____________",""))</f>
        <v/>
      </c>
      <c r="E35" s="53">
        <f>IF($N35&lt;&gt;"",INDEX(tblBilling[VLAN ID],$N35),"")</f>
        <v/>
      </c>
      <c r="F35" s="52">
        <f>IF($N35&lt;&gt;"",INDEX(tblBilling[Due Date],$N35),"")</f>
        <v/>
      </c>
      <c r="G35" s="54">
        <f>IF($N35&lt;&gt;"",INDEX(tblBilling[Monthly Fee],$N35),IF($O35=1,PC_TotalFee,""))</f>
        <v/>
      </c>
      <c r="H35" s="54">
        <f>IF($N35&lt;&gt;"",INDEX(tblBilling[Amount Paid],$N35),IF($O35=1,PC_TotalPaid,""))</f>
        <v/>
      </c>
      <c r="I35" s="54">
        <f>IF($N35&lt;&gt;"",INDEX(tblBilling[Balance],$N35),IF($O35=1,PC_TotalBalance,""))</f>
        <v/>
      </c>
      <c r="J35" s="53">
        <f>IF($N35&lt;&gt;"",INDEX(tblBilling[Payment Status],$N35),"")</f>
        <v/>
      </c>
      <c r="K35" s="55">
        <f>IF($N35&lt;&gt;"",IF(INDEX(tblBilling[Last Payment Date],$N35)="","",INDEX(tblBilling[Last Payment Date],$N35)),"")</f>
        <v/>
      </c>
      <c r="L35" s="53">
        <f>IF($N35&lt;&gt;"",INDEX(tblBilling[Collector Name],$N35),"")</f>
        <v/>
      </c>
      <c r="N35">
        <f>IF(N34="","",IFERROR(N34+MATCH(1,INDEX(tblBilling[Print Match],N34+1):INDEX(tblBilling[Print Match],ROWS(tblBilling[Print Match])),0),""))</f>
        <v/>
      </c>
      <c r="O35">
        <f>ROW()-9-MIN(PC_Count,500)</f>
        <v/>
      </c>
    </row>
    <row r="36" ht="20" customHeight="1">
      <c r="A36" s="52">
        <f>IF($N36="","",ROW()-9)</f>
        <v/>
      </c>
      <c r="B36" s="53">
        <f>IF($N36&lt;&gt;"",INDEX(tblBilling[Customer ID],$N36),"")</f>
        <v/>
      </c>
      <c r="C36" s="53">
        <f>IF($N36&lt;&gt;"",INDEX(tblBilling[Customer Name],$N36),CHOOSE(MIN(MAX($O36,0),7)+1,"","TOTAL","","Total Customers: "&amp;PC_Count,"Total Recovered: "&amp;CFG_CurrencySymbol&amp;" "&amp;TEXT(PC_TotalPaid,"#,##0"),"","Collector Signature: ____________",""))</f>
        <v/>
      </c>
      <c r="D36" s="53">
        <f>IF($N36&lt;&gt;"",INDEX(tblBilling[Full Address],$N36),CHOOSE(MIN(MAX($O36,0),7)+1,"","","","Total Billing: "&amp;CFG_CurrencySymbol&amp;" "&amp;TEXT(PC_TotalFee,"#,##0"),"Total Pending: "&amp;CFG_CurrencySymbol&amp;" "&amp;TEXT(PC_TotalBalance,"#,##0"),"","Office Verification: ____________",""))</f>
        <v/>
      </c>
      <c r="E36" s="53">
        <f>IF($N36&lt;&gt;"",INDEX(tblBilling[VLAN ID],$N36),"")</f>
        <v/>
      </c>
      <c r="F36" s="52">
        <f>IF($N36&lt;&gt;"",INDEX(tblBilling[Due Date],$N36),"")</f>
        <v/>
      </c>
      <c r="G36" s="54">
        <f>IF($N36&lt;&gt;"",INDEX(tblBilling[Monthly Fee],$N36),IF($O36=1,PC_TotalFee,""))</f>
        <v/>
      </c>
      <c r="H36" s="54">
        <f>IF($N36&lt;&gt;"",INDEX(tblBilling[Amount Paid],$N36),IF($O36=1,PC_TotalPaid,""))</f>
        <v/>
      </c>
      <c r="I36" s="54">
        <f>IF($N36&lt;&gt;"",INDEX(tblBilling[Balance],$N36),IF($O36=1,PC_TotalBalance,""))</f>
        <v/>
      </c>
      <c r="J36" s="53">
        <f>IF($N36&lt;&gt;"",INDEX(tblBilling[Payment Status],$N36),"")</f>
        <v/>
      </c>
      <c r="K36" s="55">
        <f>IF($N36&lt;&gt;"",IF(INDEX(tblBilling[Last Payment Date],$N36)="","",INDEX(tblBilling[Last Payment Date],$N36)),"")</f>
        <v/>
      </c>
      <c r="L36" s="53">
        <f>IF($N36&lt;&gt;"",INDEX(tblBilling[Collector Name],$N36),"")</f>
        <v/>
      </c>
      <c r="N36">
        <f>IF(N35="","",IFERROR(N35+MATCH(1,INDEX(tblBilling[Print Match],N35+1):INDEX(tblBilling[Print Match],ROWS(tblBilling[Print Match])),0),""))</f>
        <v/>
      </c>
      <c r="O36">
        <f>ROW()-9-MIN(PC_Count,500)</f>
        <v/>
      </c>
    </row>
    <row r="37" ht="20" customHeight="1">
      <c r="A37" s="52">
        <f>IF($N37="","",ROW()-9)</f>
        <v/>
      </c>
      <c r="B37" s="53">
        <f>IF($N37&lt;&gt;"",INDEX(tblBilling[Customer ID],$N37),"")</f>
        <v/>
      </c>
      <c r="C37" s="53">
        <f>IF($N37&lt;&gt;"",INDEX(tblBilling[Customer Name],$N37),CHOOSE(MIN(MAX($O37,0),7)+1,"","TOTAL","","Total Customers: "&amp;PC_Count,"Total Recovered: "&amp;CFG_CurrencySymbol&amp;" "&amp;TEXT(PC_TotalPaid,"#,##0"),"","Collector Signature: ____________",""))</f>
        <v/>
      </c>
      <c r="D37" s="53">
        <f>IF($N37&lt;&gt;"",INDEX(tblBilling[Full Address],$N37),CHOOSE(MIN(MAX($O37,0),7)+1,"","","","Total Billing: "&amp;CFG_CurrencySymbol&amp;" "&amp;TEXT(PC_TotalFee,"#,##0"),"Total Pending: "&amp;CFG_CurrencySymbol&amp;" "&amp;TEXT(PC_TotalBalance,"#,##0"),"","Office Verification: ____________",""))</f>
        <v/>
      </c>
      <c r="E37" s="53">
        <f>IF($N37&lt;&gt;"",INDEX(tblBilling[VLAN ID],$N37),"")</f>
        <v/>
      </c>
      <c r="F37" s="52">
        <f>IF($N37&lt;&gt;"",INDEX(tblBilling[Due Date],$N37),"")</f>
        <v/>
      </c>
      <c r="G37" s="54">
        <f>IF($N37&lt;&gt;"",INDEX(tblBilling[Monthly Fee],$N37),IF($O37=1,PC_TotalFee,""))</f>
        <v/>
      </c>
      <c r="H37" s="54">
        <f>IF($N37&lt;&gt;"",INDEX(tblBilling[Amount Paid],$N37),IF($O37=1,PC_TotalPaid,""))</f>
        <v/>
      </c>
      <c r="I37" s="54">
        <f>IF($N37&lt;&gt;"",INDEX(tblBilling[Balance],$N37),IF($O37=1,PC_TotalBalance,""))</f>
        <v/>
      </c>
      <c r="J37" s="53">
        <f>IF($N37&lt;&gt;"",INDEX(tblBilling[Payment Status],$N37),"")</f>
        <v/>
      </c>
      <c r="K37" s="55">
        <f>IF($N37&lt;&gt;"",IF(INDEX(tblBilling[Last Payment Date],$N37)="","",INDEX(tblBilling[Last Payment Date],$N37)),"")</f>
        <v/>
      </c>
      <c r="L37" s="53">
        <f>IF($N37&lt;&gt;"",INDEX(tblBilling[Collector Name],$N37),"")</f>
        <v/>
      </c>
      <c r="N37">
        <f>IF(N36="","",IFERROR(N36+MATCH(1,INDEX(tblBilling[Print Match],N36+1):INDEX(tblBilling[Print Match],ROWS(tblBilling[Print Match])),0),""))</f>
        <v/>
      </c>
      <c r="O37">
        <f>ROW()-9-MIN(PC_Count,500)</f>
        <v/>
      </c>
    </row>
    <row r="38" ht="20" customHeight="1">
      <c r="A38" s="52">
        <f>IF($N38="","",ROW()-9)</f>
        <v/>
      </c>
      <c r="B38" s="53">
        <f>IF($N38&lt;&gt;"",INDEX(tblBilling[Customer ID],$N38),"")</f>
        <v/>
      </c>
      <c r="C38" s="53">
        <f>IF($N38&lt;&gt;"",INDEX(tblBilling[Customer Name],$N38),CHOOSE(MIN(MAX($O38,0),7)+1,"","TOTAL","","Total Customers: "&amp;PC_Count,"Total Recovered: "&amp;CFG_CurrencySymbol&amp;" "&amp;TEXT(PC_TotalPaid,"#,##0"),"","Collector Signature: ____________",""))</f>
        <v/>
      </c>
      <c r="D38" s="53">
        <f>IF($N38&lt;&gt;"",INDEX(tblBilling[Full Address],$N38),CHOOSE(MIN(MAX($O38,0),7)+1,"","","","Total Billing: "&amp;CFG_CurrencySymbol&amp;" "&amp;TEXT(PC_TotalFee,"#,##0"),"Total Pending: "&amp;CFG_CurrencySymbol&amp;" "&amp;TEXT(PC_TotalBalance,"#,##0"),"","Office Verification: ____________",""))</f>
        <v/>
      </c>
      <c r="E38" s="53">
        <f>IF($N38&lt;&gt;"",INDEX(tblBilling[VLAN ID],$N38),"")</f>
        <v/>
      </c>
      <c r="F38" s="52">
        <f>IF($N38&lt;&gt;"",INDEX(tblBilling[Due Date],$N38),"")</f>
        <v/>
      </c>
      <c r="G38" s="54">
        <f>IF($N38&lt;&gt;"",INDEX(tblBilling[Monthly Fee],$N38),IF($O38=1,PC_TotalFee,""))</f>
        <v/>
      </c>
      <c r="H38" s="54">
        <f>IF($N38&lt;&gt;"",INDEX(tblBilling[Amount Paid],$N38),IF($O38=1,PC_TotalPaid,""))</f>
        <v/>
      </c>
      <c r="I38" s="54">
        <f>IF($N38&lt;&gt;"",INDEX(tblBilling[Balance],$N38),IF($O38=1,PC_TotalBalance,""))</f>
        <v/>
      </c>
      <c r="J38" s="53">
        <f>IF($N38&lt;&gt;"",INDEX(tblBilling[Payment Status],$N38),"")</f>
        <v/>
      </c>
      <c r="K38" s="55">
        <f>IF($N38&lt;&gt;"",IF(INDEX(tblBilling[Last Payment Date],$N38)="","",INDEX(tblBilling[Last Payment Date],$N38)),"")</f>
        <v/>
      </c>
      <c r="L38" s="53">
        <f>IF($N38&lt;&gt;"",INDEX(tblBilling[Collector Name],$N38),"")</f>
        <v/>
      </c>
      <c r="N38">
        <f>IF(N37="","",IFERROR(N37+MATCH(1,INDEX(tblBilling[Print Match],N37+1):INDEX(tblBilling[Print Match],ROWS(tblBilling[Print Match])),0),""))</f>
        <v/>
      </c>
      <c r="O38">
        <f>ROW()-9-MIN(PC_Count,500)</f>
        <v/>
      </c>
    </row>
    <row r="39" ht="20" customHeight="1">
      <c r="A39" s="52">
        <f>IF($N39="","",ROW()-9)</f>
        <v/>
      </c>
      <c r="B39" s="53">
        <f>IF($N39&lt;&gt;"",INDEX(tblBilling[Customer ID],$N39),"")</f>
        <v/>
      </c>
      <c r="C39" s="53">
        <f>IF($N39&lt;&gt;"",INDEX(tblBilling[Customer Name],$N39),CHOOSE(MIN(MAX($O39,0),7)+1,"","TOTAL","","Total Customers: "&amp;PC_Count,"Total Recovered: "&amp;CFG_CurrencySymbol&amp;" "&amp;TEXT(PC_TotalPaid,"#,##0"),"","Collector Signature: ____________",""))</f>
        <v/>
      </c>
      <c r="D39" s="53">
        <f>IF($N39&lt;&gt;"",INDEX(tblBilling[Full Address],$N39),CHOOSE(MIN(MAX($O39,0),7)+1,"","","","Total Billing: "&amp;CFG_CurrencySymbol&amp;" "&amp;TEXT(PC_TotalFee,"#,##0"),"Total Pending: "&amp;CFG_CurrencySymbol&amp;" "&amp;TEXT(PC_TotalBalance,"#,##0"),"","Office Verification: ____________",""))</f>
        <v/>
      </c>
      <c r="E39" s="53">
        <f>IF($N39&lt;&gt;"",INDEX(tblBilling[VLAN ID],$N39),"")</f>
        <v/>
      </c>
      <c r="F39" s="52">
        <f>IF($N39&lt;&gt;"",INDEX(tblBilling[Due Date],$N39),"")</f>
        <v/>
      </c>
      <c r="G39" s="54">
        <f>IF($N39&lt;&gt;"",INDEX(tblBilling[Monthly Fee],$N39),IF($O39=1,PC_TotalFee,""))</f>
        <v/>
      </c>
      <c r="H39" s="54">
        <f>IF($N39&lt;&gt;"",INDEX(tblBilling[Amount Paid],$N39),IF($O39=1,PC_TotalPaid,""))</f>
        <v/>
      </c>
      <c r="I39" s="54">
        <f>IF($N39&lt;&gt;"",INDEX(tblBilling[Balance],$N39),IF($O39=1,PC_TotalBalance,""))</f>
        <v/>
      </c>
      <c r="J39" s="53">
        <f>IF($N39&lt;&gt;"",INDEX(tblBilling[Payment Status],$N39),"")</f>
        <v/>
      </c>
      <c r="K39" s="55">
        <f>IF($N39&lt;&gt;"",IF(INDEX(tblBilling[Last Payment Date],$N39)="","",INDEX(tblBilling[Last Payment Date],$N39)),"")</f>
        <v/>
      </c>
      <c r="L39" s="53">
        <f>IF($N39&lt;&gt;"",INDEX(tblBilling[Collector Name],$N39),"")</f>
        <v/>
      </c>
      <c r="N39">
        <f>IF(N38="","",IFERROR(N38+MATCH(1,INDEX(tblBilling[Print Match],N38+1):INDEX(tblBilling[Print Match],ROWS(tblBilling[Print Match])),0),""))</f>
        <v/>
      </c>
      <c r="O39">
        <f>ROW()-9-MIN(PC_Count,500)</f>
        <v/>
      </c>
    </row>
    <row r="40" ht="20" customHeight="1">
      <c r="A40" s="52">
        <f>IF($N40="","",ROW()-9)</f>
        <v/>
      </c>
      <c r="B40" s="53">
        <f>IF($N40&lt;&gt;"",INDEX(tblBilling[Customer ID],$N40),"")</f>
        <v/>
      </c>
      <c r="C40" s="53">
        <f>IF($N40&lt;&gt;"",INDEX(tblBilling[Customer Name],$N40),CHOOSE(MIN(MAX($O40,0),7)+1,"","TOTAL","","Total Customers: "&amp;PC_Count,"Total Recovered: "&amp;CFG_CurrencySymbol&amp;" "&amp;TEXT(PC_TotalPaid,"#,##0"),"","Collector Signature: ____________",""))</f>
        <v/>
      </c>
      <c r="D40" s="53">
        <f>IF($N40&lt;&gt;"",INDEX(tblBilling[Full Address],$N40),CHOOSE(MIN(MAX($O40,0),7)+1,"","","","Total Billing: "&amp;CFG_CurrencySymbol&amp;" "&amp;TEXT(PC_TotalFee,"#,##0"),"Total Pending: "&amp;CFG_CurrencySymbol&amp;" "&amp;TEXT(PC_TotalBalance,"#,##0"),"","Office Verification: ____________",""))</f>
        <v/>
      </c>
      <c r="E40" s="53">
        <f>IF($N40&lt;&gt;"",INDEX(tblBilling[VLAN ID],$N40),"")</f>
        <v/>
      </c>
      <c r="F40" s="52">
        <f>IF($N40&lt;&gt;"",INDEX(tblBilling[Due Date],$N40),"")</f>
        <v/>
      </c>
      <c r="G40" s="54">
        <f>IF($N40&lt;&gt;"",INDEX(tblBilling[Monthly Fee],$N40),IF($O40=1,PC_TotalFee,""))</f>
        <v/>
      </c>
      <c r="H40" s="54">
        <f>IF($N40&lt;&gt;"",INDEX(tblBilling[Amount Paid],$N40),IF($O40=1,PC_TotalPaid,""))</f>
        <v/>
      </c>
      <c r="I40" s="54">
        <f>IF($N40&lt;&gt;"",INDEX(tblBilling[Balance],$N40),IF($O40=1,PC_TotalBalance,""))</f>
        <v/>
      </c>
      <c r="J40" s="53">
        <f>IF($N40&lt;&gt;"",INDEX(tblBilling[Payment Status],$N40),"")</f>
        <v/>
      </c>
      <c r="K40" s="55">
        <f>IF($N40&lt;&gt;"",IF(INDEX(tblBilling[Last Payment Date],$N40)="","",INDEX(tblBilling[Last Payment Date],$N40)),"")</f>
        <v/>
      </c>
      <c r="L40" s="53">
        <f>IF($N40&lt;&gt;"",INDEX(tblBilling[Collector Name],$N40),"")</f>
        <v/>
      </c>
      <c r="N40">
        <f>IF(N39="","",IFERROR(N39+MATCH(1,INDEX(tblBilling[Print Match],N39+1):INDEX(tblBilling[Print Match],ROWS(tblBilling[Print Match])),0),""))</f>
        <v/>
      </c>
      <c r="O40">
        <f>ROW()-9-MIN(PC_Count,500)</f>
        <v/>
      </c>
    </row>
    <row r="41" ht="20" customHeight="1">
      <c r="A41" s="52">
        <f>IF($N41="","",ROW()-9)</f>
        <v/>
      </c>
      <c r="B41" s="53">
        <f>IF($N41&lt;&gt;"",INDEX(tblBilling[Customer ID],$N41),"")</f>
        <v/>
      </c>
      <c r="C41" s="53">
        <f>IF($N41&lt;&gt;"",INDEX(tblBilling[Customer Name],$N41),CHOOSE(MIN(MAX($O41,0),7)+1,"","TOTAL","","Total Customers: "&amp;PC_Count,"Total Recovered: "&amp;CFG_CurrencySymbol&amp;" "&amp;TEXT(PC_TotalPaid,"#,##0"),"","Collector Signature: ____________",""))</f>
        <v/>
      </c>
      <c r="D41" s="53">
        <f>IF($N41&lt;&gt;"",INDEX(tblBilling[Full Address],$N41),CHOOSE(MIN(MAX($O41,0),7)+1,"","","","Total Billing: "&amp;CFG_CurrencySymbol&amp;" "&amp;TEXT(PC_TotalFee,"#,##0"),"Total Pending: "&amp;CFG_CurrencySymbol&amp;" "&amp;TEXT(PC_TotalBalance,"#,##0"),"","Office Verification: ____________",""))</f>
        <v/>
      </c>
      <c r="E41" s="53">
        <f>IF($N41&lt;&gt;"",INDEX(tblBilling[VLAN ID],$N41),"")</f>
        <v/>
      </c>
      <c r="F41" s="52">
        <f>IF($N41&lt;&gt;"",INDEX(tblBilling[Due Date],$N41),"")</f>
        <v/>
      </c>
      <c r="G41" s="54">
        <f>IF($N41&lt;&gt;"",INDEX(tblBilling[Monthly Fee],$N41),IF($O41=1,PC_TotalFee,""))</f>
        <v/>
      </c>
      <c r="H41" s="54">
        <f>IF($N41&lt;&gt;"",INDEX(tblBilling[Amount Paid],$N41),IF($O41=1,PC_TotalPaid,""))</f>
        <v/>
      </c>
      <c r="I41" s="54">
        <f>IF($N41&lt;&gt;"",INDEX(tblBilling[Balance],$N41),IF($O41=1,PC_TotalBalance,""))</f>
        <v/>
      </c>
      <c r="J41" s="53">
        <f>IF($N41&lt;&gt;"",INDEX(tblBilling[Payment Status],$N41),"")</f>
        <v/>
      </c>
      <c r="K41" s="55">
        <f>IF($N41&lt;&gt;"",IF(INDEX(tblBilling[Last Payment Date],$N41)="","",INDEX(tblBilling[Last Payment Date],$N41)),"")</f>
        <v/>
      </c>
      <c r="L41" s="53">
        <f>IF($N41&lt;&gt;"",INDEX(tblBilling[Collector Name],$N41),"")</f>
        <v/>
      </c>
      <c r="N41">
        <f>IF(N40="","",IFERROR(N40+MATCH(1,INDEX(tblBilling[Print Match],N40+1):INDEX(tblBilling[Print Match],ROWS(tblBilling[Print Match])),0),""))</f>
        <v/>
      </c>
      <c r="O41">
        <f>ROW()-9-MIN(PC_Count,500)</f>
        <v/>
      </c>
    </row>
    <row r="42" ht="20" customHeight="1">
      <c r="A42" s="52">
        <f>IF($N42="","",ROW()-9)</f>
        <v/>
      </c>
      <c r="B42" s="53">
        <f>IF($N42&lt;&gt;"",INDEX(tblBilling[Customer ID],$N42),"")</f>
        <v/>
      </c>
      <c r="C42" s="53">
        <f>IF($N42&lt;&gt;"",INDEX(tblBilling[Customer Name],$N42),CHOOSE(MIN(MAX($O42,0),7)+1,"","TOTAL","","Total Customers: "&amp;PC_Count,"Total Recovered: "&amp;CFG_CurrencySymbol&amp;" "&amp;TEXT(PC_TotalPaid,"#,##0"),"","Collector Signature: ____________",""))</f>
        <v/>
      </c>
      <c r="D42" s="53">
        <f>IF($N42&lt;&gt;"",INDEX(tblBilling[Full Address],$N42),CHOOSE(MIN(MAX($O42,0),7)+1,"","","","Total Billing: "&amp;CFG_CurrencySymbol&amp;" "&amp;TEXT(PC_TotalFee,"#,##0"),"Total Pending: "&amp;CFG_CurrencySymbol&amp;" "&amp;TEXT(PC_TotalBalance,"#,##0"),"","Office Verification: ____________",""))</f>
        <v/>
      </c>
      <c r="E42" s="53">
        <f>IF($N42&lt;&gt;"",INDEX(tblBilling[VLAN ID],$N42),"")</f>
        <v/>
      </c>
      <c r="F42" s="52">
        <f>IF($N42&lt;&gt;"",INDEX(tblBilling[Due Date],$N42),"")</f>
        <v/>
      </c>
      <c r="G42" s="54">
        <f>IF($N42&lt;&gt;"",INDEX(tblBilling[Monthly Fee],$N42),IF($O42=1,PC_TotalFee,""))</f>
        <v/>
      </c>
      <c r="H42" s="54">
        <f>IF($N42&lt;&gt;"",INDEX(tblBilling[Amount Paid],$N42),IF($O42=1,PC_TotalPaid,""))</f>
        <v/>
      </c>
      <c r="I42" s="54">
        <f>IF($N42&lt;&gt;"",INDEX(tblBilling[Balance],$N42),IF($O42=1,PC_TotalBalance,""))</f>
        <v/>
      </c>
      <c r="J42" s="53">
        <f>IF($N42&lt;&gt;"",INDEX(tblBilling[Payment Status],$N42),"")</f>
        <v/>
      </c>
      <c r="K42" s="55">
        <f>IF($N42&lt;&gt;"",IF(INDEX(tblBilling[Last Payment Date],$N42)="","",INDEX(tblBilling[Last Payment Date],$N42)),"")</f>
        <v/>
      </c>
      <c r="L42" s="53">
        <f>IF($N42&lt;&gt;"",INDEX(tblBilling[Collector Name],$N42),"")</f>
        <v/>
      </c>
      <c r="N42">
        <f>IF(N41="","",IFERROR(N41+MATCH(1,INDEX(tblBilling[Print Match],N41+1):INDEX(tblBilling[Print Match],ROWS(tblBilling[Print Match])),0),""))</f>
        <v/>
      </c>
      <c r="O42">
        <f>ROW()-9-MIN(PC_Count,500)</f>
        <v/>
      </c>
    </row>
    <row r="43" ht="20" customHeight="1">
      <c r="A43" s="52">
        <f>IF($N43="","",ROW()-9)</f>
        <v/>
      </c>
      <c r="B43" s="53">
        <f>IF($N43&lt;&gt;"",INDEX(tblBilling[Customer ID],$N43),"")</f>
        <v/>
      </c>
      <c r="C43" s="53">
        <f>IF($N43&lt;&gt;"",INDEX(tblBilling[Customer Name],$N43),CHOOSE(MIN(MAX($O43,0),7)+1,"","TOTAL","","Total Customers: "&amp;PC_Count,"Total Recovered: "&amp;CFG_CurrencySymbol&amp;" "&amp;TEXT(PC_TotalPaid,"#,##0"),"","Collector Signature: ____________",""))</f>
        <v/>
      </c>
      <c r="D43" s="53">
        <f>IF($N43&lt;&gt;"",INDEX(tblBilling[Full Address],$N43),CHOOSE(MIN(MAX($O43,0),7)+1,"","","","Total Billing: "&amp;CFG_CurrencySymbol&amp;" "&amp;TEXT(PC_TotalFee,"#,##0"),"Total Pending: "&amp;CFG_CurrencySymbol&amp;" "&amp;TEXT(PC_TotalBalance,"#,##0"),"","Office Verification: ____________",""))</f>
        <v/>
      </c>
      <c r="E43" s="53">
        <f>IF($N43&lt;&gt;"",INDEX(tblBilling[VLAN ID],$N43),"")</f>
        <v/>
      </c>
      <c r="F43" s="52">
        <f>IF($N43&lt;&gt;"",INDEX(tblBilling[Due Date],$N43),"")</f>
        <v/>
      </c>
      <c r="G43" s="54">
        <f>IF($N43&lt;&gt;"",INDEX(tblBilling[Monthly Fee],$N43),IF($O43=1,PC_TotalFee,""))</f>
        <v/>
      </c>
      <c r="H43" s="54">
        <f>IF($N43&lt;&gt;"",INDEX(tblBilling[Amount Paid],$N43),IF($O43=1,PC_TotalPaid,""))</f>
        <v/>
      </c>
      <c r="I43" s="54">
        <f>IF($N43&lt;&gt;"",INDEX(tblBilling[Balance],$N43),IF($O43=1,PC_TotalBalance,""))</f>
        <v/>
      </c>
      <c r="J43" s="53">
        <f>IF($N43&lt;&gt;"",INDEX(tblBilling[Payment Status],$N43),"")</f>
        <v/>
      </c>
      <c r="K43" s="55">
        <f>IF($N43&lt;&gt;"",IF(INDEX(tblBilling[Last Payment Date],$N43)="","",INDEX(tblBilling[Last Payment Date],$N43)),"")</f>
        <v/>
      </c>
      <c r="L43" s="53">
        <f>IF($N43&lt;&gt;"",INDEX(tblBilling[Collector Name],$N43),"")</f>
        <v/>
      </c>
      <c r="N43">
        <f>IF(N42="","",IFERROR(N42+MATCH(1,INDEX(tblBilling[Print Match],N42+1):INDEX(tblBilling[Print Match],ROWS(tblBilling[Print Match])),0),""))</f>
        <v/>
      </c>
      <c r="O43">
        <f>ROW()-9-MIN(PC_Count,500)</f>
        <v/>
      </c>
    </row>
    <row r="44" ht="20" customHeight="1">
      <c r="A44" s="52">
        <f>IF($N44="","",ROW()-9)</f>
        <v/>
      </c>
      <c r="B44" s="53">
        <f>IF($N44&lt;&gt;"",INDEX(tblBilling[Customer ID],$N44),"")</f>
        <v/>
      </c>
      <c r="C44" s="53">
        <f>IF($N44&lt;&gt;"",INDEX(tblBilling[Customer Name],$N44),CHOOSE(MIN(MAX($O44,0),7)+1,"","TOTAL","","Total Customers: "&amp;PC_Count,"Total Recovered: "&amp;CFG_CurrencySymbol&amp;" "&amp;TEXT(PC_TotalPaid,"#,##0"),"","Collector Signature: ____________",""))</f>
        <v/>
      </c>
      <c r="D44" s="53">
        <f>IF($N44&lt;&gt;"",INDEX(tblBilling[Full Address],$N44),CHOOSE(MIN(MAX($O44,0),7)+1,"","","","Total Billing: "&amp;CFG_CurrencySymbol&amp;" "&amp;TEXT(PC_TotalFee,"#,##0"),"Total Pending: "&amp;CFG_CurrencySymbol&amp;" "&amp;TEXT(PC_TotalBalance,"#,##0"),"","Office Verification: ____________",""))</f>
        <v/>
      </c>
      <c r="E44" s="53">
        <f>IF($N44&lt;&gt;"",INDEX(tblBilling[VLAN ID],$N44),"")</f>
        <v/>
      </c>
      <c r="F44" s="52">
        <f>IF($N44&lt;&gt;"",INDEX(tblBilling[Due Date],$N44),"")</f>
        <v/>
      </c>
      <c r="G44" s="54">
        <f>IF($N44&lt;&gt;"",INDEX(tblBilling[Monthly Fee],$N44),IF($O44=1,PC_TotalFee,""))</f>
        <v/>
      </c>
      <c r="H44" s="54">
        <f>IF($N44&lt;&gt;"",INDEX(tblBilling[Amount Paid],$N44),IF($O44=1,PC_TotalPaid,""))</f>
        <v/>
      </c>
      <c r="I44" s="54">
        <f>IF($N44&lt;&gt;"",INDEX(tblBilling[Balance],$N44),IF($O44=1,PC_TotalBalance,""))</f>
        <v/>
      </c>
      <c r="J44" s="53">
        <f>IF($N44&lt;&gt;"",INDEX(tblBilling[Payment Status],$N44),"")</f>
        <v/>
      </c>
      <c r="K44" s="55">
        <f>IF($N44&lt;&gt;"",IF(INDEX(tblBilling[Last Payment Date],$N44)="","",INDEX(tblBilling[Last Payment Date],$N44)),"")</f>
        <v/>
      </c>
      <c r="L44" s="53">
        <f>IF($N44&lt;&gt;"",INDEX(tblBilling[Collector Name],$N44),"")</f>
        <v/>
      </c>
      <c r="N44">
        <f>IF(N43="","",IFERROR(N43+MATCH(1,INDEX(tblBilling[Print Match],N43+1):INDEX(tblBilling[Print Match],ROWS(tblBilling[Print Match])),0),""))</f>
        <v/>
      </c>
      <c r="O44">
        <f>ROW()-9-MIN(PC_Count,500)</f>
        <v/>
      </c>
    </row>
    <row r="45" ht="20" customHeight="1">
      <c r="A45" s="52">
        <f>IF($N45="","",ROW()-9)</f>
        <v/>
      </c>
      <c r="B45" s="53">
        <f>IF($N45&lt;&gt;"",INDEX(tblBilling[Customer ID],$N45),"")</f>
        <v/>
      </c>
      <c r="C45" s="53">
        <f>IF($N45&lt;&gt;"",INDEX(tblBilling[Customer Name],$N45),CHOOSE(MIN(MAX($O45,0),7)+1,"","TOTAL","","Total Customers: "&amp;PC_Count,"Total Recovered: "&amp;CFG_CurrencySymbol&amp;" "&amp;TEXT(PC_TotalPaid,"#,##0"),"","Collector Signature: ____________",""))</f>
        <v/>
      </c>
      <c r="D45" s="53">
        <f>IF($N45&lt;&gt;"",INDEX(tblBilling[Full Address],$N45),CHOOSE(MIN(MAX($O45,0),7)+1,"","","","Total Billing: "&amp;CFG_CurrencySymbol&amp;" "&amp;TEXT(PC_TotalFee,"#,##0"),"Total Pending: "&amp;CFG_CurrencySymbol&amp;" "&amp;TEXT(PC_TotalBalance,"#,##0"),"","Office Verification: ____________",""))</f>
        <v/>
      </c>
      <c r="E45" s="53">
        <f>IF($N45&lt;&gt;"",INDEX(tblBilling[VLAN ID],$N45),"")</f>
        <v/>
      </c>
      <c r="F45" s="52">
        <f>IF($N45&lt;&gt;"",INDEX(tblBilling[Due Date],$N45),"")</f>
        <v/>
      </c>
      <c r="G45" s="54">
        <f>IF($N45&lt;&gt;"",INDEX(tblBilling[Monthly Fee],$N45),IF($O45=1,PC_TotalFee,""))</f>
        <v/>
      </c>
      <c r="H45" s="54">
        <f>IF($N45&lt;&gt;"",INDEX(tblBilling[Amount Paid],$N45),IF($O45=1,PC_TotalPaid,""))</f>
        <v/>
      </c>
      <c r="I45" s="54">
        <f>IF($N45&lt;&gt;"",INDEX(tblBilling[Balance],$N45),IF($O45=1,PC_TotalBalance,""))</f>
        <v/>
      </c>
      <c r="J45" s="53">
        <f>IF($N45&lt;&gt;"",INDEX(tblBilling[Payment Status],$N45),"")</f>
        <v/>
      </c>
      <c r="K45" s="55">
        <f>IF($N45&lt;&gt;"",IF(INDEX(tblBilling[Last Payment Date],$N45)="","",INDEX(tblBilling[Last Payment Date],$N45)),"")</f>
        <v/>
      </c>
      <c r="L45" s="53">
        <f>IF($N45&lt;&gt;"",INDEX(tblBilling[Collector Name],$N45),"")</f>
        <v/>
      </c>
      <c r="N45">
        <f>IF(N44="","",IFERROR(N44+MATCH(1,INDEX(tblBilling[Print Match],N44+1):INDEX(tblBilling[Print Match],ROWS(tblBilling[Print Match])),0),""))</f>
        <v/>
      </c>
      <c r="O45">
        <f>ROW()-9-MIN(PC_Count,500)</f>
        <v/>
      </c>
    </row>
    <row r="46" ht="20" customHeight="1">
      <c r="A46" s="52">
        <f>IF($N46="","",ROW()-9)</f>
        <v/>
      </c>
      <c r="B46" s="53">
        <f>IF($N46&lt;&gt;"",INDEX(tblBilling[Customer ID],$N46),"")</f>
        <v/>
      </c>
      <c r="C46" s="53">
        <f>IF($N46&lt;&gt;"",INDEX(tblBilling[Customer Name],$N46),CHOOSE(MIN(MAX($O46,0),7)+1,"","TOTAL","","Total Customers: "&amp;PC_Count,"Total Recovered: "&amp;CFG_CurrencySymbol&amp;" "&amp;TEXT(PC_TotalPaid,"#,##0"),"","Collector Signature: ____________",""))</f>
        <v/>
      </c>
      <c r="D46" s="53">
        <f>IF($N46&lt;&gt;"",INDEX(tblBilling[Full Address],$N46),CHOOSE(MIN(MAX($O46,0),7)+1,"","","","Total Billing: "&amp;CFG_CurrencySymbol&amp;" "&amp;TEXT(PC_TotalFee,"#,##0"),"Total Pending: "&amp;CFG_CurrencySymbol&amp;" "&amp;TEXT(PC_TotalBalance,"#,##0"),"","Office Verification: ____________",""))</f>
        <v/>
      </c>
      <c r="E46" s="53">
        <f>IF($N46&lt;&gt;"",INDEX(tblBilling[VLAN ID],$N46),"")</f>
        <v/>
      </c>
      <c r="F46" s="52">
        <f>IF($N46&lt;&gt;"",INDEX(tblBilling[Due Date],$N46),"")</f>
        <v/>
      </c>
      <c r="G46" s="54">
        <f>IF($N46&lt;&gt;"",INDEX(tblBilling[Monthly Fee],$N46),IF($O46=1,PC_TotalFee,""))</f>
        <v/>
      </c>
      <c r="H46" s="54">
        <f>IF($N46&lt;&gt;"",INDEX(tblBilling[Amount Paid],$N46),IF($O46=1,PC_TotalPaid,""))</f>
        <v/>
      </c>
      <c r="I46" s="54">
        <f>IF($N46&lt;&gt;"",INDEX(tblBilling[Balance],$N46),IF($O46=1,PC_TotalBalance,""))</f>
        <v/>
      </c>
      <c r="J46" s="53">
        <f>IF($N46&lt;&gt;"",INDEX(tblBilling[Payment Status],$N46),"")</f>
        <v/>
      </c>
      <c r="K46" s="55">
        <f>IF($N46&lt;&gt;"",IF(INDEX(tblBilling[Last Payment Date],$N46)="","",INDEX(tblBilling[Last Payment Date],$N46)),"")</f>
        <v/>
      </c>
      <c r="L46" s="53">
        <f>IF($N46&lt;&gt;"",INDEX(tblBilling[Collector Name],$N46),"")</f>
        <v/>
      </c>
      <c r="N46">
        <f>IF(N45="","",IFERROR(N45+MATCH(1,INDEX(tblBilling[Print Match],N45+1):INDEX(tblBilling[Print Match],ROWS(tblBilling[Print Match])),0),""))</f>
        <v/>
      </c>
      <c r="O46">
        <f>ROW()-9-MIN(PC_Count,500)</f>
        <v/>
      </c>
    </row>
    <row r="47" ht="20" customHeight="1">
      <c r="A47" s="52">
        <f>IF($N47="","",ROW()-9)</f>
        <v/>
      </c>
      <c r="B47" s="53">
        <f>IF($N47&lt;&gt;"",INDEX(tblBilling[Customer ID],$N47),"")</f>
        <v/>
      </c>
      <c r="C47" s="53">
        <f>IF($N47&lt;&gt;"",INDEX(tblBilling[Customer Name],$N47),CHOOSE(MIN(MAX($O47,0),7)+1,"","TOTAL","","Total Customers: "&amp;PC_Count,"Total Recovered: "&amp;CFG_CurrencySymbol&amp;" "&amp;TEXT(PC_TotalPaid,"#,##0"),"","Collector Signature: ____________",""))</f>
        <v/>
      </c>
      <c r="D47" s="53">
        <f>IF($N47&lt;&gt;"",INDEX(tblBilling[Full Address],$N47),CHOOSE(MIN(MAX($O47,0),7)+1,"","","","Total Billing: "&amp;CFG_CurrencySymbol&amp;" "&amp;TEXT(PC_TotalFee,"#,##0"),"Total Pending: "&amp;CFG_CurrencySymbol&amp;" "&amp;TEXT(PC_TotalBalance,"#,##0"),"","Office Verification: ____________",""))</f>
        <v/>
      </c>
      <c r="E47" s="53">
        <f>IF($N47&lt;&gt;"",INDEX(tblBilling[VLAN ID],$N47),"")</f>
        <v/>
      </c>
      <c r="F47" s="52">
        <f>IF($N47&lt;&gt;"",INDEX(tblBilling[Due Date],$N47),"")</f>
        <v/>
      </c>
      <c r="G47" s="54">
        <f>IF($N47&lt;&gt;"",INDEX(tblBilling[Monthly Fee],$N47),IF($O47=1,PC_TotalFee,""))</f>
        <v/>
      </c>
      <c r="H47" s="54">
        <f>IF($N47&lt;&gt;"",INDEX(tblBilling[Amount Paid],$N47),IF($O47=1,PC_TotalPaid,""))</f>
        <v/>
      </c>
      <c r="I47" s="54">
        <f>IF($N47&lt;&gt;"",INDEX(tblBilling[Balance],$N47),IF($O47=1,PC_TotalBalance,""))</f>
        <v/>
      </c>
      <c r="J47" s="53">
        <f>IF($N47&lt;&gt;"",INDEX(tblBilling[Payment Status],$N47),"")</f>
        <v/>
      </c>
      <c r="K47" s="55">
        <f>IF($N47&lt;&gt;"",IF(INDEX(tblBilling[Last Payment Date],$N47)="","",INDEX(tblBilling[Last Payment Date],$N47)),"")</f>
        <v/>
      </c>
      <c r="L47" s="53">
        <f>IF($N47&lt;&gt;"",INDEX(tblBilling[Collector Name],$N47),"")</f>
        <v/>
      </c>
      <c r="N47">
        <f>IF(N46="","",IFERROR(N46+MATCH(1,INDEX(tblBilling[Print Match],N46+1):INDEX(tblBilling[Print Match],ROWS(tblBilling[Print Match])),0),""))</f>
        <v/>
      </c>
      <c r="O47">
        <f>ROW()-9-MIN(PC_Count,500)</f>
        <v/>
      </c>
    </row>
    <row r="48" ht="20" customHeight="1">
      <c r="A48" s="52">
        <f>IF($N48="","",ROW()-9)</f>
        <v/>
      </c>
      <c r="B48" s="53">
        <f>IF($N48&lt;&gt;"",INDEX(tblBilling[Customer ID],$N48),"")</f>
        <v/>
      </c>
      <c r="C48" s="53">
        <f>IF($N48&lt;&gt;"",INDEX(tblBilling[Customer Name],$N48),CHOOSE(MIN(MAX($O48,0),7)+1,"","TOTAL","","Total Customers: "&amp;PC_Count,"Total Recovered: "&amp;CFG_CurrencySymbol&amp;" "&amp;TEXT(PC_TotalPaid,"#,##0"),"","Collector Signature: ____________",""))</f>
        <v/>
      </c>
      <c r="D48" s="53">
        <f>IF($N48&lt;&gt;"",INDEX(tblBilling[Full Address],$N48),CHOOSE(MIN(MAX($O48,0),7)+1,"","","","Total Billing: "&amp;CFG_CurrencySymbol&amp;" "&amp;TEXT(PC_TotalFee,"#,##0"),"Total Pending: "&amp;CFG_CurrencySymbol&amp;" "&amp;TEXT(PC_TotalBalance,"#,##0"),"","Office Verification: ____________",""))</f>
        <v/>
      </c>
      <c r="E48" s="53">
        <f>IF($N48&lt;&gt;"",INDEX(tblBilling[VLAN ID],$N48),"")</f>
        <v/>
      </c>
      <c r="F48" s="52">
        <f>IF($N48&lt;&gt;"",INDEX(tblBilling[Due Date],$N48),"")</f>
        <v/>
      </c>
      <c r="G48" s="54">
        <f>IF($N48&lt;&gt;"",INDEX(tblBilling[Monthly Fee],$N48),IF($O48=1,PC_TotalFee,""))</f>
        <v/>
      </c>
      <c r="H48" s="54">
        <f>IF($N48&lt;&gt;"",INDEX(tblBilling[Amount Paid],$N48),IF($O48=1,PC_TotalPaid,""))</f>
        <v/>
      </c>
      <c r="I48" s="54">
        <f>IF($N48&lt;&gt;"",INDEX(tblBilling[Balance],$N48),IF($O48=1,PC_TotalBalance,""))</f>
        <v/>
      </c>
      <c r="J48" s="53">
        <f>IF($N48&lt;&gt;"",INDEX(tblBilling[Payment Status],$N48),"")</f>
        <v/>
      </c>
      <c r="K48" s="55">
        <f>IF($N48&lt;&gt;"",IF(INDEX(tblBilling[Last Payment Date],$N48)="","",INDEX(tblBilling[Last Payment Date],$N48)),"")</f>
        <v/>
      </c>
      <c r="L48" s="53">
        <f>IF($N48&lt;&gt;"",INDEX(tblBilling[Collector Name],$N48),"")</f>
        <v/>
      </c>
      <c r="N48">
        <f>IF(N47="","",IFERROR(N47+MATCH(1,INDEX(tblBilling[Print Match],N47+1):INDEX(tblBilling[Print Match],ROWS(tblBilling[Print Match])),0),""))</f>
        <v/>
      </c>
      <c r="O48">
        <f>ROW()-9-MIN(PC_Count,500)</f>
        <v/>
      </c>
    </row>
    <row r="49" ht="20" customHeight="1">
      <c r="A49" s="52">
        <f>IF($N49="","",ROW()-9)</f>
        <v/>
      </c>
      <c r="B49" s="53">
        <f>IF($N49&lt;&gt;"",INDEX(tblBilling[Customer ID],$N49),"")</f>
        <v/>
      </c>
      <c r="C49" s="53">
        <f>IF($N49&lt;&gt;"",INDEX(tblBilling[Customer Name],$N49),CHOOSE(MIN(MAX($O49,0),7)+1,"","TOTAL","","Total Customers: "&amp;PC_Count,"Total Recovered: "&amp;CFG_CurrencySymbol&amp;" "&amp;TEXT(PC_TotalPaid,"#,##0"),"","Collector Signature: ____________",""))</f>
        <v/>
      </c>
      <c r="D49" s="53">
        <f>IF($N49&lt;&gt;"",INDEX(tblBilling[Full Address],$N49),CHOOSE(MIN(MAX($O49,0),7)+1,"","","","Total Billing: "&amp;CFG_CurrencySymbol&amp;" "&amp;TEXT(PC_TotalFee,"#,##0"),"Total Pending: "&amp;CFG_CurrencySymbol&amp;" "&amp;TEXT(PC_TotalBalance,"#,##0"),"","Office Verification: ____________",""))</f>
        <v/>
      </c>
      <c r="E49" s="53">
        <f>IF($N49&lt;&gt;"",INDEX(tblBilling[VLAN ID],$N49),"")</f>
        <v/>
      </c>
      <c r="F49" s="52">
        <f>IF($N49&lt;&gt;"",INDEX(tblBilling[Due Date],$N49),"")</f>
        <v/>
      </c>
      <c r="G49" s="54">
        <f>IF($N49&lt;&gt;"",INDEX(tblBilling[Monthly Fee],$N49),IF($O49=1,PC_TotalFee,""))</f>
        <v/>
      </c>
      <c r="H49" s="54">
        <f>IF($N49&lt;&gt;"",INDEX(tblBilling[Amount Paid],$N49),IF($O49=1,PC_TotalPaid,""))</f>
        <v/>
      </c>
      <c r="I49" s="54">
        <f>IF($N49&lt;&gt;"",INDEX(tblBilling[Balance],$N49),IF($O49=1,PC_TotalBalance,""))</f>
        <v/>
      </c>
      <c r="J49" s="53">
        <f>IF($N49&lt;&gt;"",INDEX(tblBilling[Payment Status],$N49),"")</f>
        <v/>
      </c>
      <c r="K49" s="55">
        <f>IF($N49&lt;&gt;"",IF(INDEX(tblBilling[Last Payment Date],$N49)="","",INDEX(tblBilling[Last Payment Date],$N49)),"")</f>
        <v/>
      </c>
      <c r="L49" s="53">
        <f>IF($N49&lt;&gt;"",INDEX(tblBilling[Collector Name],$N49),"")</f>
        <v/>
      </c>
      <c r="N49">
        <f>IF(N48="","",IFERROR(N48+MATCH(1,INDEX(tblBilling[Print Match],N48+1):INDEX(tblBilling[Print Match],ROWS(tblBilling[Print Match])),0),""))</f>
        <v/>
      </c>
      <c r="O49">
        <f>ROW()-9-MIN(PC_Count,500)</f>
        <v/>
      </c>
    </row>
    <row r="50" ht="20" customHeight="1">
      <c r="A50" s="52">
        <f>IF($N50="","",ROW()-9)</f>
        <v/>
      </c>
      <c r="B50" s="53">
        <f>IF($N50&lt;&gt;"",INDEX(tblBilling[Customer ID],$N50),"")</f>
        <v/>
      </c>
      <c r="C50" s="53">
        <f>IF($N50&lt;&gt;"",INDEX(tblBilling[Customer Name],$N50),CHOOSE(MIN(MAX($O50,0),7)+1,"","TOTAL","","Total Customers: "&amp;PC_Count,"Total Recovered: "&amp;CFG_CurrencySymbol&amp;" "&amp;TEXT(PC_TotalPaid,"#,##0"),"","Collector Signature: ____________",""))</f>
        <v/>
      </c>
      <c r="D50" s="53">
        <f>IF($N50&lt;&gt;"",INDEX(tblBilling[Full Address],$N50),CHOOSE(MIN(MAX($O50,0),7)+1,"","","","Total Billing: "&amp;CFG_CurrencySymbol&amp;" "&amp;TEXT(PC_TotalFee,"#,##0"),"Total Pending: "&amp;CFG_CurrencySymbol&amp;" "&amp;TEXT(PC_TotalBalance,"#,##0"),"","Office Verification: ____________",""))</f>
        <v/>
      </c>
      <c r="E50" s="53">
        <f>IF($N50&lt;&gt;"",INDEX(tblBilling[VLAN ID],$N50),"")</f>
        <v/>
      </c>
      <c r="F50" s="52">
        <f>IF($N50&lt;&gt;"",INDEX(tblBilling[Due Date],$N50),"")</f>
        <v/>
      </c>
      <c r="G50" s="54">
        <f>IF($N50&lt;&gt;"",INDEX(tblBilling[Monthly Fee],$N50),IF($O50=1,PC_TotalFee,""))</f>
        <v/>
      </c>
      <c r="H50" s="54">
        <f>IF($N50&lt;&gt;"",INDEX(tblBilling[Amount Paid],$N50),IF($O50=1,PC_TotalPaid,""))</f>
        <v/>
      </c>
      <c r="I50" s="54">
        <f>IF($N50&lt;&gt;"",INDEX(tblBilling[Balance],$N50),IF($O50=1,PC_TotalBalance,""))</f>
        <v/>
      </c>
      <c r="J50" s="53">
        <f>IF($N50&lt;&gt;"",INDEX(tblBilling[Payment Status],$N50),"")</f>
        <v/>
      </c>
      <c r="K50" s="55">
        <f>IF($N50&lt;&gt;"",IF(INDEX(tblBilling[Last Payment Date],$N50)="","",INDEX(tblBilling[Last Payment Date],$N50)),"")</f>
        <v/>
      </c>
      <c r="L50" s="53">
        <f>IF($N50&lt;&gt;"",INDEX(tblBilling[Collector Name],$N50),"")</f>
        <v/>
      </c>
      <c r="N50">
        <f>IF(N49="","",IFERROR(N49+MATCH(1,INDEX(tblBilling[Print Match],N49+1):INDEX(tblBilling[Print Match],ROWS(tblBilling[Print Match])),0),""))</f>
        <v/>
      </c>
      <c r="O50">
        <f>ROW()-9-MIN(PC_Count,500)</f>
        <v/>
      </c>
    </row>
    <row r="51" ht="20" customHeight="1">
      <c r="A51" s="52">
        <f>IF($N51="","",ROW()-9)</f>
        <v/>
      </c>
      <c r="B51" s="53">
        <f>IF($N51&lt;&gt;"",INDEX(tblBilling[Customer ID],$N51),"")</f>
        <v/>
      </c>
      <c r="C51" s="53">
        <f>IF($N51&lt;&gt;"",INDEX(tblBilling[Customer Name],$N51),CHOOSE(MIN(MAX($O51,0),7)+1,"","TOTAL","","Total Customers: "&amp;PC_Count,"Total Recovered: "&amp;CFG_CurrencySymbol&amp;" "&amp;TEXT(PC_TotalPaid,"#,##0"),"","Collector Signature: ____________",""))</f>
        <v/>
      </c>
      <c r="D51" s="53">
        <f>IF($N51&lt;&gt;"",INDEX(tblBilling[Full Address],$N51),CHOOSE(MIN(MAX($O51,0),7)+1,"","","","Total Billing: "&amp;CFG_CurrencySymbol&amp;" "&amp;TEXT(PC_TotalFee,"#,##0"),"Total Pending: "&amp;CFG_CurrencySymbol&amp;" "&amp;TEXT(PC_TotalBalance,"#,##0"),"","Office Verification: ____________",""))</f>
        <v/>
      </c>
      <c r="E51" s="53">
        <f>IF($N51&lt;&gt;"",INDEX(tblBilling[VLAN ID],$N51),"")</f>
        <v/>
      </c>
      <c r="F51" s="52">
        <f>IF($N51&lt;&gt;"",INDEX(tblBilling[Due Date],$N51),"")</f>
        <v/>
      </c>
      <c r="G51" s="54">
        <f>IF($N51&lt;&gt;"",INDEX(tblBilling[Monthly Fee],$N51),IF($O51=1,PC_TotalFee,""))</f>
        <v/>
      </c>
      <c r="H51" s="54">
        <f>IF($N51&lt;&gt;"",INDEX(tblBilling[Amount Paid],$N51),IF($O51=1,PC_TotalPaid,""))</f>
        <v/>
      </c>
      <c r="I51" s="54">
        <f>IF($N51&lt;&gt;"",INDEX(tblBilling[Balance],$N51),IF($O51=1,PC_TotalBalance,""))</f>
        <v/>
      </c>
      <c r="J51" s="53">
        <f>IF($N51&lt;&gt;"",INDEX(tblBilling[Payment Status],$N51),"")</f>
        <v/>
      </c>
      <c r="K51" s="55">
        <f>IF($N51&lt;&gt;"",IF(INDEX(tblBilling[Last Payment Date],$N51)="","",INDEX(tblBilling[Last Payment Date],$N51)),"")</f>
        <v/>
      </c>
      <c r="L51" s="53">
        <f>IF($N51&lt;&gt;"",INDEX(tblBilling[Collector Name],$N51),"")</f>
        <v/>
      </c>
      <c r="N51">
        <f>IF(N50="","",IFERROR(N50+MATCH(1,INDEX(tblBilling[Print Match],N50+1):INDEX(tblBilling[Print Match],ROWS(tblBilling[Print Match])),0),""))</f>
        <v/>
      </c>
      <c r="O51">
        <f>ROW()-9-MIN(PC_Count,500)</f>
        <v/>
      </c>
    </row>
    <row r="52" ht="20" customHeight="1">
      <c r="A52" s="52">
        <f>IF($N52="","",ROW()-9)</f>
        <v/>
      </c>
      <c r="B52" s="53">
        <f>IF($N52&lt;&gt;"",INDEX(tblBilling[Customer ID],$N52),"")</f>
        <v/>
      </c>
      <c r="C52" s="53">
        <f>IF($N52&lt;&gt;"",INDEX(tblBilling[Customer Name],$N52),CHOOSE(MIN(MAX($O52,0),7)+1,"","TOTAL","","Total Customers: "&amp;PC_Count,"Total Recovered: "&amp;CFG_CurrencySymbol&amp;" "&amp;TEXT(PC_TotalPaid,"#,##0"),"","Collector Signature: ____________",""))</f>
        <v/>
      </c>
      <c r="D52" s="53">
        <f>IF($N52&lt;&gt;"",INDEX(tblBilling[Full Address],$N52),CHOOSE(MIN(MAX($O52,0),7)+1,"","","","Total Billing: "&amp;CFG_CurrencySymbol&amp;" "&amp;TEXT(PC_TotalFee,"#,##0"),"Total Pending: "&amp;CFG_CurrencySymbol&amp;" "&amp;TEXT(PC_TotalBalance,"#,##0"),"","Office Verification: ____________",""))</f>
        <v/>
      </c>
      <c r="E52" s="53">
        <f>IF($N52&lt;&gt;"",INDEX(tblBilling[VLAN ID],$N52),"")</f>
        <v/>
      </c>
      <c r="F52" s="52">
        <f>IF($N52&lt;&gt;"",INDEX(tblBilling[Due Date],$N52),"")</f>
        <v/>
      </c>
      <c r="G52" s="54">
        <f>IF($N52&lt;&gt;"",INDEX(tblBilling[Monthly Fee],$N52),IF($O52=1,PC_TotalFee,""))</f>
        <v/>
      </c>
      <c r="H52" s="54">
        <f>IF($N52&lt;&gt;"",INDEX(tblBilling[Amount Paid],$N52),IF($O52=1,PC_TotalPaid,""))</f>
        <v/>
      </c>
      <c r="I52" s="54">
        <f>IF($N52&lt;&gt;"",INDEX(tblBilling[Balance],$N52),IF($O52=1,PC_TotalBalance,""))</f>
        <v/>
      </c>
      <c r="J52" s="53">
        <f>IF($N52&lt;&gt;"",INDEX(tblBilling[Payment Status],$N52),"")</f>
        <v/>
      </c>
      <c r="K52" s="55">
        <f>IF($N52&lt;&gt;"",IF(INDEX(tblBilling[Last Payment Date],$N52)="","",INDEX(tblBilling[Last Payment Date],$N52)),"")</f>
        <v/>
      </c>
      <c r="L52" s="53">
        <f>IF($N52&lt;&gt;"",INDEX(tblBilling[Collector Name],$N52),"")</f>
        <v/>
      </c>
      <c r="N52">
        <f>IF(N51="","",IFERROR(N51+MATCH(1,INDEX(tblBilling[Print Match],N51+1):INDEX(tblBilling[Print Match],ROWS(tblBilling[Print Match])),0),""))</f>
        <v/>
      </c>
      <c r="O52">
        <f>ROW()-9-MIN(PC_Count,500)</f>
        <v/>
      </c>
    </row>
    <row r="53" ht="20" customHeight="1">
      <c r="A53" s="52">
        <f>IF($N53="","",ROW()-9)</f>
        <v/>
      </c>
      <c r="B53" s="53">
        <f>IF($N53&lt;&gt;"",INDEX(tblBilling[Customer ID],$N53),"")</f>
        <v/>
      </c>
      <c r="C53" s="53">
        <f>IF($N53&lt;&gt;"",INDEX(tblBilling[Customer Name],$N53),CHOOSE(MIN(MAX($O53,0),7)+1,"","TOTAL","","Total Customers: "&amp;PC_Count,"Total Recovered: "&amp;CFG_CurrencySymbol&amp;" "&amp;TEXT(PC_TotalPaid,"#,##0"),"","Collector Signature: ____________",""))</f>
        <v/>
      </c>
      <c r="D53" s="53">
        <f>IF($N53&lt;&gt;"",INDEX(tblBilling[Full Address],$N53),CHOOSE(MIN(MAX($O53,0),7)+1,"","","","Total Billing: "&amp;CFG_CurrencySymbol&amp;" "&amp;TEXT(PC_TotalFee,"#,##0"),"Total Pending: "&amp;CFG_CurrencySymbol&amp;" "&amp;TEXT(PC_TotalBalance,"#,##0"),"","Office Verification: ____________",""))</f>
        <v/>
      </c>
      <c r="E53" s="53">
        <f>IF($N53&lt;&gt;"",INDEX(tblBilling[VLAN ID],$N53),"")</f>
        <v/>
      </c>
      <c r="F53" s="52">
        <f>IF($N53&lt;&gt;"",INDEX(tblBilling[Due Date],$N53),"")</f>
        <v/>
      </c>
      <c r="G53" s="54">
        <f>IF($N53&lt;&gt;"",INDEX(tblBilling[Monthly Fee],$N53),IF($O53=1,PC_TotalFee,""))</f>
        <v/>
      </c>
      <c r="H53" s="54">
        <f>IF($N53&lt;&gt;"",INDEX(tblBilling[Amount Paid],$N53),IF($O53=1,PC_TotalPaid,""))</f>
        <v/>
      </c>
      <c r="I53" s="54">
        <f>IF($N53&lt;&gt;"",INDEX(tblBilling[Balance],$N53),IF($O53=1,PC_TotalBalance,""))</f>
        <v/>
      </c>
      <c r="J53" s="53">
        <f>IF($N53&lt;&gt;"",INDEX(tblBilling[Payment Status],$N53),"")</f>
        <v/>
      </c>
      <c r="K53" s="55">
        <f>IF($N53&lt;&gt;"",IF(INDEX(tblBilling[Last Payment Date],$N53)="","",INDEX(tblBilling[Last Payment Date],$N53)),"")</f>
        <v/>
      </c>
      <c r="L53" s="53">
        <f>IF($N53&lt;&gt;"",INDEX(tblBilling[Collector Name],$N53),"")</f>
        <v/>
      </c>
      <c r="N53">
        <f>IF(N52="","",IFERROR(N52+MATCH(1,INDEX(tblBilling[Print Match],N52+1):INDEX(tblBilling[Print Match],ROWS(tblBilling[Print Match])),0),""))</f>
        <v/>
      </c>
      <c r="O53">
        <f>ROW()-9-MIN(PC_Count,500)</f>
        <v/>
      </c>
    </row>
    <row r="54" ht="20" customHeight="1">
      <c r="A54" s="52">
        <f>IF($N54="","",ROW()-9)</f>
        <v/>
      </c>
      <c r="B54" s="53">
        <f>IF($N54&lt;&gt;"",INDEX(tblBilling[Customer ID],$N54),"")</f>
        <v/>
      </c>
      <c r="C54" s="53">
        <f>IF($N54&lt;&gt;"",INDEX(tblBilling[Customer Name],$N54),CHOOSE(MIN(MAX($O54,0),7)+1,"","TOTAL","","Total Customers: "&amp;PC_Count,"Total Recovered: "&amp;CFG_CurrencySymbol&amp;" "&amp;TEXT(PC_TotalPaid,"#,##0"),"","Collector Signature: ____________",""))</f>
        <v/>
      </c>
      <c r="D54" s="53">
        <f>IF($N54&lt;&gt;"",INDEX(tblBilling[Full Address],$N54),CHOOSE(MIN(MAX($O54,0),7)+1,"","","","Total Billing: "&amp;CFG_CurrencySymbol&amp;" "&amp;TEXT(PC_TotalFee,"#,##0"),"Total Pending: "&amp;CFG_CurrencySymbol&amp;" "&amp;TEXT(PC_TotalBalance,"#,##0"),"","Office Verification: ____________",""))</f>
        <v/>
      </c>
      <c r="E54" s="53">
        <f>IF($N54&lt;&gt;"",INDEX(tblBilling[VLAN ID],$N54),"")</f>
        <v/>
      </c>
      <c r="F54" s="52">
        <f>IF($N54&lt;&gt;"",INDEX(tblBilling[Due Date],$N54),"")</f>
        <v/>
      </c>
      <c r="G54" s="54">
        <f>IF($N54&lt;&gt;"",INDEX(tblBilling[Monthly Fee],$N54),IF($O54=1,PC_TotalFee,""))</f>
        <v/>
      </c>
      <c r="H54" s="54">
        <f>IF($N54&lt;&gt;"",INDEX(tblBilling[Amount Paid],$N54),IF($O54=1,PC_TotalPaid,""))</f>
        <v/>
      </c>
      <c r="I54" s="54">
        <f>IF($N54&lt;&gt;"",INDEX(tblBilling[Balance],$N54),IF($O54=1,PC_TotalBalance,""))</f>
        <v/>
      </c>
      <c r="J54" s="53">
        <f>IF($N54&lt;&gt;"",INDEX(tblBilling[Payment Status],$N54),"")</f>
        <v/>
      </c>
      <c r="K54" s="55">
        <f>IF($N54&lt;&gt;"",IF(INDEX(tblBilling[Last Payment Date],$N54)="","",INDEX(tblBilling[Last Payment Date],$N54)),"")</f>
        <v/>
      </c>
      <c r="L54" s="53">
        <f>IF($N54&lt;&gt;"",INDEX(tblBilling[Collector Name],$N54),"")</f>
        <v/>
      </c>
      <c r="N54">
        <f>IF(N53="","",IFERROR(N53+MATCH(1,INDEX(tblBilling[Print Match],N53+1):INDEX(tblBilling[Print Match],ROWS(tblBilling[Print Match])),0),""))</f>
        <v/>
      </c>
      <c r="O54">
        <f>ROW()-9-MIN(PC_Count,500)</f>
        <v/>
      </c>
    </row>
    <row r="55" ht="20" customHeight="1">
      <c r="A55" s="52">
        <f>IF($N55="","",ROW()-9)</f>
        <v/>
      </c>
      <c r="B55" s="53">
        <f>IF($N55&lt;&gt;"",INDEX(tblBilling[Customer ID],$N55),"")</f>
        <v/>
      </c>
      <c r="C55" s="53">
        <f>IF($N55&lt;&gt;"",INDEX(tblBilling[Customer Name],$N55),CHOOSE(MIN(MAX($O55,0),7)+1,"","TOTAL","","Total Customers: "&amp;PC_Count,"Total Recovered: "&amp;CFG_CurrencySymbol&amp;" "&amp;TEXT(PC_TotalPaid,"#,##0"),"","Collector Signature: ____________",""))</f>
        <v/>
      </c>
      <c r="D55" s="53">
        <f>IF($N55&lt;&gt;"",INDEX(tblBilling[Full Address],$N55),CHOOSE(MIN(MAX($O55,0),7)+1,"","","","Total Billing: "&amp;CFG_CurrencySymbol&amp;" "&amp;TEXT(PC_TotalFee,"#,##0"),"Total Pending: "&amp;CFG_CurrencySymbol&amp;" "&amp;TEXT(PC_TotalBalance,"#,##0"),"","Office Verification: ____________",""))</f>
        <v/>
      </c>
      <c r="E55" s="53">
        <f>IF($N55&lt;&gt;"",INDEX(tblBilling[VLAN ID],$N55),"")</f>
        <v/>
      </c>
      <c r="F55" s="52">
        <f>IF($N55&lt;&gt;"",INDEX(tblBilling[Due Date],$N55),"")</f>
        <v/>
      </c>
      <c r="G55" s="54">
        <f>IF($N55&lt;&gt;"",INDEX(tblBilling[Monthly Fee],$N55),IF($O55=1,PC_TotalFee,""))</f>
        <v/>
      </c>
      <c r="H55" s="54">
        <f>IF($N55&lt;&gt;"",INDEX(tblBilling[Amount Paid],$N55),IF($O55=1,PC_TotalPaid,""))</f>
        <v/>
      </c>
      <c r="I55" s="54">
        <f>IF($N55&lt;&gt;"",INDEX(tblBilling[Balance],$N55),IF($O55=1,PC_TotalBalance,""))</f>
        <v/>
      </c>
      <c r="J55" s="53">
        <f>IF($N55&lt;&gt;"",INDEX(tblBilling[Payment Status],$N55),"")</f>
        <v/>
      </c>
      <c r="K55" s="55">
        <f>IF($N55&lt;&gt;"",IF(INDEX(tblBilling[Last Payment Date],$N55)="","",INDEX(tblBilling[Last Payment Date],$N55)),"")</f>
        <v/>
      </c>
      <c r="L55" s="53">
        <f>IF($N55&lt;&gt;"",INDEX(tblBilling[Collector Name],$N55),"")</f>
        <v/>
      </c>
      <c r="N55">
        <f>IF(N54="","",IFERROR(N54+MATCH(1,INDEX(tblBilling[Print Match],N54+1):INDEX(tblBilling[Print Match],ROWS(tblBilling[Print Match])),0),""))</f>
        <v/>
      </c>
      <c r="O55">
        <f>ROW()-9-MIN(PC_Count,500)</f>
        <v/>
      </c>
    </row>
    <row r="56" ht="20" customHeight="1">
      <c r="A56" s="52">
        <f>IF($N56="","",ROW()-9)</f>
        <v/>
      </c>
      <c r="B56" s="53">
        <f>IF($N56&lt;&gt;"",INDEX(tblBilling[Customer ID],$N56),"")</f>
        <v/>
      </c>
      <c r="C56" s="53">
        <f>IF($N56&lt;&gt;"",INDEX(tblBilling[Customer Name],$N56),CHOOSE(MIN(MAX($O56,0),7)+1,"","TOTAL","","Total Customers: "&amp;PC_Count,"Total Recovered: "&amp;CFG_CurrencySymbol&amp;" "&amp;TEXT(PC_TotalPaid,"#,##0"),"","Collector Signature: ____________",""))</f>
        <v/>
      </c>
      <c r="D56" s="53">
        <f>IF($N56&lt;&gt;"",INDEX(tblBilling[Full Address],$N56),CHOOSE(MIN(MAX($O56,0),7)+1,"","","","Total Billing: "&amp;CFG_CurrencySymbol&amp;" "&amp;TEXT(PC_TotalFee,"#,##0"),"Total Pending: "&amp;CFG_CurrencySymbol&amp;" "&amp;TEXT(PC_TotalBalance,"#,##0"),"","Office Verification: ____________",""))</f>
        <v/>
      </c>
      <c r="E56" s="53">
        <f>IF($N56&lt;&gt;"",INDEX(tblBilling[VLAN ID],$N56),"")</f>
        <v/>
      </c>
      <c r="F56" s="52">
        <f>IF($N56&lt;&gt;"",INDEX(tblBilling[Due Date],$N56),"")</f>
        <v/>
      </c>
      <c r="G56" s="54">
        <f>IF($N56&lt;&gt;"",INDEX(tblBilling[Monthly Fee],$N56),IF($O56=1,PC_TotalFee,""))</f>
        <v/>
      </c>
      <c r="H56" s="54">
        <f>IF($N56&lt;&gt;"",INDEX(tblBilling[Amount Paid],$N56),IF($O56=1,PC_TotalPaid,""))</f>
        <v/>
      </c>
      <c r="I56" s="54">
        <f>IF($N56&lt;&gt;"",INDEX(tblBilling[Balance],$N56),IF($O56=1,PC_TotalBalance,""))</f>
        <v/>
      </c>
      <c r="J56" s="53">
        <f>IF($N56&lt;&gt;"",INDEX(tblBilling[Payment Status],$N56),"")</f>
        <v/>
      </c>
      <c r="K56" s="55">
        <f>IF($N56&lt;&gt;"",IF(INDEX(tblBilling[Last Payment Date],$N56)="","",INDEX(tblBilling[Last Payment Date],$N56)),"")</f>
        <v/>
      </c>
      <c r="L56" s="53">
        <f>IF($N56&lt;&gt;"",INDEX(tblBilling[Collector Name],$N56),"")</f>
        <v/>
      </c>
      <c r="N56">
        <f>IF(N55="","",IFERROR(N55+MATCH(1,INDEX(tblBilling[Print Match],N55+1):INDEX(tblBilling[Print Match],ROWS(tblBilling[Print Match])),0),""))</f>
        <v/>
      </c>
      <c r="O56">
        <f>ROW()-9-MIN(PC_Count,500)</f>
        <v/>
      </c>
    </row>
    <row r="57" ht="20" customHeight="1">
      <c r="A57" s="52">
        <f>IF($N57="","",ROW()-9)</f>
        <v/>
      </c>
      <c r="B57" s="53">
        <f>IF($N57&lt;&gt;"",INDEX(tblBilling[Customer ID],$N57),"")</f>
        <v/>
      </c>
      <c r="C57" s="53">
        <f>IF($N57&lt;&gt;"",INDEX(tblBilling[Customer Name],$N57),CHOOSE(MIN(MAX($O57,0),7)+1,"","TOTAL","","Total Customers: "&amp;PC_Count,"Total Recovered: "&amp;CFG_CurrencySymbol&amp;" "&amp;TEXT(PC_TotalPaid,"#,##0"),"","Collector Signature: ____________",""))</f>
        <v/>
      </c>
      <c r="D57" s="53">
        <f>IF($N57&lt;&gt;"",INDEX(tblBilling[Full Address],$N57),CHOOSE(MIN(MAX($O57,0),7)+1,"","","","Total Billing: "&amp;CFG_CurrencySymbol&amp;" "&amp;TEXT(PC_TotalFee,"#,##0"),"Total Pending: "&amp;CFG_CurrencySymbol&amp;" "&amp;TEXT(PC_TotalBalance,"#,##0"),"","Office Verification: ____________",""))</f>
        <v/>
      </c>
      <c r="E57" s="53">
        <f>IF($N57&lt;&gt;"",INDEX(tblBilling[VLAN ID],$N57),"")</f>
        <v/>
      </c>
      <c r="F57" s="52">
        <f>IF($N57&lt;&gt;"",INDEX(tblBilling[Due Date],$N57),"")</f>
        <v/>
      </c>
      <c r="G57" s="54">
        <f>IF($N57&lt;&gt;"",INDEX(tblBilling[Monthly Fee],$N57),IF($O57=1,PC_TotalFee,""))</f>
        <v/>
      </c>
      <c r="H57" s="54">
        <f>IF($N57&lt;&gt;"",INDEX(tblBilling[Amount Paid],$N57),IF($O57=1,PC_TotalPaid,""))</f>
        <v/>
      </c>
      <c r="I57" s="54">
        <f>IF($N57&lt;&gt;"",INDEX(tblBilling[Balance],$N57),IF($O57=1,PC_TotalBalance,""))</f>
        <v/>
      </c>
      <c r="J57" s="53">
        <f>IF($N57&lt;&gt;"",INDEX(tblBilling[Payment Status],$N57),"")</f>
        <v/>
      </c>
      <c r="K57" s="55">
        <f>IF($N57&lt;&gt;"",IF(INDEX(tblBilling[Last Payment Date],$N57)="","",INDEX(tblBilling[Last Payment Date],$N57)),"")</f>
        <v/>
      </c>
      <c r="L57" s="53">
        <f>IF($N57&lt;&gt;"",INDEX(tblBilling[Collector Name],$N57),"")</f>
        <v/>
      </c>
      <c r="N57">
        <f>IF(N56="","",IFERROR(N56+MATCH(1,INDEX(tblBilling[Print Match],N56+1):INDEX(tblBilling[Print Match],ROWS(tblBilling[Print Match])),0),""))</f>
        <v/>
      </c>
      <c r="O57">
        <f>ROW()-9-MIN(PC_Count,500)</f>
        <v/>
      </c>
    </row>
    <row r="58" ht="20" customHeight="1">
      <c r="A58" s="52">
        <f>IF($N58="","",ROW()-9)</f>
        <v/>
      </c>
      <c r="B58" s="53">
        <f>IF($N58&lt;&gt;"",INDEX(tblBilling[Customer ID],$N58),"")</f>
        <v/>
      </c>
      <c r="C58" s="53">
        <f>IF($N58&lt;&gt;"",INDEX(tblBilling[Customer Name],$N58),CHOOSE(MIN(MAX($O58,0),7)+1,"","TOTAL","","Total Customers: "&amp;PC_Count,"Total Recovered: "&amp;CFG_CurrencySymbol&amp;" "&amp;TEXT(PC_TotalPaid,"#,##0"),"","Collector Signature: ____________",""))</f>
        <v/>
      </c>
      <c r="D58" s="53">
        <f>IF($N58&lt;&gt;"",INDEX(tblBilling[Full Address],$N58),CHOOSE(MIN(MAX($O58,0),7)+1,"","","","Total Billing: "&amp;CFG_CurrencySymbol&amp;" "&amp;TEXT(PC_TotalFee,"#,##0"),"Total Pending: "&amp;CFG_CurrencySymbol&amp;" "&amp;TEXT(PC_TotalBalance,"#,##0"),"","Office Verification: ____________",""))</f>
        <v/>
      </c>
      <c r="E58" s="53">
        <f>IF($N58&lt;&gt;"",INDEX(tblBilling[VLAN ID],$N58),"")</f>
        <v/>
      </c>
      <c r="F58" s="52">
        <f>IF($N58&lt;&gt;"",INDEX(tblBilling[Due Date],$N58),"")</f>
        <v/>
      </c>
      <c r="G58" s="54">
        <f>IF($N58&lt;&gt;"",INDEX(tblBilling[Monthly Fee],$N58),IF($O58=1,PC_TotalFee,""))</f>
        <v/>
      </c>
      <c r="H58" s="54">
        <f>IF($N58&lt;&gt;"",INDEX(tblBilling[Amount Paid],$N58),IF($O58=1,PC_TotalPaid,""))</f>
        <v/>
      </c>
      <c r="I58" s="54">
        <f>IF($N58&lt;&gt;"",INDEX(tblBilling[Balance],$N58),IF($O58=1,PC_TotalBalance,""))</f>
        <v/>
      </c>
      <c r="J58" s="53">
        <f>IF($N58&lt;&gt;"",INDEX(tblBilling[Payment Status],$N58),"")</f>
        <v/>
      </c>
      <c r="K58" s="55">
        <f>IF($N58&lt;&gt;"",IF(INDEX(tblBilling[Last Payment Date],$N58)="","",INDEX(tblBilling[Last Payment Date],$N58)),"")</f>
        <v/>
      </c>
      <c r="L58" s="53">
        <f>IF($N58&lt;&gt;"",INDEX(tblBilling[Collector Name],$N58),"")</f>
        <v/>
      </c>
      <c r="N58">
        <f>IF(N57="","",IFERROR(N57+MATCH(1,INDEX(tblBilling[Print Match],N57+1):INDEX(tblBilling[Print Match],ROWS(tblBilling[Print Match])),0),""))</f>
        <v/>
      </c>
      <c r="O58">
        <f>ROW()-9-MIN(PC_Count,500)</f>
        <v/>
      </c>
    </row>
    <row r="59" ht="20" customHeight="1">
      <c r="A59" s="52">
        <f>IF($N59="","",ROW()-9)</f>
        <v/>
      </c>
      <c r="B59" s="53">
        <f>IF($N59&lt;&gt;"",INDEX(tblBilling[Customer ID],$N59),"")</f>
        <v/>
      </c>
      <c r="C59" s="53">
        <f>IF($N59&lt;&gt;"",INDEX(tblBilling[Customer Name],$N59),CHOOSE(MIN(MAX($O59,0),7)+1,"","TOTAL","","Total Customers: "&amp;PC_Count,"Total Recovered: "&amp;CFG_CurrencySymbol&amp;" "&amp;TEXT(PC_TotalPaid,"#,##0"),"","Collector Signature: ____________",""))</f>
        <v/>
      </c>
      <c r="D59" s="53">
        <f>IF($N59&lt;&gt;"",INDEX(tblBilling[Full Address],$N59),CHOOSE(MIN(MAX($O59,0),7)+1,"","","","Total Billing: "&amp;CFG_CurrencySymbol&amp;" "&amp;TEXT(PC_TotalFee,"#,##0"),"Total Pending: "&amp;CFG_CurrencySymbol&amp;" "&amp;TEXT(PC_TotalBalance,"#,##0"),"","Office Verification: ____________",""))</f>
        <v/>
      </c>
      <c r="E59" s="53">
        <f>IF($N59&lt;&gt;"",INDEX(tblBilling[VLAN ID],$N59),"")</f>
        <v/>
      </c>
      <c r="F59" s="52">
        <f>IF($N59&lt;&gt;"",INDEX(tblBilling[Due Date],$N59),"")</f>
        <v/>
      </c>
      <c r="G59" s="54">
        <f>IF($N59&lt;&gt;"",INDEX(tblBilling[Monthly Fee],$N59),IF($O59=1,PC_TotalFee,""))</f>
        <v/>
      </c>
      <c r="H59" s="54">
        <f>IF($N59&lt;&gt;"",INDEX(tblBilling[Amount Paid],$N59),IF($O59=1,PC_TotalPaid,""))</f>
        <v/>
      </c>
      <c r="I59" s="54">
        <f>IF($N59&lt;&gt;"",INDEX(tblBilling[Balance],$N59),IF($O59=1,PC_TotalBalance,""))</f>
        <v/>
      </c>
      <c r="J59" s="53">
        <f>IF($N59&lt;&gt;"",INDEX(tblBilling[Payment Status],$N59),"")</f>
        <v/>
      </c>
      <c r="K59" s="55">
        <f>IF($N59&lt;&gt;"",IF(INDEX(tblBilling[Last Payment Date],$N59)="","",INDEX(tblBilling[Last Payment Date],$N59)),"")</f>
        <v/>
      </c>
      <c r="L59" s="53">
        <f>IF($N59&lt;&gt;"",INDEX(tblBilling[Collector Name],$N59),"")</f>
        <v/>
      </c>
      <c r="N59">
        <f>IF(N58="","",IFERROR(N58+MATCH(1,INDEX(tblBilling[Print Match],N58+1):INDEX(tblBilling[Print Match],ROWS(tblBilling[Print Match])),0),""))</f>
        <v/>
      </c>
      <c r="O59">
        <f>ROW()-9-MIN(PC_Count,500)</f>
        <v/>
      </c>
    </row>
    <row r="60" ht="20" customHeight="1">
      <c r="A60" s="52">
        <f>IF($N60="","",ROW()-9)</f>
        <v/>
      </c>
      <c r="B60" s="53">
        <f>IF($N60&lt;&gt;"",INDEX(tblBilling[Customer ID],$N60),"")</f>
        <v/>
      </c>
      <c r="C60" s="53">
        <f>IF($N60&lt;&gt;"",INDEX(tblBilling[Customer Name],$N60),CHOOSE(MIN(MAX($O60,0),7)+1,"","TOTAL","","Total Customers: "&amp;PC_Count,"Total Recovered: "&amp;CFG_CurrencySymbol&amp;" "&amp;TEXT(PC_TotalPaid,"#,##0"),"","Collector Signature: ____________",""))</f>
        <v/>
      </c>
      <c r="D60" s="53">
        <f>IF($N60&lt;&gt;"",INDEX(tblBilling[Full Address],$N60),CHOOSE(MIN(MAX($O60,0),7)+1,"","","","Total Billing: "&amp;CFG_CurrencySymbol&amp;" "&amp;TEXT(PC_TotalFee,"#,##0"),"Total Pending: "&amp;CFG_CurrencySymbol&amp;" "&amp;TEXT(PC_TotalBalance,"#,##0"),"","Office Verification: ____________",""))</f>
        <v/>
      </c>
      <c r="E60" s="53">
        <f>IF($N60&lt;&gt;"",INDEX(tblBilling[VLAN ID],$N60),"")</f>
        <v/>
      </c>
      <c r="F60" s="52">
        <f>IF($N60&lt;&gt;"",INDEX(tblBilling[Due Date],$N60),"")</f>
        <v/>
      </c>
      <c r="G60" s="54">
        <f>IF($N60&lt;&gt;"",INDEX(tblBilling[Monthly Fee],$N60),IF($O60=1,PC_TotalFee,""))</f>
        <v/>
      </c>
      <c r="H60" s="54">
        <f>IF($N60&lt;&gt;"",INDEX(tblBilling[Amount Paid],$N60),IF($O60=1,PC_TotalPaid,""))</f>
        <v/>
      </c>
      <c r="I60" s="54">
        <f>IF($N60&lt;&gt;"",INDEX(tblBilling[Balance],$N60),IF($O60=1,PC_TotalBalance,""))</f>
        <v/>
      </c>
      <c r="J60" s="53">
        <f>IF($N60&lt;&gt;"",INDEX(tblBilling[Payment Status],$N60),"")</f>
        <v/>
      </c>
      <c r="K60" s="55">
        <f>IF($N60&lt;&gt;"",IF(INDEX(tblBilling[Last Payment Date],$N60)="","",INDEX(tblBilling[Last Payment Date],$N60)),"")</f>
        <v/>
      </c>
      <c r="L60" s="53">
        <f>IF($N60&lt;&gt;"",INDEX(tblBilling[Collector Name],$N60),"")</f>
        <v/>
      </c>
      <c r="N60">
        <f>IF(N59="","",IFERROR(N59+MATCH(1,INDEX(tblBilling[Print Match],N59+1):INDEX(tblBilling[Print Match],ROWS(tblBilling[Print Match])),0),""))</f>
        <v/>
      </c>
      <c r="O60">
        <f>ROW()-9-MIN(PC_Count,500)</f>
        <v/>
      </c>
    </row>
    <row r="61" ht="20" customHeight="1">
      <c r="A61" s="52">
        <f>IF($N61="","",ROW()-9)</f>
        <v/>
      </c>
      <c r="B61" s="53">
        <f>IF($N61&lt;&gt;"",INDEX(tblBilling[Customer ID],$N61),"")</f>
        <v/>
      </c>
      <c r="C61" s="53">
        <f>IF($N61&lt;&gt;"",INDEX(tblBilling[Customer Name],$N61),CHOOSE(MIN(MAX($O61,0),7)+1,"","TOTAL","","Total Customers: "&amp;PC_Count,"Total Recovered: "&amp;CFG_CurrencySymbol&amp;" "&amp;TEXT(PC_TotalPaid,"#,##0"),"","Collector Signature: ____________",""))</f>
        <v/>
      </c>
      <c r="D61" s="53">
        <f>IF($N61&lt;&gt;"",INDEX(tblBilling[Full Address],$N61),CHOOSE(MIN(MAX($O61,0),7)+1,"","","","Total Billing: "&amp;CFG_CurrencySymbol&amp;" "&amp;TEXT(PC_TotalFee,"#,##0"),"Total Pending: "&amp;CFG_CurrencySymbol&amp;" "&amp;TEXT(PC_TotalBalance,"#,##0"),"","Office Verification: ____________",""))</f>
        <v/>
      </c>
      <c r="E61" s="53">
        <f>IF($N61&lt;&gt;"",INDEX(tblBilling[VLAN ID],$N61),"")</f>
        <v/>
      </c>
      <c r="F61" s="52">
        <f>IF($N61&lt;&gt;"",INDEX(tblBilling[Due Date],$N61),"")</f>
        <v/>
      </c>
      <c r="G61" s="54">
        <f>IF($N61&lt;&gt;"",INDEX(tblBilling[Monthly Fee],$N61),IF($O61=1,PC_TotalFee,""))</f>
        <v/>
      </c>
      <c r="H61" s="54">
        <f>IF($N61&lt;&gt;"",INDEX(tblBilling[Amount Paid],$N61),IF($O61=1,PC_TotalPaid,""))</f>
        <v/>
      </c>
      <c r="I61" s="54">
        <f>IF($N61&lt;&gt;"",INDEX(tblBilling[Balance],$N61),IF($O61=1,PC_TotalBalance,""))</f>
        <v/>
      </c>
      <c r="J61" s="53">
        <f>IF($N61&lt;&gt;"",INDEX(tblBilling[Payment Status],$N61),"")</f>
        <v/>
      </c>
      <c r="K61" s="55">
        <f>IF($N61&lt;&gt;"",IF(INDEX(tblBilling[Last Payment Date],$N61)="","",INDEX(tblBilling[Last Payment Date],$N61)),"")</f>
        <v/>
      </c>
      <c r="L61" s="53">
        <f>IF($N61&lt;&gt;"",INDEX(tblBilling[Collector Name],$N61),"")</f>
        <v/>
      </c>
      <c r="N61">
        <f>IF(N60="","",IFERROR(N60+MATCH(1,INDEX(tblBilling[Print Match],N60+1):INDEX(tblBilling[Print Match],ROWS(tblBilling[Print Match])),0),""))</f>
        <v/>
      </c>
      <c r="O61">
        <f>ROW()-9-MIN(PC_Count,500)</f>
        <v/>
      </c>
    </row>
    <row r="62" ht="20" customHeight="1">
      <c r="A62" s="52">
        <f>IF($N62="","",ROW()-9)</f>
        <v/>
      </c>
      <c r="B62" s="53">
        <f>IF($N62&lt;&gt;"",INDEX(tblBilling[Customer ID],$N62),"")</f>
        <v/>
      </c>
      <c r="C62" s="53">
        <f>IF($N62&lt;&gt;"",INDEX(tblBilling[Customer Name],$N62),CHOOSE(MIN(MAX($O62,0),7)+1,"","TOTAL","","Total Customers: "&amp;PC_Count,"Total Recovered: "&amp;CFG_CurrencySymbol&amp;" "&amp;TEXT(PC_TotalPaid,"#,##0"),"","Collector Signature: ____________",""))</f>
        <v/>
      </c>
      <c r="D62" s="53">
        <f>IF($N62&lt;&gt;"",INDEX(tblBilling[Full Address],$N62),CHOOSE(MIN(MAX($O62,0),7)+1,"","","","Total Billing: "&amp;CFG_CurrencySymbol&amp;" "&amp;TEXT(PC_TotalFee,"#,##0"),"Total Pending: "&amp;CFG_CurrencySymbol&amp;" "&amp;TEXT(PC_TotalBalance,"#,##0"),"","Office Verification: ____________",""))</f>
        <v/>
      </c>
      <c r="E62" s="53">
        <f>IF($N62&lt;&gt;"",INDEX(tblBilling[VLAN ID],$N62),"")</f>
        <v/>
      </c>
      <c r="F62" s="52">
        <f>IF($N62&lt;&gt;"",INDEX(tblBilling[Due Date],$N62),"")</f>
        <v/>
      </c>
      <c r="G62" s="54">
        <f>IF($N62&lt;&gt;"",INDEX(tblBilling[Monthly Fee],$N62),IF($O62=1,PC_TotalFee,""))</f>
        <v/>
      </c>
      <c r="H62" s="54">
        <f>IF($N62&lt;&gt;"",INDEX(tblBilling[Amount Paid],$N62),IF($O62=1,PC_TotalPaid,""))</f>
        <v/>
      </c>
      <c r="I62" s="54">
        <f>IF($N62&lt;&gt;"",INDEX(tblBilling[Balance],$N62),IF($O62=1,PC_TotalBalance,""))</f>
        <v/>
      </c>
      <c r="J62" s="53">
        <f>IF($N62&lt;&gt;"",INDEX(tblBilling[Payment Status],$N62),"")</f>
        <v/>
      </c>
      <c r="K62" s="55">
        <f>IF($N62&lt;&gt;"",IF(INDEX(tblBilling[Last Payment Date],$N62)="","",INDEX(tblBilling[Last Payment Date],$N62)),"")</f>
        <v/>
      </c>
      <c r="L62" s="53">
        <f>IF($N62&lt;&gt;"",INDEX(tblBilling[Collector Name],$N62),"")</f>
        <v/>
      </c>
      <c r="N62">
        <f>IF(N61="","",IFERROR(N61+MATCH(1,INDEX(tblBilling[Print Match],N61+1):INDEX(tblBilling[Print Match],ROWS(tblBilling[Print Match])),0),""))</f>
        <v/>
      </c>
      <c r="O62">
        <f>ROW()-9-MIN(PC_Count,500)</f>
        <v/>
      </c>
    </row>
    <row r="63" ht="20" customHeight="1">
      <c r="A63" s="52">
        <f>IF($N63="","",ROW()-9)</f>
        <v/>
      </c>
      <c r="B63" s="53">
        <f>IF($N63&lt;&gt;"",INDEX(tblBilling[Customer ID],$N63),"")</f>
        <v/>
      </c>
      <c r="C63" s="53">
        <f>IF($N63&lt;&gt;"",INDEX(tblBilling[Customer Name],$N63),CHOOSE(MIN(MAX($O63,0),7)+1,"","TOTAL","","Total Customers: "&amp;PC_Count,"Total Recovered: "&amp;CFG_CurrencySymbol&amp;" "&amp;TEXT(PC_TotalPaid,"#,##0"),"","Collector Signature: ____________",""))</f>
        <v/>
      </c>
      <c r="D63" s="53">
        <f>IF($N63&lt;&gt;"",INDEX(tblBilling[Full Address],$N63),CHOOSE(MIN(MAX($O63,0),7)+1,"","","","Total Billing: "&amp;CFG_CurrencySymbol&amp;" "&amp;TEXT(PC_TotalFee,"#,##0"),"Total Pending: "&amp;CFG_CurrencySymbol&amp;" "&amp;TEXT(PC_TotalBalance,"#,##0"),"","Office Verification: ____________",""))</f>
        <v/>
      </c>
      <c r="E63" s="53">
        <f>IF($N63&lt;&gt;"",INDEX(tblBilling[VLAN ID],$N63),"")</f>
        <v/>
      </c>
      <c r="F63" s="52">
        <f>IF($N63&lt;&gt;"",INDEX(tblBilling[Due Date],$N63),"")</f>
        <v/>
      </c>
      <c r="G63" s="54">
        <f>IF($N63&lt;&gt;"",INDEX(tblBilling[Monthly Fee],$N63),IF($O63=1,PC_TotalFee,""))</f>
        <v/>
      </c>
      <c r="H63" s="54">
        <f>IF($N63&lt;&gt;"",INDEX(tblBilling[Amount Paid],$N63),IF($O63=1,PC_TotalPaid,""))</f>
        <v/>
      </c>
      <c r="I63" s="54">
        <f>IF($N63&lt;&gt;"",INDEX(tblBilling[Balance],$N63),IF($O63=1,PC_TotalBalance,""))</f>
        <v/>
      </c>
      <c r="J63" s="53">
        <f>IF($N63&lt;&gt;"",INDEX(tblBilling[Payment Status],$N63),"")</f>
        <v/>
      </c>
      <c r="K63" s="55">
        <f>IF($N63&lt;&gt;"",IF(INDEX(tblBilling[Last Payment Date],$N63)="","",INDEX(tblBilling[Last Payment Date],$N63)),"")</f>
        <v/>
      </c>
      <c r="L63" s="53">
        <f>IF($N63&lt;&gt;"",INDEX(tblBilling[Collector Name],$N63),"")</f>
        <v/>
      </c>
      <c r="N63">
        <f>IF(N62="","",IFERROR(N62+MATCH(1,INDEX(tblBilling[Print Match],N62+1):INDEX(tblBilling[Print Match],ROWS(tblBilling[Print Match])),0),""))</f>
        <v/>
      </c>
      <c r="O63">
        <f>ROW()-9-MIN(PC_Count,500)</f>
        <v/>
      </c>
    </row>
    <row r="64" ht="20" customHeight="1">
      <c r="A64" s="52">
        <f>IF($N64="","",ROW()-9)</f>
        <v/>
      </c>
      <c r="B64" s="53">
        <f>IF($N64&lt;&gt;"",INDEX(tblBilling[Customer ID],$N64),"")</f>
        <v/>
      </c>
      <c r="C64" s="53">
        <f>IF($N64&lt;&gt;"",INDEX(tblBilling[Customer Name],$N64),CHOOSE(MIN(MAX($O64,0),7)+1,"","TOTAL","","Total Customers: "&amp;PC_Count,"Total Recovered: "&amp;CFG_CurrencySymbol&amp;" "&amp;TEXT(PC_TotalPaid,"#,##0"),"","Collector Signature: ____________",""))</f>
        <v/>
      </c>
      <c r="D64" s="53">
        <f>IF($N64&lt;&gt;"",INDEX(tblBilling[Full Address],$N64),CHOOSE(MIN(MAX($O64,0),7)+1,"","","","Total Billing: "&amp;CFG_CurrencySymbol&amp;" "&amp;TEXT(PC_TotalFee,"#,##0"),"Total Pending: "&amp;CFG_CurrencySymbol&amp;" "&amp;TEXT(PC_TotalBalance,"#,##0"),"","Office Verification: ____________",""))</f>
        <v/>
      </c>
      <c r="E64" s="53">
        <f>IF($N64&lt;&gt;"",INDEX(tblBilling[VLAN ID],$N64),"")</f>
        <v/>
      </c>
      <c r="F64" s="52">
        <f>IF($N64&lt;&gt;"",INDEX(tblBilling[Due Date],$N64),"")</f>
        <v/>
      </c>
      <c r="G64" s="54">
        <f>IF($N64&lt;&gt;"",INDEX(tblBilling[Monthly Fee],$N64),IF($O64=1,PC_TotalFee,""))</f>
        <v/>
      </c>
      <c r="H64" s="54">
        <f>IF($N64&lt;&gt;"",INDEX(tblBilling[Amount Paid],$N64),IF($O64=1,PC_TotalPaid,""))</f>
        <v/>
      </c>
      <c r="I64" s="54">
        <f>IF($N64&lt;&gt;"",INDEX(tblBilling[Balance],$N64),IF($O64=1,PC_TotalBalance,""))</f>
        <v/>
      </c>
      <c r="J64" s="53">
        <f>IF($N64&lt;&gt;"",INDEX(tblBilling[Payment Status],$N64),"")</f>
        <v/>
      </c>
      <c r="K64" s="55">
        <f>IF($N64&lt;&gt;"",IF(INDEX(tblBilling[Last Payment Date],$N64)="","",INDEX(tblBilling[Last Payment Date],$N64)),"")</f>
        <v/>
      </c>
      <c r="L64" s="53">
        <f>IF($N64&lt;&gt;"",INDEX(tblBilling[Collector Name],$N64),"")</f>
        <v/>
      </c>
      <c r="N64">
        <f>IF(N63="","",IFERROR(N63+MATCH(1,INDEX(tblBilling[Print Match],N63+1):INDEX(tblBilling[Print Match],ROWS(tblBilling[Print Match])),0),""))</f>
        <v/>
      </c>
      <c r="O64">
        <f>ROW()-9-MIN(PC_Count,500)</f>
        <v/>
      </c>
    </row>
    <row r="65" ht="20" customHeight="1">
      <c r="A65" s="52">
        <f>IF($N65="","",ROW()-9)</f>
        <v/>
      </c>
      <c r="B65" s="53">
        <f>IF($N65&lt;&gt;"",INDEX(tblBilling[Customer ID],$N65),"")</f>
        <v/>
      </c>
      <c r="C65" s="53">
        <f>IF($N65&lt;&gt;"",INDEX(tblBilling[Customer Name],$N65),CHOOSE(MIN(MAX($O65,0),7)+1,"","TOTAL","","Total Customers: "&amp;PC_Count,"Total Recovered: "&amp;CFG_CurrencySymbol&amp;" "&amp;TEXT(PC_TotalPaid,"#,##0"),"","Collector Signature: ____________",""))</f>
        <v/>
      </c>
      <c r="D65" s="53">
        <f>IF($N65&lt;&gt;"",INDEX(tblBilling[Full Address],$N65),CHOOSE(MIN(MAX($O65,0),7)+1,"","","","Total Billing: "&amp;CFG_CurrencySymbol&amp;" "&amp;TEXT(PC_TotalFee,"#,##0"),"Total Pending: "&amp;CFG_CurrencySymbol&amp;" "&amp;TEXT(PC_TotalBalance,"#,##0"),"","Office Verification: ____________",""))</f>
        <v/>
      </c>
      <c r="E65" s="53">
        <f>IF($N65&lt;&gt;"",INDEX(tblBilling[VLAN ID],$N65),"")</f>
        <v/>
      </c>
      <c r="F65" s="52">
        <f>IF($N65&lt;&gt;"",INDEX(tblBilling[Due Date],$N65),"")</f>
        <v/>
      </c>
      <c r="G65" s="54">
        <f>IF($N65&lt;&gt;"",INDEX(tblBilling[Monthly Fee],$N65),IF($O65=1,PC_TotalFee,""))</f>
        <v/>
      </c>
      <c r="H65" s="54">
        <f>IF($N65&lt;&gt;"",INDEX(tblBilling[Amount Paid],$N65),IF($O65=1,PC_TotalPaid,""))</f>
        <v/>
      </c>
      <c r="I65" s="54">
        <f>IF($N65&lt;&gt;"",INDEX(tblBilling[Balance],$N65),IF($O65=1,PC_TotalBalance,""))</f>
        <v/>
      </c>
      <c r="J65" s="53">
        <f>IF($N65&lt;&gt;"",INDEX(tblBilling[Payment Status],$N65),"")</f>
        <v/>
      </c>
      <c r="K65" s="55">
        <f>IF($N65&lt;&gt;"",IF(INDEX(tblBilling[Last Payment Date],$N65)="","",INDEX(tblBilling[Last Payment Date],$N65)),"")</f>
        <v/>
      </c>
      <c r="L65" s="53">
        <f>IF($N65&lt;&gt;"",INDEX(tblBilling[Collector Name],$N65),"")</f>
        <v/>
      </c>
      <c r="N65">
        <f>IF(N64="","",IFERROR(N64+MATCH(1,INDEX(tblBilling[Print Match],N64+1):INDEX(tblBilling[Print Match],ROWS(tblBilling[Print Match])),0),""))</f>
        <v/>
      </c>
      <c r="O65">
        <f>ROW()-9-MIN(PC_Count,500)</f>
        <v/>
      </c>
    </row>
    <row r="66" ht="20" customHeight="1">
      <c r="A66" s="52">
        <f>IF($N66="","",ROW()-9)</f>
        <v/>
      </c>
      <c r="B66" s="53">
        <f>IF($N66&lt;&gt;"",INDEX(tblBilling[Customer ID],$N66),"")</f>
        <v/>
      </c>
      <c r="C66" s="53">
        <f>IF($N66&lt;&gt;"",INDEX(tblBilling[Customer Name],$N66),CHOOSE(MIN(MAX($O66,0),7)+1,"","TOTAL","","Total Customers: "&amp;PC_Count,"Total Recovered: "&amp;CFG_CurrencySymbol&amp;" "&amp;TEXT(PC_TotalPaid,"#,##0"),"","Collector Signature: ____________",""))</f>
        <v/>
      </c>
      <c r="D66" s="53">
        <f>IF($N66&lt;&gt;"",INDEX(tblBilling[Full Address],$N66),CHOOSE(MIN(MAX($O66,0),7)+1,"","","","Total Billing: "&amp;CFG_CurrencySymbol&amp;" "&amp;TEXT(PC_TotalFee,"#,##0"),"Total Pending: "&amp;CFG_CurrencySymbol&amp;" "&amp;TEXT(PC_TotalBalance,"#,##0"),"","Office Verification: ____________",""))</f>
        <v/>
      </c>
      <c r="E66" s="53">
        <f>IF($N66&lt;&gt;"",INDEX(tblBilling[VLAN ID],$N66),"")</f>
        <v/>
      </c>
      <c r="F66" s="52">
        <f>IF($N66&lt;&gt;"",INDEX(tblBilling[Due Date],$N66),"")</f>
        <v/>
      </c>
      <c r="G66" s="54">
        <f>IF($N66&lt;&gt;"",INDEX(tblBilling[Monthly Fee],$N66),IF($O66=1,PC_TotalFee,""))</f>
        <v/>
      </c>
      <c r="H66" s="54">
        <f>IF($N66&lt;&gt;"",INDEX(tblBilling[Amount Paid],$N66),IF($O66=1,PC_TotalPaid,""))</f>
        <v/>
      </c>
      <c r="I66" s="54">
        <f>IF($N66&lt;&gt;"",INDEX(tblBilling[Balance],$N66),IF($O66=1,PC_TotalBalance,""))</f>
        <v/>
      </c>
      <c r="J66" s="53">
        <f>IF($N66&lt;&gt;"",INDEX(tblBilling[Payment Status],$N66),"")</f>
        <v/>
      </c>
      <c r="K66" s="55">
        <f>IF($N66&lt;&gt;"",IF(INDEX(tblBilling[Last Payment Date],$N66)="","",INDEX(tblBilling[Last Payment Date],$N66)),"")</f>
        <v/>
      </c>
      <c r="L66" s="53">
        <f>IF($N66&lt;&gt;"",INDEX(tblBilling[Collector Name],$N66),"")</f>
        <v/>
      </c>
      <c r="N66">
        <f>IF(N65="","",IFERROR(N65+MATCH(1,INDEX(tblBilling[Print Match],N65+1):INDEX(tblBilling[Print Match],ROWS(tblBilling[Print Match])),0),""))</f>
        <v/>
      </c>
      <c r="O66">
        <f>ROW()-9-MIN(PC_Count,500)</f>
        <v/>
      </c>
    </row>
    <row r="67" ht="20" customHeight="1">
      <c r="A67" s="52">
        <f>IF($N67="","",ROW()-9)</f>
        <v/>
      </c>
      <c r="B67" s="53">
        <f>IF($N67&lt;&gt;"",INDEX(tblBilling[Customer ID],$N67),"")</f>
        <v/>
      </c>
      <c r="C67" s="53">
        <f>IF($N67&lt;&gt;"",INDEX(tblBilling[Customer Name],$N67),CHOOSE(MIN(MAX($O67,0),7)+1,"","TOTAL","","Total Customers: "&amp;PC_Count,"Total Recovered: "&amp;CFG_CurrencySymbol&amp;" "&amp;TEXT(PC_TotalPaid,"#,##0"),"","Collector Signature: ____________",""))</f>
        <v/>
      </c>
      <c r="D67" s="53">
        <f>IF($N67&lt;&gt;"",INDEX(tblBilling[Full Address],$N67),CHOOSE(MIN(MAX($O67,0),7)+1,"","","","Total Billing: "&amp;CFG_CurrencySymbol&amp;" "&amp;TEXT(PC_TotalFee,"#,##0"),"Total Pending: "&amp;CFG_CurrencySymbol&amp;" "&amp;TEXT(PC_TotalBalance,"#,##0"),"","Office Verification: ____________",""))</f>
        <v/>
      </c>
      <c r="E67" s="53">
        <f>IF($N67&lt;&gt;"",INDEX(tblBilling[VLAN ID],$N67),"")</f>
        <v/>
      </c>
      <c r="F67" s="52">
        <f>IF($N67&lt;&gt;"",INDEX(tblBilling[Due Date],$N67),"")</f>
        <v/>
      </c>
      <c r="G67" s="54">
        <f>IF($N67&lt;&gt;"",INDEX(tblBilling[Monthly Fee],$N67),IF($O67=1,PC_TotalFee,""))</f>
        <v/>
      </c>
      <c r="H67" s="54">
        <f>IF($N67&lt;&gt;"",INDEX(tblBilling[Amount Paid],$N67),IF($O67=1,PC_TotalPaid,""))</f>
        <v/>
      </c>
      <c r="I67" s="54">
        <f>IF($N67&lt;&gt;"",INDEX(tblBilling[Balance],$N67),IF($O67=1,PC_TotalBalance,""))</f>
        <v/>
      </c>
      <c r="J67" s="53">
        <f>IF($N67&lt;&gt;"",INDEX(tblBilling[Payment Status],$N67),"")</f>
        <v/>
      </c>
      <c r="K67" s="55">
        <f>IF($N67&lt;&gt;"",IF(INDEX(tblBilling[Last Payment Date],$N67)="","",INDEX(tblBilling[Last Payment Date],$N67)),"")</f>
        <v/>
      </c>
      <c r="L67" s="53">
        <f>IF($N67&lt;&gt;"",INDEX(tblBilling[Collector Name],$N67),"")</f>
        <v/>
      </c>
      <c r="N67">
        <f>IF(N66="","",IFERROR(N66+MATCH(1,INDEX(tblBilling[Print Match],N66+1):INDEX(tblBilling[Print Match],ROWS(tblBilling[Print Match])),0),""))</f>
        <v/>
      </c>
      <c r="O67">
        <f>ROW()-9-MIN(PC_Count,500)</f>
        <v/>
      </c>
    </row>
    <row r="68" ht="20" customHeight="1">
      <c r="A68" s="52">
        <f>IF($N68="","",ROW()-9)</f>
        <v/>
      </c>
      <c r="B68" s="53">
        <f>IF($N68&lt;&gt;"",INDEX(tblBilling[Customer ID],$N68),"")</f>
        <v/>
      </c>
      <c r="C68" s="53">
        <f>IF($N68&lt;&gt;"",INDEX(tblBilling[Customer Name],$N68),CHOOSE(MIN(MAX($O68,0),7)+1,"","TOTAL","","Total Customers: "&amp;PC_Count,"Total Recovered: "&amp;CFG_CurrencySymbol&amp;" "&amp;TEXT(PC_TotalPaid,"#,##0"),"","Collector Signature: ____________",""))</f>
        <v/>
      </c>
      <c r="D68" s="53">
        <f>IF($N68&lt;&gt;"",INDEX(tblBilling[Full Address],$N68),CHOOSE(MIN(MAX($O68,0),7)+1,"","","","Total Billing: "&amp;CFG_CurrencySymbol&amp;" "&amp;TEXT(PC_TotalFee,"#,##0"),"Total Pending: "&amp;CFG_CurrencySymbol&amp;" "&amp;TEXT(PC_TotalBalance,"#,##0"),"","Office Verification: ____________",""))</f>
        <v/>
      </c>
      <c r="E68" s="53">
        <f>IF($N68&lt;&gt;"",INDEX(tblBilling[VLAN ID],$N68),"")</f>
        <v/>
      </c>
      <c r="F68" s="52">
        <f>IF($N68&lt;&gt;"",INDEX(tblBilling[Due Date],$N68),"")</f>
        <v/>
      </c>
      <c r="G68" s="54">
        <f>IF($N68&lt;&gt;"",INDEX(tblBilling[Monthly Fee],$N68),IF($O68=1,PC_TotalFee,""))</f>
        <v/>
      </c>
      <c r="H68" s="54">
        <f>IF($N68&lt;&gt;"",INDEX(tblBilling[Amount Paid],$N68),IF($O68=1,PC_TotalPaid,""))</f>
        <v/>
      </c>
      <c r="I68" s="54">
        <f>IF($N68&lt;&gt;"",INDEX(tblBilling[Balance],$N68),IF($O68=1,PC_TotalBalance,""))</f>
        <v/>
      </c>
      <c r="J68" s="53">
        <f>IF($N68&lt;&gt;"",INDEX(tblBilling[Payment Status],$N68),"")</f>
        <v/>
      </c>
      <c r="K68" s="55">
        <f>IF($N68&lt;&gt;"",IF(INDEX(tblBilling[Last Payment Date],$N68)="","",INDEX(tblBilling[Last Payment Date],$N68)),"")</f>
        <v/>
      </c>
      <c r="L68" s="53">
        <f>IF($N68&lt;&gt;"",INDEX(tblBilling[Collector Name],$N68),"")</f>
        <v/>
      </c>
      <c r="N68">
        <f>IF(N67="","",IFERROR(N67+MATCH(1,INDEX(tblBilling[Print Match],N67+1):INDEX(tblBilling[Print Match],ROWS(tblBilling[Print Match])),0),""))</f>
        <v/>
      </c>
      <c r="O68">
        <f>ROW()-9-MIN(PC_Count,500)</f>
        <v/>
      </c>
    </row>
    <row r="69" ht="20" customHeight="1">
      <c r="A69" s="52">
        <f>IF($N69="","",ROW()-9)</f>
        <v/>
      </c>
      <c r="B69" s="53">
        <f>IF($N69&lt;&gt;"",INDEX(tblBilling[Customer ID],$N69),"")</f>
        <v/>
      </c>
      <c r="C69" s="53">
        <f>IF($N69&lt;&gt;"",INDEX(tblBilling[Customer Name],$N69),CHOOSE(MIN(MAX($O69,0),7)+1,"","TOTAL","","Total Customers: "&amp;PC_Count,"Total Recovered: "&amp;CFG_CurrencySymbol&amp;" "&amp;TEXT(PC_TotalPaid,"#,##0"),"","Collector Signature: ____________",""))</f>
        <v/>
      </c>
      <c r="D69" s="53">
        <f>IF($N69&lt;&gt;"",INDEX(tblBilling[Full Address],$N69),CHOOSE(MIN(MAX($O69,0),7)+1,"","","","Total Billing: "&amp;CFG_CurrencySymbol&amp;" "&amp;TEXT(PC_TotalFee,"#,##0"),"Total Pending: "&amp;CFG_CurrencySymbol&amp;" "&amp;TEXT(PC_TotalBalance,"#,##0"),"","Office Verification: ____________",""))</f>
        <v/>
      </c>
      <c r="E69" s="53">
        <f>IF($N69&lt;&gt;"",INDEX(tblBilling[VLAN ID],$N69),"")</f>
        <v/>
      </c>
      <c r="F69" s="52">
        <f>IF($N69&lt;&gt;"",INDEX(tblBilling[Due Date],$N69),"")</f>
        <v/>
      </c>
      <c r="G69" s="54">
        <f>IF($N69&lt;&gt;"",INDEX(tblBilling[Monthly Fee],$N69),IF($O69=1,PC_TotalFee,""))</f>
        <v/>
      </c>
      <c r="H69" s="54">
        <f>IF($N69&lt;&gt;"",INDEX(tblBilling[Amount Paid],$N69),IF($O69=1,PC_TotalPaid,""))</f>
        <v/>
      </c>
      <c r="I69" s="54">
        <f>IF($N69&lt;&gt;"",INDEX(tblBilling[Balance],$N69),IF($O69=1,PC_TotalBalance,""))</f>
        <v/>
      </c>
      <c r="J69" s="53">
        <f>IF($N69&lt;&gt;"",INDEX(tblBilling[Payment Status],$N69),"")</f>
        <v/>
      </c>
      <c r="K69" s="55">
        <f>IF($N69&lt;&gt;"",IF(INDEX(tblBilling[Last Payment Date],$N69)="","",INDEX(tblBilling[Last Payment Date],$N69)),"")</f>
        <v/>
      </c>
      <c r="L69" s="53">
        <f>IF($N69&lt;&gt;"",INDEX(tblBilling[Collector Name],$N69),"")</f>
        <v/>
      </c>
      <c r="N69">
        <f>IF(N68="","",IFERROR(N68+MATCH(1,INDEX(tblBilling[Print Match],N68+1):INDEX(tblBilling[Print Match],ROWS(tblBilling[Print Match])),0),""))</f>
        <v/>
      </c>
      <c r="O69">
        <f>ROW()-9-MIN(PC_Count,500)</f>
        <v/>
      </c>
    </row>
    <row r="70" ht="20" customHeight="1">
      <c r="A70" s="52">
        <f>IF($N70="","",ROW()-9)</f>
        <v/>
      </c>
      <c r="B70" s="53">
        <f>IF($N70&lt;&gt;"",INDEX(tblBilling[Customer ID],$N70),"")</f>
        <v/>
      </c>
      <c r="C70" s="53">
        <f>IF($N70&lt;&gt;"",INDEX(tblBilling[Customer Name],$N70),CHOOSE(MIN(MAX($O70,0),7)+1,"","TOTAL","","Total Customers: "&amp;PC_Count,"Total Recovered: "&amp;CFG_CurrencySymbol&amp;" "&amp;TEXT(PC_TotalPaid,"#,##0"),"","Collector Signature: ____________",""))</f>
        <v/>
      </c>
      <c r="D70" s="53">
        <f>IF($N70&lt;&gt;"",INDEX(tblBilling[Full Address],$N70),CHOOSE(MIN(MAX($O70,0),7)+1,"","","","Total Billing: "&amp;CFG_CurrencySymbol&amp;" "&amp;TEXT(PC_TotalFee,"#,##0"),"Total Pending: "&amp;CFG_CurrencySymbol&amp;" "&amp;TEXT(PC_TotalBalance,"#,##0"),"","Office Verification: ____________",""))</f>
        <v/>
      </c>
      <c r="E70" s="53">
        <f>IF($N70&lt;&gt;"",INDEX(tblBilling[VLAN ID],$N70),"")</f>
        <v/>
      </c>
      <c r="F70" s="52">
        <f>IF($N70&lt;&gt;"",INDEX(tblBilling[Due Date],$N70),"")</f>
        <v/>
      </c>
      <c r="G70" s="54">
        <f>IF($N70&lt;&gt;"",INDEX(tblBilling[Monthly Fee],$N70),IF($O70=1,PC_TotalFee,""))</f>
        <v/>
      </c>
      <c r="H70" s="54">
        <f>IF($N70&lt;&gt;"",INDEX(tblBilling[Amount Paid],$N70),IF($O70=1,PC_TotalPaid,""))</f>
        <v/>
      </c>
      <c r="I70" s="54">
        <f>IF($N70&lt;&gt;"",INDEX(tblBilling[Balance],$N70),IF($O70=1,PC_TotalBalance,""))</f>
        <v/>
      </c>
      <c r="J70" s="53">
        <f>IF($N70&lt;&gt;"",INDEX(tblBilling[Payment Status],$N70),"")</f>
        <v/>
      </c>
      <c r="K70" s="55">
        <f>IF($N70&lt;&gt;"",IF(INDEX(tblBilling[Last Payment Date],$N70)="","",INDEX(tblBilling[Last Payment Date],$N70)),"")</f>
        <v/>
      </c>
      <c r="L70" s="53">
        <f>IF($N70&lt;&gt;"",INDEX(tblBilling[Collector Name],$N70),"")</f>
        <v/>
      </c>
      <c r="N70">
        <f>IF(N69="","",IFERROR(N69+MATCH(1,INDEX(tblBilling[Print Match],N69+1):INDEX(tblBilling[Print Match],ROWS(tblBilling[Print Match])),0),""))</f>
        <v/>
      </c>
      <c r="O70">
        <f>ROW()-9-MIN(PC_Count,500)</f>
        <v/>
      </c>
    </row>
    <row r="71" ht="20" customHeight="1">
      <c r="A71" s="52">
        <f>IF($N71="","",ROW()-9)</f>
        <v/>
      </c>
      <c r="B71" s="53">
        <f>IF($N71&lt;&gt;"",INDEX(tblBilling[Customer ID],$N71),"")</f>
        <v/>
      </c>
      <c r="C71" s="53">
        <f>IF($N71&lt;&gt;"",INDEX(tblBilling[Customer Name],$N71),CHOOSE(MIN(MAX($O71,0),7)+1,"","TOTAL","","Total Customers: "&amp;PC_Count,"Total Recovered: "&amp;CFG_CurrencySymbol&amp;" "&amp;TEXT(PC_TotalPaid,"#,##0"),"","Collector Signature: ____________",""))</f>
        <v/>
      </c>
      <c r="D71" s="53">
        <f>IF($N71&lt;&gt;"",INDEX(tblBilling[Full Address],$N71),CHOOSE(MIN(MAX($O71,0),7)+1,"","","","Total Billing: "&amp;CFG_CurrencySymbol&amp;" "&amp;TEXT(PC_TotalFee,"#,##0"),"Total Pending: "&amp;CFG_CurrencySymbol&amp;" "&amp;TEXT(PC_TotalBalance,"#,##0"),"","Office Verification: ____________",""))</f>
        <v/>
      </c>
      <c r="E71" s="53">
        <f>IF($N71&lt;&gt;"",INDEX(tblBilling[VLAN ID],$N71),"")</f>
        <v/>
      </c>
      <c r="F71" s="52">
        <f>IF($N71&lt;&gt;"",INDEX(tblBilling[Due Date],$N71),"")</f>
        <v/>
      </c>
      <c r="G71" s="54">
        <f>IF($N71&lt;&gt;"",INDEX(tblBilling[Monthly Fee],$N71),IF($O71=1,PC_TotalFee,""))</f>
        <v/>
      </c>
      <c r="H71" s="54">
        <f>IF($N71&lt;&gt;"",INDEX(tblBilling[Amount Paid],$N71),IF($O71=1,PC_TotalPaid,""))</f>
        <v/>
      </c>
      <c r="I71" s="54">
        <f>IF($N71&lt;&gt;"",INDEX(tblBilling[Balance],$N71),IF($O71=1,PC_TotalBalance,""))</f>
        <v/>
      </c>
      <c r="J71" s="53">
        <f>IF($N71&lt;&gt;"",INDEX(tblBilling[Payment Status],$N71),"")</f>
        <v/>
      </c>
      <c r="K71" s="55">
        <f>IF($N71&lt;&gt;"",IF(INDEX(tblBilling[Last Payment Date],$N71)="","",INDEX(tblBilling[Last Payment Date],$N71)),"")</f>
        <v/>
      </c>
      <c r="L71" s="53">
        <f>IF($N71&lt;&gt;"",INDEX(tblBilling[Collector Name],$N71),"")</f>
        <v/>
      </c>
      <c r="N71">
        <f>IF(N70="","",IFERROR(N70+MATCH(1,INDEX(tblBilling[Print Match],N70+1):INDEX(tblBilling[Print Match],ROWS(tblBilling[Print Match])),0),""))</f>
        <v/>
      </c>
      <c r="O71">
        <f>ROW()-9-MIN(PC_Count,500)</f>
        <v/>
      </c>
    </row>
    <row r="72" ht="20" customHeight="1">
      <c r="A72" s="52">
        <f>IF($N72="","",ROW()-9)</f>
        <v/>
      </c>
      <c r="B72" s="53">
        <f>IF($N72&lt;&gt;"",INDEX(tblBilling[Customer ID],$N72),"")</f>
        <v/>
      </c>
      <c r="C72" s="53">
        <f>IF($N72&lt;&gt;"",INDEX(tblBilling[Customer Name],$N72),CHOOSE(MIN(MAX($O72,0),7)+1,"","TOTAL","","Total Customers: "&amp;PC_Count,"Total Recovered: "&amp;CFG_CurrencySymbol&amp;" "&amp;TEXT(PC_TotalPaid,"#,##0"),"","Collector Signature: ____________",""))</f>
        <v/>
      </c>
      <c r="D72" s="53">
        <f>IF($N72&lt;&gt;"",INDEX(tblBilling[Full Address],$N72),CHOOSE(MIN(MAX($O72,0),7)+1,"","","","Total Billing: "&amp;CFG_CurrencySymbol&amp;" "&amp;TEXT(PC_TotalFee,"#,##0"),"Total Pending: "&amp;CFG_CurrencySymbol&amp;" "&amp;TEXT(PC_TotalBalance,"#,##0"),"","Office Verification: ____________",""))</f>
        <v/>
      </c>
      <c r="E72" s="53">
        <f>IF($N72&lt;&gt;"",INDEX(tblBilling[VLAN ID],$N72),"")</f>
        <v/>
      </c>
      <c r="F72" s="52">
        <f>IF($N72&lt;&gt;"",INDEX(tblBilling[Due Date],$N72),"")</f>
        <v/>
      </c>
      <c r="G72" s="54">
        <f>IF($N72&lt;&gt;"",INDEX(tblBilling[Monthly Fee],$N72),IF($O72=1,PC_TotalFee,""))</f>
        <v/>
      </c>
      <c r="H72" s="54">
        <f>IF($N72&lt;&gt;"",INDEX(tblBilling[Amount Paid],$N72),IF($O72=1,PC_TotalPaid,""))</f>
        <v/>
      </c>
      <c r="I72" s="54">
        <f>IF($N72&lt;&gt;"",INDEX(tblBilling[Balance],$N72),IF($O72=1,PC_TotalBalance,""))</f>
        <v/>
      </c>
      <c r="J72" s="53">
        <f>IF($N72&lt;&gt;"",INDEX(tblBilling[Payment Status],$N72),"")</f>
        <v/>
      </c>
      <c r="K72" s="55">
        <f>IF($N72&lt;&gt;"",IF(INDEX(tblBilling[Last Payment Date],$N72)="","",INDEX(tblBilling[Last Payment Date],$N72)),"")</f>
        <v/>
      </c>
      <c r="L72" s="53">
        <f>IF($N72&lt;&gt;"",INDEX(tblBilling[Collector Name],$N72),"")</f>
        <v/>
      </c>
      <c r="N72">
        <f>IF(N71="","",IFERROR(N71+MATCH(1,INDEX(tblBilling[Print Match],N71+1):INDEX(tblBilling[Print Match],ROWS(tblBilling[Print Match])),0),""))</f>
        <v/>
      </c>
      <c r="O72">
        <f>ROW()-9-MIN(PC_Count,500)</f>
        <v/>
      </c>
    </row>
    <row r="73" ht="20" customHeight="1">
      <c r="A73" s="52">
        <f>IF($N73="","",ROW()-9)</f>
        <v/>
      </c>
      <c r="B73" s="53">
        <f>IF($N73&lt;&gt;"",INDEX(tblBilling[Customer ID],$N73),"")</f>
        <v/>
      </c>
      <c r="C73" s="53">
        <f>IF($N73&lt;&gt;"",INDEX(tblBilling[Customer Name],$N73),CHOOSE(MIN(MAX($O73,0),7)+1,"","TOTAL","","Total Customers: "&amp;PC_Count,"Total Recovered: "&amp;CFG_CurrencySymbol&amp;" "&amp;TEXT(PC_TotalPaid,"#,##0"),"","Collector Signature: ____________",""))</f>
        <v/>
      </c>
      <c r="D73" s="53">
        <f>IF($N73&lt;&gt;"",INDEX(tblBilling[Full Address],$N73),CHOOSE(MIN(MAX($O73,0),7)+1,"","","","Total Billing: "&amp;CFG_CurrencySymbol&amp;" "&amp;TEXT(PC_TotalFee,"#,##0"),"Total Pending: "&amp;CFG_CurrencySymbol&amp;" "&amp;TEXT(PC_TotalBalance,"#,##0"),"","Office Verification: ____________",""))</f>
        <v/>
      </c>
      <c r="E73" s="53">
        <f>IF($N73&lt;&gt;"",INDEX(tblBilling[VLAN ID],$N73),"")</f>
        <v/>
      </c>
      <c r="F73" s="52">
        <f>IF($N73&lt;&gt;"",INDEX(tblBilling[Due Date],$N73),"")</f>
        <v/>
      </c>
      <c r="G73" s="54">
        <f>IF($N73&lt;&gt;"",INDEX(tblBilling[Monthly Fee],$N73),IF($O73=1,PC_TotalFee,""))</f>
        <v/>
      </c>
      <c r="H73" s="54">
        <f>IF($N73&lt;&gt;"",INDEX(tblBilling[Amount Paid],$N73),IF($O73=1,PC_TotalPaid,""))</f>
        <v/>
      </c>
      <c r="I73" s="54">
        <f>IF($N73&lt;&gt;"",INDEX(tblBilling[Balance],$N73),IF($O73=1,PC_TotalBalance,""))</f>
        <v/>
      </c>
      <c r="J73" s="53">
        <f>IF($N73&lt;&gt;"",INDEX(tblBilling[Payment Status],$N73),"")</f>
        <v/>
      </c>
      <c r="K73" s="55">
        <f>IF($N73&lt;&gt;"",IF(INDEX(tblBilling[Last Payment Date],$N73)="","",INDEX(tblBilling[Last Payment Date],$N73)),"")</f>
        <v/>
      </c>
      <c r="L73" s="53">
        <f>IF($N73&lt;&gt;"",INDEX(tblBilling[Collector Name],$N73),"")</f>
        <v/>
      </c>
      <c r="N73">
        <f>IF(N72="","",IFERROR(N72+MATCH(1,INDEX(tblBilling[Print Match],N72+1):INDEX(tblBilling[Print Match],ROWS(tblBilling[Print Match])),0),""))</f>
        <v/>
      </c>
      <c r="O73">
        <f>ROW()-9-MIN(PC_Count,500)</f>
        <v/>
      </c>
    </row>
    <row r="74" ht="20" customHeight="1">
      <c r="A74" s="52">
        <f>IF($N74="","",ROW()-9)</f>
        <v/>
      </c>
      <c r="B74" s="53">
        <f>IF($N74&lt;&gt;"",INDEX(tblBilling[Customer ID],$N74),"")</f>
        <v/>
      </c>
      <c r="C74" s="53">
        <f>IF($N74&lt;&gt;"",INDEX(tblBilling[Customer Name],$N74),CHOOSE(MIN(MAX($O74,0),7)+1,"","TOTAL","","Total Customers: "&amp;PC_Count,"Total Recovered: "&amp;CFG_CurrencySymbol&amp;" "&amp;TEXT(PC_TotalPaid,"#,##0"),"","Collector Signature: ____________",""))</f>
        <v/>
      </c>
      <c r="D74" s="53">
        <f>IF($N74&lt;&gt;"",INDEX(tblBilling[Full Address],$N74),CHOOSE(MIN(MAX($O74,0),7)+1,"","","","Total Billing: "&amp;CFG_CurrencySymbol&amp;" "&amp;TEXT(PC_TotalFee,"#,##0"),"Total Pending: "&amp;CFG_CurrencySymbol&amp;" "&amp;TEXT(PC_TotalBalance,"#,##0"),"","Office Verification: ____________",""))</f>
        <v/>
      </c>
      <c r="E74" s="53">
        <f>IF($N74&lt;&gt;"",INDEX(tblBilling[VLAN ID],$N74),"")</f>
        <v/>
      </c>
      <c r="F74" s="52">
        <f>IF($N74&lt;&gt;"",INDEX(tblBilling[Due Date],$N74),"")</f>
        <v/>
      </c>
      <c r="G74" s="54">
        <f>IF($N74&lt;&gt;"",INDEX(tblBilling[Monthly Fee],$N74),IF($O74=1,PC_TotalFee,""))</f>
        <v/>
      </c>
      <c r="H74" s="54">
        <f>IF($N74&lt;&gt;"",INDEX(tblBilling[Amount Paid],$N74),IF($O74=1,PC_TotalPaid,""))</f>
        <v/>
      </c>
      <c r="I74" s="54">
        <f>IF($N74&lt;&gt;"",INDEX(tblBilling[Balance],$N74),IF($O74=1,PC_TotalBalance,""))</f>
        <v/>
      </c>
      <c r="J74" s="53">
        <f>IF($N74&lt;&gt;"",INDEX(tblBilling[Payment Status],$N74),"")</f>
        <v/>
      </c>
      <c r="K74" s="55">
        <f>IF($N74&lt;&gt;"",IF(INDEX(tblBilling[Last Payment Date],$N74)="","",INDEX(tblBilling[Last Payment Date],$N74)),"")</f>
        <v/>
      </c>
      <c r="L74" s="53">
        <f>IF($N74&lt;&gt;"",INDEX(tblBilling[Collector Name],$N74),"")</f>
        <v/>
      </c>
      <c r="N74">
        <f>IF(N73="","",IFERROR(N73+MATCH(1,INDEX(tblBilling[Print Match],N73+1):INDEX(tblBilling[Print Match],ROWS(tblBilling[Print Match])),0),""))</f>
        <v/>
      </c>
      <c r="O74">
        <f>ROW()-9-MIN(PC_Count,500)</f>
        <v/>
      </c>
    </row>
    <row r="75" ht="20" customHeight="1">
      <c r="A75" s="52">
        <f>IF($N75="","",ROW()-9)</f>
        <v/>
      </c>
      <c r="B75" s="53">
        <f>IF($N75&lt;&gt;"",INDEX(tblBilling[Customer ID],$N75),"")</f>
        <v/>
      </c>
      <c r="C75" s="53">
        <f>IF($N75&lt;&gt;"",INDEX(tblBilling[Customer Name],$N75),CHOOSE(MIN(MAX($O75,0),7)+1,"","TOTAL","","Total Customers: "&amp;PC_Count,"Total Recovered: "&amp;CFG_CurrencySymbol&amp;" "&amp;TEXT(PC_TotalPaid,"#,##0"),"","Collector Signature: ____________",""))</f>
        <v/>
      </c>
      <c r="D75" s="53">
        <f>IF($N75&lt;&gt;"",INDEX(tblBilling[Full Address],$N75),CHOOSE(MIN(MAX($O75,0),7)+1,"","","","Total Billing: "&amp;CFG_CurrencySymbol&amp;" "&amp;TEXT(PC_TotalFee,"#,##0"),"Total Pending: "&amp;CFG_CurrencySymbol&amp;" "&amp;TEXT(PC_TotalBalance,"#,##0"),"","Office Verification: ____________",""))</f>
        <v/>
      </c>
      <c r="E75" s="53">
        <f>IF($N75&lt;&gt;"",INDEX(tblBilling[VLAN ID],$N75),"")</f>
        <v/>
      </c>
      <c r="F75" s="52">
        <f>IF($N75&lt;&gt;"",INDEX(tblBilling[Due Date],$N75),"")</f>
        <v/>
      </c>
      <c r="G75" s="54">
        <f>IF($N75&lt;&gt;"",INDEX(tblBilling[Monthly Fee],$N75),IF($O75=1,PC_TotalFee,""))</f>
        <v/>
      </c>
      <c r="H75" s="54">
        <f>IF($N75&lt;&gt;"",INDEX(tblBilling[Amount Paid],$N75),IF($O75=1,PC_TotalPaid,""))</f>
        <v/>
      </c>
      <c r="I75" s="54">
        <f>IF($N75&lt;&gt;"",INDEX(tblBilling[Balance],$N75),IF($O75=1,PC_TotalBalance,""))</f>
        <v/>
      </c>
      <c r="J75" s="53">
        <f>IF($N75&lt;&gt;"",INDEX(tblBilling[Payment Status],$N75),"")</f>
        <v/>
      </c>
      <c r="K75" s="55">
        <f>IF($N75&lt;&gt;"",IF(INDEX(tblBilling[Last Payment Date],$N75)="","",INDEX(tblBilling[Last Payment Date],$N75)),"")</f>
        <v/>
      </c>
      <c r="L75" s="53">
        <f>IF($N75&lt;&gt;"",INDEX(tblBilling[Collector Name],$N75),"")</f>
        <v/>
      </c>
      <c r="N75">
        <f>IF(N74="","",IFERROR(N74+MATCH(1,INDEX(tblBilling[Print Match],N74+1):INDEX(tblBilling[Print Match],ROWS(tblBilling[Print Match])),0),""))</f>
        <v/>
      </c>
      <c r="O75">
        <f>ROW()-9-MIN(PC_Count,500)</f>
        <v/>
      </c>
    </row>
    <row r="76" ht="20" customHeight="1">
      <c r="A76" s="52">
        <f>IF($N76="","",ROW()-9)</f>
        <v/>
      </c>
      <c r="B76" s="53">
        <f>IF($N76&lt;&gt;"",INDEX(tblBilling[Customer ID],$N76),"")</f>
        <v/>
      </c>
      <c r="C76" s="53">
        <f>IF($N76&lt;&gt;"",INDEX(tblBilling[Customer Name],$N76),CHOOSE(MIN(MAX($O76,0),7)+1,"","TOTAL","","Total Customers: "&amp;PC_Count,"Total Recovered: "&amp;CFG_CurrencySymbol&amp;" "&amp;TEXT(PC_TotalPaid,"#,##0"),"","Collector Signature: ____________",""))</f>
        <v/>
      </c>
      <c r="D76" s="53">
        <f>IF($N76&lt;&gt;"",INDEX(tblBilling[Full Address],$N76),CHOOSE(MIN(MAX($O76,0),7)+1,"","","","Total Billing: "&amp;CFG_CurrencySymbol&amp;" "&amp;TEXT(PC_TotalFee,"#,##0"),"Total Pending: "&amp;CFG_CurrencySymbol&amp;" "&amp;TEXT(PC_TotalBalance,"#,##0"),"","Office Verification: ____________",""))</f>
        <v/>
      </c>
      <c r="E76" s="53">
        <f>IF($N76&lt;&gt;"",INDEX(tblBilling[VLAN ID],$N76),"")</f>
        <v/>
      </c>
      <c r="F76" s="52">
        <f>IF($N76&lt;&gt;"",INDEX(tblBilling[Due Date],$N76),"")</f>
        <v/>
      </c>
      <c r="G76" s="54">
        <f>IF($N76&lt;&gt;"",INDEX(tblBilling[Monthly Fee],$N76),IF($O76=1,PC_TotalFee,""))</f>
        <v/>
      </c>
      <c r="H76" s="54">
        <f>IF($N76&lt;&gt;"",INDEX(tblBilling[Amount Paid],$N76),IF($O76=1,PC_TotalPaid,""))</f>
        <v/>
      </c>
      <c r="I76" s="54">
        <f>IF($N76&lt;&gt;"",INDEX(tblBilling[Balance],$N76),IF($O76=1,PC_TotalBalance,""))</f>
        <v/>
      </c>
      <c r="J76" s="53">
        <f>IF($N76&lt;&gt;"",INDEX(tblBilling[Payment Status],$N76),"")</f>
        <v/>
      </c>
      <c r="K76" s="55">
        <f>IF($N76&lt;&gt;"",IF(INDEX(tblBilling[Last Payment Date],$N76)="","",INDEX(tblBilling[Last Payment Date],$N76)),"")</f>
        <v/>
      </c>
      <c r="L76" s="53">
        <f>IF($N76&lt;&gt;"",INDEX(tblBilling[Collector Name],$N76),"")</f>
        <v/>
      </c>
      <c r="N76">
        <f>IF(N75="","",IFERROR(N75+MATCH(1,INDEX(tblBilling[Print Match],N75+1):INDEX(tblBilling[Print Match],ROWS(tblBilling[Print Match])),0),""))</f>
        <v/>
      </c>
      <c r="O76">
        <f>ROW()-9-MIN(PC_Count,500)</f>
        <v/>
      </c>
    </row>
    <row r="77" ht="20" customHeight="1">
      <c r="A77" s="52">
        <f>IF($N77="","",ROW()-9)</f>
        <v/>
      </c>
      <c r="B77" s="53">
        <f>IF($N77&lt;&gt;"",INDEX(tblBilling[Customer ID],$N77),"")</f>
        <v/>
      </c>
      <c r="C77" s="53">
        <f>IF($N77&lt;&gt;"",INDEX(tblBilling[Customer Name],$N77),CHOOSE(MIN(MAX($O77,0),7)+1,"","TOTAL","","Total Customers: "&amp;PC_Count,"Total Recovered: "&amp;CFG_CurrencySymbol&amp;" "&amp;TEXT(PC_TotalPaid,"#,##0"),"","Collector Signature: ____________",""))</f>
        <v/>
      </c>
      <c r="D77" s="53">
        <f>IF($N77&lt;&gt;"",INDEX(tblBilling[Full Address],$N77),CHOOSE(MIN(MAX($O77,0),7)+1,"","","","Total Billing: "&amp;CFG_CurrencySymbol&amp;" "&amp;TEXT(PC_TotalFee,"#,##0"),"Total Pending: "&amp;CFG_CurrencySymbol&amp;" "&amp;TEXT(PC_TotalBalance,"#,##0"),"","Office Verification: ____________",""))</f>
        <v/>
      </c>
      <c r="E77" s="53">
        <f>IF($N77&lt;&gt;"",INDEX(tblBilling[VLAN ID],$N77),"")</f>
        <v/>
      </c>
      <c r="F77" s="52">
        <f>IF($N77&lt;&gt;"",INDEX(tblBilling[Due Date],$N77),"")</f>
        <v/>
      </c>
      <c r="G77" s="54">
        <f>IF($N77&lt;&gt;"",INDEX(tblBilling[Monthly Fee],$N77),IF($O77=1,PC_TotalFee,""))</f>
        <v/>
      </c>
      <c r="H77" s="54">
        <f>IF($N77&lt;&gt;"",INDEX(tblBilling[Amount Paid],$N77),IF($O77=1,PC_TotalPaid,""))</f>
        <v/>
      </c>
      <c r="I77" s="54">
        <f>IF($N77&lt;&gt;"",INDEX(tblBilling[Balance],$N77),IF($O77=1,PC_TotalBalance,""))</f>
        <v/>
      </c>
      <c r="J77" s="53">
        <f>IF($N77&lt;&gt;"",INDEX(tblBilling[Payment Status],$N77),"")</f>
        <v/>
      </c>
      <c r="K77" s="55">
        <f>IF($N77&lt;&gt;"",IF(INDEX(tblBilling[Last Payment Date],$N77)="","",INDEX(tblBilling[Last Payment Date],$N77)),"")</f>
        <v/>
      </c>
      <c r="L77" s="53">
        <f>IF($N77&lt;&gt;"",INDEX(tblBilling[Collector Name],$N77),"")</f>
        <v/>
      </c>
      <c r="N77">
        <f>IF(N76="","",IFERROR(N76+MATCH(1,INDEX(tblBilling[Print Match],N76+1):INDEX(tblBilling[Print Match],ROWS(tblBilling[Print Match])),0),""))</f>
        <v/>
      </c>
      <c r="O77">
        <f>ROW()-9-MIN(PC_Count,500)</f>
        <v/>
      </c>
    </row>
    <row r="78" ht="20" customHeight="1">
      <c r="A78" s="52">
        <f>IF($N78="","",ROW()-9)</f>
        <v/>
      </c>
      <c r="B78" s="53">
        <f>IF($N78&lt;&gt;"",INDEX(tblBilling[Customer ID],$N78),"")</f>
        <v/>
      </c>
      <c r="C78" s="53">
        <f>IF($N78&lt;&gt;"",INDEX(tblBilling[Customer Name],$N78),CHOOSE(MIN(MAX($O78,0),7)+1,"","TOTAL","","Total Customers: "&amp;PC_Count,"Total Recovered: "&amp;CFG_CurrencySymbol&amp;" "&amp;TEXT(PC_TotalPaid,"#,##0"),"","Collector Signature: ____________",""))</f>
        <v/>
      </c>
      <c r="D78" s="53">
        <f>IF($N78&lt;&gt;"",INDEX(tblBilling[Full Address],$N78),CHOOSE(MIN(MAX($O78,0),7)+1,"","","","Total Billing: "&amp;CFG_CurrencySymbol&amp;" "&amp;TEXT(PC_TotalFee,"#,##0"),"Total Pending: "&amp;CFG_CurrencySymbol&amp;" "&amp;TEXT(PC_TotalBalance,"#,##0"),"","Office Verification: ____________",""))</f>
        <v/>
      </c>
      <c r="E78" s="53">
        <f>IF($N78&lt;&gt;"",INDEX(tblBilling[VLAN ID],$N78),"")</f>
        <v/>
      </c>
      <c r="F78" s="52">
        <f>IF($N78&lt;&gt;"",INDEX(tblBilling[Due Date],$N78),"")</f>
        <v/>
      </c>
      <c r="G78" s="54">
        <f>IF($N78&lt;&gt;"",INDEX(tblBilling[Monthly Fee],$N78),IF($O78=1,PC_TotalFee,""))</f>
        <v/>
      </c>
      <c r="H78" s="54">
        <f>IF($N78&lt;&gt;"",INDEX(tblBilling[Amount Paid],$N78),IF($O78=1,PC_TotalPaid,""))</f>
        <v/>
      </c>
      <c r="I78" s="54">
        <f>IF($N78&lt;&gt;"",INDEX(tblBilling[Balance],$N78),IF($O78=1,PC_TotalBalance,""))</f>
        <v/>
      </c>
      <c r="J78" s="53">
        <f>IF($N78&lt;&gt;"",INDEX(tblBilling[Payment Status],$N78),"")</f>
        <v/>
      </c>
      <c r="K78" s="55">
        <f>IF($N78&lt;&gt;"",IF(INDEX(tblBilling[Last Payment Date],$N78)="","",INDEX(tblBilling[Last Payment Date],$N78)),"")</f>
        <v/>
      </c>
      <c r="L78" s="53">
        <f>IF($N78&lt;&gt;"",INDEX(tblBilling[Collector Name],$N78),"")</f>
        <v/>
      </c>
      <c r="N78">
        <f>IF(N77="","",IFERROR(N77+MATCH(1,INDEX(tblBilling[Print Match],N77+1):INDEX(tblBilling[Print Match],ROWS(tblBilling[Print Match])),0),""))</f>
        <v/>
      </c>
      <c r="O78">
        <f>ROW()-9-MIN(PC_Count,500)</f>
        <v/>
      </c>
    </row>
    <row r="79" ht="20" customHeight="1">
      <c r="A79" s="52">
        <f>IF($N79="","",ROW()-9)</f>
        <v/>
      </c>
      <c r="B79" s="53">
        <f>IF($N79&lt;&gt;"",INDEX(tblBilling[Customer ID],$N79),"")</f>
        <v/>
      </c>
      <c r="C79" s="53">
        <f>IF($N79&lt;&gt;"",INDEX(tblBilling[Customer Name],$N79),CHOOSE(MIN(MAX($O79,0),7)+1,"","TOTAL","","Total Customers: "&amp;PC_Count,"Total Recovered: "&amp;CFG_CurrencySymbol&amp;" "&amp;TEXT(PC_TotalPaid,"#,##0"),"","Collector Signature: ____________",""))</f>
        <v/>
      </c>
      <c r="D79" s="53">
        <f>IF($N79&lt;&gt;"",INDEX(tblBilling[Full Address],$N79),CHOOSE(MIN(MAX($O79,0),7)+1,"","","","Total Billing: "&amp;CFG_CurrencySymbol&amp;" "&amp;TEXT(PC_TotalFee,"#,##0"),"Total Pending: "&amp;CFG_CurrencySymbol&amp;" "&amp;TEXT(PC_TotalBalance,"#,##0"),"","Office Verification: ____________",""))</f>
        <v/>
      </c>
      <c r="E79" s="53">
        <f>IF($N79&lt;&gt;"",INDEX(tblBilling[VLAN ID],$N79),"")</f>
        <v/>
      </c>
      <c r="F79" s="52">
        <f>IF($N79&lt;&gt;"",INDEX(tblBilling[Due Date],$N79),"")</f>
        <v/>
      </c>
      <c r="G79" s="54">
        <f>IF($N79&lt;&gt;"",INDEX(tblBilling[Monthly Fee],$N79),IF($O79=1,PC_TotalFee,""))</f>
        <v/>
      </c>
      <c r="H79" s="54">
        <f>IF($N79&lt;&gt;"",INDEX(tblBilling[Amount Paid],$N79),IF($O79=1,PC_TotalPaid,""))</f>
        <v/>
      </c>
      <c r="I79" s="54">
        <f>IF($N79&lt;&gt;"",INDEX(tblBilling[Balance],$N79),IF($O79=1,PC_TotalBalance,""))</f>
        <v/>
      </c>
      <c r="J79" s="53">
        <f>IF($N79&lt;&gt;"",INDEX(tblBilling[Payment Status],$N79),"")</f>
        <v/>
      </c>
      <c r="K79" s="55">
        <f>IF($N79&lt;&gt;"",IF(INDEX(tblBilling[Last Payment Date],$N79)="","",INDEX(tblBilling[Last Payment Date],$N79)),"")</f>
        <v/>
      </c>
      <c r="L79" s="53">
        <f>IF($N79&lt;&gt;"",INDEX(tblBilling[Collector Name],$N79),"")</f>
        <v/>
      </c>
      <c r="N79">
        <f>IF(N78="","",IFERROR(N78+MATCH(1,INDEX(tblBilling[Print Match],N78+1):INDEX(tblBilling[Print Match],ROWS(tblBilling[Print Match])),0),""))</f>
        <v/>
      </c>
      <c r="O79">
        <f>ROW()-9-MIN(PC_Count,500)</f>
        <v/>
      </c>
    </row>
    <row r="80" ht="20" customHeight="1">
      <c r="A80" s="52">
        <f>IF($N80="","",ROW()-9)</f>
        <v/>
      </c>
      <c r="B80" s="53">
        <f>IF($N80&lt;&gt;"",INDEX(tblBilling[Customer ID],$N80),"")</f>
        <v/>
      </c>
      <c r="C80" s="53">
        <f>IF($N80&lt;&gt;"",INDEX(tblBilling[Customer Name],$N80),CHOOSE(MIN(MAX($O80,0),7)+1,"","TOTAL","","Total Customers: "&amp;PC_Count,"Total Recovered: "&amp;CFG_CurrencySymbol&amp;" "&amp;TEXT(PC_TotalPaid,"#,##0"),"","Collector Signature: ____________",""))</f>
        <v/>
      </c>
      <c r="D80" s="53">
        <f>IF($N80&lt;&gt;"",INDEX(tblBilling[Full Address],$N80),CHOOSE(MIN(MAX($O80,0),7)+1,"","","","Total Billing: "&amp;CFG_CurrencySymbol&amp;" "&amp;TEXT(PC_TotalFee,"#,##0"),"Total Pending: "&amp;CFG_CurrencySymbol&amp;" "&amp;TEXT(PC_TotalBalance,"#,##0"),"","Office Verification: ____________",""))</f>
        <v/>
      </c>
      <c r="E80" s="53">
        <f>IF($N80&lt;&gt;"",INDEX(tblBilling[VLAN ID],$N80),"")</f>
        <v/>
      </c>
      <c r="F80" s="52">
        <f>IF($N80&lt;&gt;"",INDEX(tblBilling[Due Date],$N80),"")</f>
        <v/>
      </c>
      <c r="G80" s="54">
        <f>IF($N80&lt;&gt;"",INDEX(tblBilling[Monthly Fee],$N80),IF($O80=1,PC_TotalFee,""))</f>
        <v/>
      </c>
      <c r="H80" s="54">
        <f>IF($N80&lt;&gt;"",INDEX(tblBilling[Amount Paid],$N80),IF($O80=1,PC_TotalPaid,""))</f>
        <v/>
      </c>
      <c r="I80" s="54">
        <f>IF($N80&lt;&gt;"",INDEX(tblBilling[Balance],$N80),IF($O80=1,PC_TotalBalance,""))</f>
        <v/>
      </c>
      <c r="J80" s="53">
        <f>IF($N80&lt;&gt;"",INDEX(tblBilling[Payment Status],$N80),"")</f>
        <v/>
      </c>
      <c r="K80" s="55">
        <f>IF($N80&lt;&gt;"",IF(INDEX(tblBilling[Last Payment Date],$N80)="","",INDEX(tblBilling[Last Payment Date],$N80)),"")</f>
        <v/>
      </c>
      <c r="L80" s="53">
        <f>IF($N80&lt;&gt;"",INDEX(tblBilling[Collector Name],$N80),"")</f>
        <v/>
      </c>
      <c r="N80">
        <f>IF(N79="","",IFERROR(N79+MATCH(1,INDEX(tblBilling[Print Match],N79+1):INDEX(tblBilling[Print Match],ROWS(tblBilling[Print Match])),0),""))</f>
        <v/>
      </c>
      <c r="O80">
        <f>ROW()-9-MIN(PC_Count,500)</f>
        <v/>
      </c>
    </row>
    <row r="81" ht="20" customHeight="1">
      <c r="A81" s="52">
        <f>IF($N81="","",ROW()-9)</f>
        <v/>
      </c>
      <c r="B81" s="53">
        <f>IF($N81&lt;&gt;"",INDEX(tblBilling[Customer ID],$N81),"")</f>
        <v/>
      </c>
      <c r="C81" s="53">
        <f>IF($N81&lt;&gt;"",INDEX(tblBilling[Customer Name],$N81),CHOOSE(MIN(MAX($O81,0),7)+1,"","TOTAL","","Total Customers: "&amp;PC_Count,"Total Recovered: "&amp;CFG_CurrencySymbol&amp;" "&amp;TEXT(PC_TotalPaid,"#,##0"),"","Collector Signature: ____________",""))</f>
        <v/>
      </c>
      <c r="D81" s="53">
        <f>IF($N81&lt;&gt;"",INDEX(tblBilling[Full Address],$N81),CHOOSE(MIN(MAX($O81,0),7)+1,"","","","Total Billing: "&amp;CFG_CurrencySymbol&amp;" "&amp;TEXT(PC_TotalFee,"#,##0"),"Total Pending: "&amp;CFG_CurrencySymbol&amp;" "&amp;TEXT(PC_TotalBalance,"#,##0"),"","Office Verification: ____________",""))</f>
        <v/>
      </c>
      <c r="E81" s="53">
        <f>IF($N81&lt;&gt;"",INDEX(tblBilling[VLAN ID],$N81),"")</f>
        <v/>
      </c>
      <c r="F81" s="52">
        <f>IF($N81&lt;&gt;"",INDEX(tblBilling[Due Date],$N81),"")</f>
        <v/>
      </c>
      <c r="G81" s="54">
        <f>IF($N81&lt;&gt;"",INDEX(tblBilling[Monthly Fee],$N81),IF($O81=1,PC_TotalFee,""))</f>
        <v/>
      </c>
      <c r="H81" s="54">
        <f>IF($N81&lt;&gt;"",INDEX(tblBilling[Amount Paid],$N81),IF($O81=1,PC_TotalPaid,""))</f>
        <v/>
      </c>
      <c r="I81" s="54">
        <f>IF($N81&lt;&gt;"",INDEX(tblBilling[Balance],$N81),IF($O81=1,PC_TotalBalance,""))</f>
        <v/>
      </c>
      <c r="J81" s="53">
        <f>IF($N81&lt;&gt;"",INDEX(tblBilling[Payment Status],$N81),"")</f>
        <v/>
      </c>
      <c r="K81" s="55">
        <f>IF($N81&lt;&gt;"",IF(INDEX(tblBilling[Last Payment Date],$N81)="","",INDEX(tblBilling[Last Payment Date],$N81)),"")</f>
        <v/>
      </c>
      <c r="L81" s="53">
        <f>IF($N81&lt;&gt;"",INDEX(tblBilling[Collector Name],$N81),"")</f>
        <v/>
      </c>
      <c r="N81">
        <f>IF(N80="","",IFERROR(N80+MATCH(1,INDEX(tblBilling[Print Match],N80+1):INDEX(tblBilling[Print Match],ROWS(tblBilling[Print Match])),0),""))</f>
        <v/>
      </c>
      <c r="O81">
        <f>ROW()-9-MIN(PC_Count,500)</f>
        <v/>
      </c>
    </row>
    <row r="82" ht="20" customHeight="1">
      <c r="A82" s="52">
        <f>IF($N82="","",ROW()-9)</f>
        <v/>
      </c>
      <c r="B82" s="53">
        <f>IF($N82&lt;&gt;"",INDEX(tblBilling[Customer ID],$N82),"")</f>
        <v/>
      </c>
      <c r="C82" s="53">
        <f>IF($N82&lt;&gt;"",INDEX(tblBilling[Customer Name],$N82),CHOOSE(MIN(MAX($O82,0),7)+1,"","TOTAL","","Total Customers: "&amp;PC_Count,"Total Recovered: "&amp;CFG_CurrencySymbol&amp;" "&amp;TEXT(PC_TotalPaid,"#,##0"),"","Collector Signature: ____________",""))</f>
        <v/>
      </c>
      <c r="D82" s="53">
        <f>IF($N82&lt;&gt;"",INDEX(tblBilling[Full Address],$N82),CHOOSE(MIN(MAX($O82,0),7)+1,"","","","Total Billing: "&amp;CFG_CurrencySymbol&amp;" "&amp;TEXT(PC_TotalFee,"#,##0"),"Total Pending: "&amp;CFG_CurrencySymbol&amp;" "&amp;TEXT(PC_TotalBalance,"#,##0"),"","Office Verification: ____________",""))</f>
        <v/>
      </c>
      <c r="E82" s="53">
        <f>IF($N82&lt;&gt;"",INDEX(tblBilling[VLAN ID],$N82),"")</f>
        <v/>
      </c>
      <c r="F82" s="52">
        <f>IF($N82&lt;&gt;"",INDEX(tblBilling[Due Date],$N82),"")</f>
        <v/>
      </c>
      <c r="G82" s="54">
        <f>IF($N82&lt;&gt;"",INDEX(tblBilling[Monthly Fee],$N82),IF($O82=1,PC_TotalFee,""))</f>
        <v/>
      </c>
      <c r="H82" s="54">
        <f>IF($N82&lt;&gt;"",INDEX(tblBilling[Amount Paid],$N82),IF($O82=1,PC_TotalPaid,""))</f>
        <v/>
      </c>
      <c r="I82" s="54">
        <f>IF($N82&lt;&gt;"",INDEX(tblBilling[Balance],$N82),IF($O82=1,PC_TotalBalance,""))</f>
        <v/>
      </c>
      <c r="J82" s="53">
        <f>IF($N82&lt;&gt;"",INDEX(tblBilling[Payment Status],$N82),"")</f>
        <v/>
      </c>
      <c r="K82" s="55">
        <f>IF($N82&lt;&gt;"",IF(INDEX(tblBilling[Last Payment Date],$N82)="","",INDEX(tblBilling[Last Payment Date],$N82)),"")</f>
        <v/>
      </c>
      <c r="L82" s="53">
        <f>IF($N82&lt;&gt;"",INDEX(tblBilling[Collector Name],$N82),"")</f>
        <v/>
      </c>
      <c r="N82">
        <f>IF(N81="","",IFERROR(N81+MATCH(1,INDEX(tblBilling[Print Match],N81+1):INDEX(tblBilling[Print Match],ROWS(tblBilling[Print Match])),0),""))</f>
        <v/>
      </c>
      <c r="O82">
        <f>ROW()-9-MIN(PC_Count,500)</f>
        <v/>
      </c>
    </row>
    <row r="83" ht="20" customHeight="1">
      <c r="A83" s="52">
        <f>IF($N83="","",ROW()-9)</f>
        <v/>
      </c>
      <c r="B83" s="53">
        <f>IF($N83&lt;&gt;"",INDEX(tblBilling[Customer ID],$N83),"")</f>
        <v/>
      </c>
      <c r="C83" s="53">
        <f>IF($N83&lt;&gt;"",INDEX(tblBilling[Customer Name],$N83),CHOOSE(MIN(MAX($O83,0),7)+1,"","TOTAL","","Total Customers: "&amp;PC_Count,"Total Recovered: "&amp;CFG_CurrencySymbol&amp;" "&amp;TEXT(PC_TotalPaid,"#,##0"),"","Collector Signature: ____________",""))</f>
        <v/>
      </c>
      <c r="D83" s="53">
        <f>IF($N83&lt;&gt;"",INDEX(tblBilling[Full Address],$N83),CHOOSE(MIN(MAX($O83,0),7)+1,"","","","Total Billing: "&amp;CFG_CurrencySymbol&amp;" "&amp;TEXT(PC_TotalFee,"#,##0"),"Total Pending: "&amp;CFG_CurrencySymbol&amp;" "&amp;TEXT(PC_TotalBalance,"#,##0"),"","Office Verification: ____________",""))</f>
        <v/>
      </c>
      <c r="E83" s="53">
        <f>IF($N83&lt;&gt;"",INDEX(tblBilling[VLAN ID],$N83),"")</f>
        <v/>
      </c>
      <c r="F83" s="52">
        <f>IF($N83&lt;&gt;"",INDEX(tblBilling[Due Date],$N83),"")</f>
        <v/>
      </c>
      <c r="G83" s="54">
        <f>IF($N83&lt;&gt;"",INDEX(tblBilling[Monthly Fee],$N83),IF($O83=1,PC_TotalFee,""))</f>
        <v/>
      </c>
      <c r="H83" s="54">
        <f>IF($N83&lt;&gt;"",INDEX(tblBilling[Amount Paid],$N83),IF($O83=1,PC_TotalPaid,""))</f>
        <v/>
      </c>
      <c r="I83" s="54">
        <f>IF($N83&lt;&gt;"",INDEX(tblBilling[Balance],$N83),IF($O83=1,PC_TotalBalance,""))</f>
        <v/>
      </c>
      <c r="J83" s="53">
        <f>IF($N83&lt;&gt;"",INDEX(tblBilling[Payment Status],$N83),"")</f>
        <v/>
      </c>
      <c r="K83" s="55">
        <f>IF($N83&lt;&gt;"",IF(INDEX(tblBilling[Last Payment Date],$N83)="","",INDEX(tblBilling[Last Payment Date],$N83)),"")</f>
        <v/>
      </c>
      <c r="L83" s="53">
        <f>IF($N83&lt;&gt;"",INDEX(tblBilling[Collector Name],$N83),"")</f>
        <v/>
      </c>
      <c r="N83">
        <f>IF(N82="","",IFERROR(N82+MATCH(1,INDEX(tblBilling[Print Match],N82+1):INDEX(tblBilling[Print Match],ROWS(tblBilling[Print Match])),0),""))</f>
        <v/>
      </c>
      <c r="O83">
        <f>ROW()-9-MIN(PC_Count,500)</f>
        <v/>
      </c>
    </row>
    <row r="84" ht="20" customHeight="1">
      <c r="A84" s="52">
        <f>IF($N84="","",ROW()-9)</f>
        <v/>
      </c>
      <c r="B84" s="53">
        <f>IF($N84&lt;&gt;"",INDEX(tblBilling[Customer ID],$N84),"")</f>
        <v/>
      </c>
      <c r="C84" s="53">
        <f>IF($N84&lt;&gt;"",INDEX(tblBilling[Customer Name],$N84),CHOOSE(MIN(MAX($O84,0),7)+1,"","TOTAL","","Total Customers: "&amp;PC_Count,"Total Recovered: "&amp;CFG_CurrencySymbol&amp;" "&amp;TEXT(PC_TotalPaid,"#,##0"),"","Collector Signature: ____________",""))</f>
        <v/>
      </c>
      <c r="D84" s="53">
        <f>IF($N84&lt;&gt;"",INDEX(tblBilling[Full Address],$N84),CHOOSE(MIN(MAX($O84,0),7)+1,"","","","Total Billing: "&amp;CFG_CurrencySymbol&amp;" "&amp;TEXT(PC_TotalFee,"#,##0"),"Total Pending: "&amp;CFG_CurrencySymbol&amp;" "&amp;TEXT(PC_TotalBalance,"#,##0"),"","Office Verification: ____________",""))</f>
        <v/>
      </c>
      <c r="E84" s="53">
        <f>IF($N84&lt;&gt;"",INDEX(tblBilling[VLAN ID],$N84),"")</f>
        <v/>
      </c>
      <c r="F84" s="52">
        <f>IF($N84&lt;&gt;"",INDEX(tblBilling[Due Date],$N84),"")</f>
        <v/>
      </c>
      <c r="G84" s="54">
        <f>IF($N84&lt;&gt;"",INDEX(tblBilling[Monthly Fee],$N84),IF($O84=1,PC_TotalFee,""))</f>
        <v/>
      </c>
      <c r="H84" s="54">
        <f>IF($N84&lt;&gt;"",INDEX(tblBilling[Amount Paid],$N84),IF($O84=1,PC_TotalPaid,""))</f>
        <v/>
      </c>
      <c r="I84" s="54">
        <f>IF($N84&lt;&gt;"",INDEX(tblBilling[Balance],$N84),IF($O84=1,PC_TotalBalance,""))</f>
        <v/>
      </c>
      <c r="J84" s="53">
        <f>IF($N84&lt;&gt;"",INDEX(tblBilling[Payment Status],$N84),"")</f>
        <v/>
      </c>
      <c r="K84" s="55">
        <f>IF($N84&lt;&gt;"",IF(INDEX(tblBilling[Last Payment Date],$N84)="","",INDEX(tblBilling[Last Payment Date],$N84)),"")</f>
        <v/>
      </c>
      <c r="L84" s="53">
        <f>IF($N84&lt;&gt;"",INDEX(tblBilling[Collector Name],$N84),"")</f>
        <v/>
      </c>
      <c r="N84">
        <f>IF(N83="","",IFERROR(N83+MATCH(1,INDEX(tblBilling[Print Match],N83+1):INDEX(tblBilling[Print Match],ROWS(tblBilling[Print Match])),0),""))</f>
        <v/>
      </c>
      <c r="O84">
        <f>ROW()-9-MIN(PC_Count,500)</f>
        <v/>
      </c>
    </row>
    <row r="85" ht="20" customHeight="1">
      <c r="A85" s="52">
        <f>IF($N85="","",ROW()-9)</f>
        <v/>
      </c>
      <c r="B85" s="53">
        <f>IF($N85&lt;&gt;"",INDEX(tblBilling[Customer ID],$N85),"")</f>
        <v/>
      </c>
      <c r="C85" s="53">
        <f>IF($N85&lt;&gt;"",INDEX(tblBilling[Customer Name],$N85),CHOOSE(MIN(MAX($O85,0),7)+1,"","TOTAL","","Total Customers: "&amp;PC_Count,"Total Recovered: "&amp;CFG_CurrencySymbol&amp;" "&amp;TEXT(PC_TotalPaid,"#,##0"),"","Collector Signature: ____________",""))</f>
        <v/>
      </c>
      <c r="D85" s="53">
        <f>IF($N85&lt;&gt;"",INDEX(tblBilling[Full Address],$N85),CHOOSE(MIN(MAX($O85,0),7)+1,"","","","Total Billing: "&amp;CFG_CurrencySymbol&amp;" "&amp;TEXT(PC_TotalFee,"#,##0"),"Total Pending: "&amp;CFG_CurrencySymbol&amp;" "&amp;TEXT(PC_TotalBalance,"#,##0"),"","Office Verification: ____________",""))</f>
        <v/>
      </c>
      <c r="E85" s="53">
        <f>IF($N85&lt;&gt;"",INDEX(tblBilling[VLAN ID],$N85),"")</f>
        <v/>
      </c>
      <c r="F85" s="52">
        <f>IF($N85&lt;&gt;"",INDEX(tblBilling[Due Date],$N85),"")</f>
        <v/>
      </c>
      <c r="G85" s="54">
        <f>IF($N85&lt;&gt;"",INDEX(tblBilling[Monthly Fee],$N85),IF($O85=1,PC_TotalFee,""))</f>
        <v/>
      </c>
      <c r="H85" s="54">
        <f>IF($N85&lt;&gt;"",INDEX(tblBilling[Amount Paid],$N85),IF($O85=1,PC_TotalPaid,""))</f>
        <v/>
      </c>
      <c r="I85" s="54">
        <f>IF($N85&lt;&gt;"",INDEX(tblBilling[Balance],$N85),IF($O85=1,PC_TotalBalance,""))</f>
        <v/>
      </c>
      <c r="J85" s="53">
        <f>IF($N85&lt;&gt;"",INDEX(tblBilling[Payment Status],$N85),"")</f>
        <v/>
      </c>
      <c r="K85" s="55">
        <f>IF($N85&lt;&gt;"",IF(INDEX(tblBilling[Last Payment Date],$N85)="","",INDEX(tblBilling[Last Payment Date],$N85)),"")</f>
        <v/>
      </c>
      <c r="L85" s="53">
        <f>IF($N85&lt;&gt;"",INDEX(tblBilling[Collector Name],$N85),"")</f>
        <v/>
      </c>
      <c r="N85">
        <f>IF(N84="","",IFERROR(N84+MATCH(1,INDEX(tblBilling[Print Match],N84+1):INDEX(tblBilling[Print Match],ROWS(tblBilling[Print Match])),0),""))</f>
        <v/>
      </c>
      <c r="O85">
        <f>ROW()-9-MIN(PC_Count,500)</f>
        <v/>
      </c>
    </row>
    <row r="86" ht="20" customHeight="1">
      <c r="A86" s="52">
        <f>IF($N86="","",ROW()-9)</f>
        <v/>
      </c>
      <c r="B86" s="53">
        <f>IF($N86&lt;&gt;"",INDEX(tblBilling[Customer ID],$N86),"")</f>
        <v/>
      </c>
      <c r="C86" s="53">
        <f>IF($N86&lt;&gt;"",INDEX(tblBilling[Customer Name],$N86),CHOOSE(MIN(MAX($O86,0),7)+1,"","TOTAL","","Total Customers: "&amp;PC_Count,"Total Recovered: "&amp;CFG_CurrencySymbol&amp;" "&amp;TEXT(PC_TotalPaid,"#,##0"),"","Collector Signature: ____________",""))</f>
        <v/>
      </c>
      <c r="D86" s="53">
        <f>IF($N86&lt;&gt;"",INDEX(tblBilling[Full Address],$N86),CHOOSE(MIN(MAX($O86,0),7)+1,"","","","Total Billing: "&amp;CFG_CurrencySymbol&amp;" "&amp;TEXT(PC_TotalFee,"#,##0"),"Total Pending: "&amp;CFG_CurrencySymbol&amp;" "&amp;TEXT(PC_TotalBalance,"#,##0"),"","Office Verification: ____________",""))</f>
        <v/>
      </c>
      <c r="E86" s="53">
        <f>IF($N86&lt;&gt;"",INDEX(tblBilling[VLAN ID],$N86),"")</f>
        <v/>
      </c>
      <c r="F86" s="52">
        <f>IF($N86&lt;&gt;"",INDEX(tblBilling[Due Date],$N86),"")</f>
        <v/>
      </c>
      <c r="G86" s="54">
        <f>IF($N86&lt;&gt;"",INDEX(tblBilling[Monthly Fee],$N86),IF($O86=1,PC_TotalFee,""))</f>
        <v/>
      </c>
      <c r="H86" s="54">
        <f>IF($N86&lt;&gt;"",INDEX(tblBilling[Amount Paid],$N86),IF($O86=1,PC_TotalPaid,""))</f>
        <v/>
      </c>
      <c r="I86" s="54">
        <f>IF($N86&lt;&gt;"",INDEX(tblBilling[Balance],$N86),IF($O86=1,PC_TotalBalance,""))</f>
        <v/>
      </c>
      <c r="J86" s="53">
        <f>IF($N86&lt;&gt;"",INDEX(tblBilling[Payment Status],$N86),"")</f>
        <v/>
      </c>
      <c r="K86" s="55">
        <f>IF($N86&lt;&gt;"",IF(INDEX(tblBilling[Last Payment Date],$N86)="","",INDEX(tblBilling[Last Payment Date],$N86)),"")</f>
        <v/>
      </c>
      <c r="L86" s="53">
        <f>IF($N86&lt;&gt;"",INDEX(tblBilling[Collector Name],$N86),"")</f>
        <v/>
      </c>
      <c r="N86">
        <f>IF(N85="","",IFERROR(N85+MATCH(1,INDEX(tblBilling[Print Match],N85+1):INDEX(tblBilling[Print Match],ROWS(tblBilling[Print Match])),0),""))</f>
        <v/>
      </c>
      <c r="O86">
        <f>ROW()-9-MIN(PC_Count,500)</f>
        <v/>
      </c>
    </row>
    <row r="87" ht="20" customHeight="1">
      <c r="A87" s="52">
        <f>IF($N87="","",ROW()-9)</f>
        <v/>
      </c>
      <c r="B87" s="53">
        <f>IF($N87&lt;&gt;"",INDEX(tblBilling[Customer ID],$N87),"")</f>
        <v/>
      </c>
      <c r="C87" s="53">
        <f>IF($N87&lt;&gt;"",INDEX(tblBilling[Customer Name],$N87),CHOOSE(MIN(MAX($O87,0),7)+1,"","TOTAL","","Total Customers: "&amp;PC_Count,"Total Recovered: "&amp;CFG_CurrencySymbol&amp;" "&amp;TEXT(PC_TotalPaid,"#,##0"),"","Collector Signature: ____________",""))</f>
        <v/>
      </c>
      <c r="D87" s="53">
        <f>IF($N87&lt;&gt;"",INDEX(tblBilling[Full Address],$N87),CHOOSE(MIN(MAX($O87,0),7)+1,"","","","Total Billing: "&amp;CFG_CurrencySymbol&amp;" "&amp;TEXT(PC_TotalFee,"#,##0"),"Total Pending: "&amp;CFG_CurrencySymbol&amp;" "&amp;TEXT(PC_TotalBalance,"#,##0"),"","Office Verification: ____________",""))</f>
        <v/>
      </c>
      <c r="E87" s="53">
        <f>IF($N87&lt;&gt;"",INDEX(tblBilling[VLAN ID],$N87),"")</f>
        <v/>
      </c>
      <c r="F87" s="52">
        <f>IF($N87&lt;&gt;"",INDEX(tblBilling[Due Date],$N87),"")</f>
        <v/>
      </c>
      <c r="G87" s="54">
        <f>IF($N87&lt;&gt;"",INDEX(tblBilling[Monthly Fee],$N87),IF($O87=1,PC_TotalFee,""))</f>
        <v/>
      </c>
      <c r="H87" s="54">
        <f>IF($N87&lt;&gt;"",INDEX(tblBilling[Amount Paid],$N87),IF($O87=1,PC_TotalPaid,""))</f>
        <v/>
      </c>
      <c r="I87" s="54">
        <f>IF($N87&lt;&gt;"",INDEX(tblBilling[Balance],$N87),IF($O87=1,PC_TotalBalance,""))</f>
        <v/>
      </c>
      <c r="J87" s="53">
        <f>IF($N87&lt;&gt;"",INDEX(tblBilling[Payment Status],$N87),"")</f>
        <v/>
      </c>
      <c r="K87" s="55">
        <f>IF($N87&lt;&gt;"",IF(INDEX(tblBilling[Last Payment Date],$N87)="","",INDEX(tblBilling[Last Payment Date],$N87)),"")</f>
        <v/>
      </c>
      <c r="L87" s="53">
        <f>IF($N87&lt;&gt;"",INDEX(tblBilling[Collector Name],$N87),"")</f>
        <v/>
      </c>
      <c r="N87">
        <f>IF(N86="","",IFERROR(N86+MATCH(1,INDEX(tblBilling[Print Match],N86+1):INDEX(tblBilling[Print Match],ROWS(tblBilling[Print Match])),0),""))</f>
        <v/>
      </c>
      <c r="O87">
        <f>ROW()-9-MIN(PC_Count,500)</f>
        <v/>
      </c>
    </row>
    <row r="88" ht="20" customHeight="1">
      <c r="A88" s="52">
        <f>IF($N88="","",ROW()-9)</f>
        <v/>
      </c>
      <c r="B88" s="53">
        <f>IF($N88&lt;&gt;"",INDEX(tblBilling[Customer ID],$N88),"")</f>
        <v/>
      </c>
      <c r="C88" s="53">
        <f>IF($N88&lt;&gt;"",INDEX(tblBilling[Customer Name],$N88),CHOOSE(MIN(MAX($O88,0),7)+1,"","TOTAL","","Total Customers: "&amp;PC_Count,"Total Recovered: "&amp;CFG_CurrencySymbol&amp;" "&amp;TEXT(PC_TotalPaid,"#,##0"),"","Collector Signature: ____________",""))</f>
        <v/>
      </c>
      <c r="D88" s="53">
        <f>IF($N88&lt;&gt;"",INDEX(tblBilling[Full Address],$N88),CHOOSE(MIN(MAX($O88,0),7)+1,"","","","Total Billing: "&amp;CFG_CurrencySymbol&amp;" "&amp;TEXT(PC_TotalFee,"#,##0"),"Total Pending: "&amp;CFG_CurrencySymbol&amp;" "&amp;TEXT(PC_TotalBalance,"#,##0"),"","Office Verification: ____________",""))</f>
        <v/>
      </c>
      <c r="E88" s="53">
        <f>IF($N88&lt;&gt;"",INDEX(tblBilling[VLAN ID],$N88),"")</f>
        <v/>
      </c>
      <c r="F88" s="52">
        <f>IF($N88&lt;&gt;"",INDEX(tblBilling[Due Date],$N88),"")</f>
        <v/>
      </c>
      <c r="G88" s="54">
        <f>IF($N88&lt;&gt;"",INDEX(tblBilling[Monthly Fee],$N88),IF($O88=1,PC_TotalFee,""))</f>
        <v/>
      </c>
      <c r="H88" s="54">
        <f>IF($N88&lt;&gt;"",INDEX(tblBilling[Amount Paid],$N88),IF($O88=1,PC_TotalPaid,""))</f>
        <v/>
      </c>
      <c r="I88" s="54">
        <f>IF($N88&lt;&gt;"",INDEX(tblBilling[Balance],$N88),IF($O88=1,PC_TotalBalance,""))</f>
        <v/>
      </c>
      <c r="J88" s="53">
        <f>IF($N88&lt;&gt;"",INDEX(tblBilling[Payment Status],$N88),"")</f>
        <v/>
      </c>
      <c r="K88" s="55">
        <f>IF($N88&lt;&gt;"",IF(INDEX(tblBilling[Last Payment Date],$N88)="","",INDEX(tblBilling[Last Payment Date],$N88)),"")</f>
        <v/>
      </c>
      <c r="L88" s="53">
        <f>IF($N88&lt;&gt;"",INDEX(tblBilling[Collector Name],$N88),"")</f>
        <v/>
      </c>
      <c r="N88">
        <f>IF(N87="","",IFERROR(N87+MATCH(1,INDEX(tblBilling[Print Match],N87+1):INDEX(tblBilling[Print Match],ROWS(tblBilling[Print Match])),0),""))</f>
        <v/>
      </c>
      <c r="O88">
        <f>ROW()-9-MIN(PC_Count,500)</f>
        <v/>
      </c>
    </row>
    <row r="89" ht="20" customHeight="1">
      <c r="A89" s="52">
        <f>IF($N89="","",ROW()-9)</f>
        <v/>
      </c>
      <c r="B89" s="53">
        <f>IF($N89&lt;&gt;"",INDEX(tblBilling[Customer ID],$N89),"")</f>
        <v/>
      </c>
      <c r="C89" s="53">
        <f>IF($N89&lt;&gt;"",INDEX(tblBilling[Customer Name],$N89),CHOOSE(MIN(MAX($O89,0),7)+1,"","TOTAL","","Total Customers: "&amp;PC_Count,"Total Recovered: "&amp;CFG_CurrencySymbol&amp;" "&amp;TEXT(PC_TotalPaid,"#,##0"),"","Collector Signature: ____________",""))</f>
        <v/>
      </c>
      <c r="D89" s="53">
        <f>IF($N89&lt;&gt;"",INDEX(tblBilling[Full Address],$N89),CHOOSE(MIN(MAX($O89,0),7)+1,"","","","Total Billing: "&amp;CFG_CurrencySymbol&amp;" "&amp;TEXT(PC_TotalFee,"#,##0"),"Total Pending: "&amp;CFG_CurrencySymbol&amp;" "&amp;TEXT(PC_TotalBalance,"#,##0"),"","Office Verification: ____________",""))</f>
        <v/>
      </c>
      <c r="E89" s="53">
        <f>IF($N89&lt;&gt;"",INDEX(tblBilling[VLAN ID],$N89),"")</f>
        <v/>
      </c>
      <c r="F89" s="52">
        <f>IF($N89&lt;&gt;"",INDEX(tblBilling[Due Date],$N89),"")</f>
        <v/>
      </c>
      <c r="G89" s="54">
        <f>IF($N89&lt;&gt;"",INDEX(tblBilling[Monthly Fee],$N89),IF($O89=1,PC_TotalFee,""))</f>
        <v/>
      </c>
      <c r="H89" s="54">
        <f>IF($N89&lt;&gt;"",INDEX(tblBilling[Amount Paid],$N89),IF($O89=1,PC_TotalPaid,""))</f>
        <v/>
      </c>
      <c r="I89" s="54">
        <f>IF($N89&lt;&gt;"",INDEX(tblBilling[Balance],$N89),IF($O89=1,PC_TotalBalance,""))</f>
        <v/>
      </c>
      <c r="J89" s="53">
        <f>IF($N89&lt;&gt;"",INDEX(tblBilling[Payment Status],$N89),"")</f>
        <v/>
      </c>
      <c r="K89" s="55">
        <f>IF($N89&lt;&gt;"",IF(INDEX(tblBilling[Last Payment Date],$N89)="","",INDEX(tblBilling[Last Payment Date],$N89)),"")</f>
        <v/>
      </c>
      <c r="L89" s="53">
        <f>IF($N89&lt;&gt;"",INDEX(tblBilling[Collector Name],$N89),"")</f>
        <v/>
      </c>
      <c r="N89">
        <f>IF(N88="","",IFERROR(N88+MATCH(1,INDEX(tblBilling[Print Match],N88+1):INDEX(tblBilling[Print Match],ROWS(tblBilling[Print Match])),0),""))</f>
        <v/>
      </c>
      <c r="O89">
        <f>ROW()-9-MIN(PC_Count,500)</f>
        <v/>
      </c>
    </row>
    <row r="90" ht="20" customHeight="1">
      <c r="A90" s="52">
        <f>IF($N90="","",ROW()-9)</f>
        <v/>
      </c>
      <c r="B90" s="53">
        <f>IF($N90&lt;&gt;"",INDEX(tblBilling[Customer ID],$N90),"")</f>
        <v/>
      </c>
      <c r="C90" s="53">
        <f>IF($N90&lt;&gt;"",INDEX(tblBilling[Customer Name],$N90),CHOOSE(MIN(MAX($O90,0),7)+1,"","TOTAL","","Total Customers: "&amp;PC_Count,"Total Recovered: "&amp;CFG_CurrencySymbol&amp;" "&amp;TEXT(PC_TotalPaid,"#,##0"),"","Collector Signature: ____________",""))</f>
        <v/>
      </c>
      <c r="D90" s="53">
        <f>IF($N90&lt;&gt;"",INDEX(tblBilling[Full Address],$N90),CHOOSE(MIN(MAX($O90,0),7)+1,"","","","Total Billing: "&amp;CFG_CurrencySymbol&amp;" "&amp;TEXT(PC_TotalFee,"#,##0"),"Total Pending: "&amp;CFG_CurrencySymbol&amp;" "&amp;TEXT(PC_TotalBalance,"#,##0"),"","Office Verification: ____________",""))</f>
        <v/>
      </c>
      <c r="E90" s="53">
        <f>IF($N90&lt;&gt;"",INDEX(tblBilling[VLAN ID],$N90),"")</f>
        <v/>
      </c>
      <c r="F90" s="52">
        <f>IF($N90&lt;&gt;"",INDEX(tblBilling[Due Date],$N90),"")</f>
        <v/>
      </c>
      <c r="G90" s="54">
        <f>IF($N90&lt;&gt;"",INDEX(tblBilling[Monthly Fee],$N90),IF($O90=1,PC_TotalFee,""))</f>
        <v/>
      </c>
      <c r="H90" s="54">
        <f>IF($N90&lt;&gt;"",INDEX(tblBilling[Amount Paid],$N90),IF($O90=1,PC_TotalPaid,""))</f>
        <v/>
      </c>
      <c r="I90" s="54">
        <f>IF($N90&lt;&gt;"",INDEX(tblBilling[Balance],$N90),IF($O90=1,PC_TotalBalance,""))</f>
        <v/>
      </c>
      <c r="J90" s="53">
        <f>IF($N90&lt;&gt;"",INDEX(tblBilling[Payment Status],$N90),"")</f>
        <v/>
      </c>
      <c r="K90" s="55">
        <f>IF($N90&lt;&gt;"",IF(INDEX(tblBilling[Last Payment Date],$N90)="","",INDEX(tblBilling[Last Payment Date],$N90)),"")</f>
        <v/>
      </c>
      <c r="L90" s="53">
        <f>IF($N90&lt;&gt;"",INDEX(tblBilling[Collector Name],$N90),"")</f>
        <v/>
      </c>
      <c r="N90">
        <f>IF(N89="","",IFERROR(N89+MATCH(1,INDEX(tblBilling[Print Match],N89+1):INDEX(tblBilling[Print Match],ROWS(tblBilling[Print Match])),0),""))</f>
        <v/>
      </c>
      <c r="O90">
        <f>ROW()-9-MIN(PC_Count,500)</f>
        <v/>
      </c>
    </row>
    <row r="91" ht="20" customHeight="1">
      <c r="A91" s="52">
        <f>IF($N91="","",ROW()-9)</f>
        <v/>
      </c>
      <c r="B91" s="53">
        <f>IF($N91&lt;&gt;"",INDEX(tblBilling[Customer ID],$N91),"")</f>
        <v/>
      </c>
      <c r="C91" s="53">
        <f>IF($N91&lt;&gt;"",INDEX(tblBilling[Customer Name],$N91),CHOOSE(MIN(MAX($O91,0),7)+1,"","TOTAL","","Total Customers: "&amp;PC_Count,"Total Recovered: "&amp;CFG_CurrencySymbol&amp;" "&amp;TEXT(PC_TotalPaid,"#,##0"),"","Collector Signature: ____________",""))</f>
        <v/>
      </c>
      <c r="D91" s="53">
        <f>IF($N91&lt;&gt;"",INDEX(tblBilling[Full Address],$N91),CHOOSE(MIN(MAX($O91,0),7)+1,"","","","Total Billing: "&amp;CFG_CurrencySymbol&amp;" "&amp;TEXT(PC_TotalFee,"#,##0"),"Total Pending: "&amp;CFG_CurrencySymbol&amp;" "&amp;TEXT(PC_TotalBalance,"#,##0"),"","Office Verification: ____________",""))</f>
        <v/>
      </c>
      <c r="E91" s="53">
        <f>IF($N91&lt;&gt;"",INDEX(tblBilling[VLAN ID],$N91),"")</f>
        <v/>
      </c>
      <c r="F91" s="52">
        <f>IF($N91&lt;&gt;"",INDEX(tblBilling[Due Date],$N91),"")</f>
        <v/>
      </c>
      <c r="G91" s="54">
        <f>IF($N91&lt;&gt;"",INDEX(tblBilling[Monthly Fee],$N91),IF($O91=1,PC_TotalFee,""))</f>
        <v/>
      </c>
      <c r="H91" s="54">
        <f>IF($N91&lt;&gt;"",INDEX(tblBilling[Amount Paid],$N91),IF($O91=1,PC_TotalPaid,""))</f>
        <v/>
      </c>
      <c r="I91" s="54">
        <f>IF($N91&lt;&gt;"",INDEX(tblBilling[Balance],$N91),IF($O91=1,PC_TotalBalance,""))</f>
        <v/>
      </c>
      <c r="J91" s="53">
        <f>IF($N91&lt;&gt;"",INDEX(tblBilling[Payment Status],$N91),"")</f>
        <v/>
      </c>
      <c r="K91" s="55">
        <f>IF($N91&lt;&gt;"",IF(INDEX(tblBilling[Last Payment Date],$N91)="","",INDEX(tblBilling[Last Payment Date],$N91)),"")</f>
        <v/>
      </c>
      <c r="L91" s="53">
        <f>IF($N91&lt;&gt;"",INDEX(tblBilling[Collector Name],$N91),"")</f>
        <v/>
      </c>
      <c r="N91">
        <f>IF(N90="","",IFERROR(N90+MATCH(1,INDEX(tblBilling[Print Match],N90+1):INDEX(tblBilling[Print Match],ROWS(tblBilling[Print Match])),0),""))</f>
        <v/>
      </c>
      <c r="O91">
        <f>ROW()-9-MIN(PC_Count,500)</f>
        <v/>
      </c>
    </row>
    <row r="92" ht="20" customHeight="1">
      <c r="A92" s="52">
        <f>IF($N92="","",ROW()-9)</f>
        <v/>
      </c>
      <c r="B92" s="53">
        <f>IF($N92&lt;&gt;"",INDEX(tblBilling[Customer ID],$N92),"")</f>
        <v/>
      </c>
      <c r="C92" s="53">
        <f>IF($N92&lt;&gt;"",INDEX(tblBilling[Customer Name],$N92),CHOOSE(MIN(MAX($O92,0),7)+1,"","TOTAL","","Total Customers: "&amp;PC_Count,"Total Recovered: "&amp;CFG_CurrencySymbol&amp;" "&amp;TEXT(PC_TotalPaid,"#,##0"),"","Collector Signature: ____________",""))</f>
        <v/>
      </c>
      <c r="D92" s="53">
        <f>IF($N92&lt;&gt;"",INDEX(tblBilling[Full Address],$N92),CHOOSE(MIN(MAX($O92,0),7)+1,"","","","Total Billing: "&amp;CFG_CurrencySymbol&amp;" "&amp;TEXT(PC_TotalFee,"#,##0"),"Total Pending: "&amp;CFG_CurrencySymbol&amp;" "&amp;TEXT(PC_TotalBalance,"#,##0"),"","Office Verification: ____________",""))</f>
        <v/>
      </c>
      <c r="E92" s="53">
        <f>IF($N92&lt;&gt;"",INDEX(tblBilling[VLAN ID],$N92),"")</f>
        <v/>
      </c>
      <c r="F92" s="52">
        <f>IF($N92&lt;&gt;"",INDEX(tblBilling[Due Date],$N92),"")</f>
        <v/>
      </c>
      <c r="G92" s="54">
        <f>IF($N92&lt;&gt;"",INDEX(tblBilling[Monthly Fee],$N92),IF($O92=1,PC_TotalFee,""))</f>
        <v/>
      </c>
      <c r="H92" s="54">
        <f>IF($N92&lt;&gt;"",INDEX(tblBilling[Amount Paid],$N92),IF($O92=1,PC_TotalPaid,""))</f>
        <v/>
      </c>
      <c r="I92" s="54">
        <f>IF($N92&lt;&gt;"",INDEX(tblBilling[Balance],$N92),IF($O92=1,PC_TotalBalance,""))</f>
        <v/>
      </c>
      <c r="J92" s="53">
        <f>IF($N92&lt;&gt;"",INDEX(tblBilling[Payment Status],$N92),"")</f>
        <v/>
      </c>
      <c r="K92" s="55">
        <f>IF($N92&lt;&gt;"",IF(INDEX(tblBilling[Last Payment Date],$N92)="","",INDEX(tblBilling[Last Payment Date],$N92)),"")</f>
        <v/>
      </c>
      <c r="L92" s="53">
        <f>IF($N92&lt;&gt;"",INDEX(tblBilling[Collector Name],$N92),"")</f>
        <v/>
      </c>
      <c r="N92">
        <f>IF(N91="","",IFERROR(N91+MATCH(1,INDEX(tblBilling[Print Match],N91+1):INDEX(tblBilling[Print Match],ROWS(tblBilling[Print Match])),0),""))</f>
        <v/>
      </c>
      <c r="O92">
        <f>ROW()-9-MIN(PC_Count,500)</f>
        <v/>
      </c>
    </row>
    <row r="93" ht="20" customHeight="1">
      <c r="A93" s="52">
        <f>IF($N93="","",ROW()-9)</f>
        <v/>
      </c>
      <c r="B93" s="53">
        <f>IF($N93&lt;&gt;"",INDEX(tblBilling[Customer ID],$N93),"")</f>
        <v/>
      </c>
      <c r="C93" s="53">
        <f>IF($N93&lt;&gt;"",INDEX(tblBilling[Customer Name],$N93),CHOOSE(MIN(MAX($O93,0),7)+1,"","TOTAL","","Total Customers: "&amp;PC_Count,"Total Recovered: "&amp;CFG_CurrencySymbol&amp;" "&amp;TEXT(PC_TotalPaid,"#,##0"),"","Collector Signature: ____________",""))</f>
        <v/>
      </c>
      <c r="D93" s="53">
        <f>IF($N93&lt;&gt;"",INDEX(tblBilling[Full Address],$N93),CHOOSE(MIN(MAX($O93,0),7)+1,"","","","Total Billing: "&amp;CFG_CurrencySymbol&amp;" "&amp;TEXT(PC_TotalFee,"#,##0"),"Total Pending: "&amp;CFG_CurrencySymbol&amp;" "&amp;TEXT(PC_TotalBalance,"#,##0"),"","Office Verification: ____________",""))</f>
        <v/>
      </c>
      <c r="E93" s="53">
        <f>IF($N93&lt;&gt;"",INDEX(tblBilling[VLAN ID],$N93),"")</f>
        <v/>
      </c>
      <c r="F93" s="52">
        <f>IF($N93&lt;&gt;"",INDEX(tblBilling[Due Date],$N93),"")</f>
        <v/>
      </c>
      <c r="G93" s="54">
        <f>IF($N93&lt;&gt;"",INDEX(tblBilling[Monthly Fee],$N93),IF($O93=1,PC_TotalFee,""))</f>
        <v/>
      </c>
      <c r="H93" s="54">
        <f>IF($N93&lt;&gt;"",INDEX(tblBilling[Amount Paid],$N93),IF($O93=1,PC_TotalPaid,""))</f>
        <v/>
      </c>
      <c r="I93" s="54">
        <f>IF($N93&lt;&gt;"",INDEX(tblBilling[Balance],$N93),IF($O93=1,PC_TotalBalance,""))</f>
        <v/>
      </c>
      <c r="J93" s="53">
        <f>IF($N93&lt;&gt;"",INDEX(tblBilling[Payment Status],$N93),"")</f>
        <v/>
      </c>
      <c r="K93" s="55">
        <f>IF($N93&lt;&gt;"",IF(INDEX(tblBilling[Last Payment Date],$N93)="","",INDEX(tblBilling[Last Payment Date],$N93)),"")</f>
        <v/>
      </c>
      <c r="L93" s="53">
        <f>IF($N93&lt;&gt;"",INDEX(tblBilling[Collector Name],$N93),"")</f>
        <v/>
      </c>
      <c r="N93">
        <f>IF(N92="","",IFERROR(N92+MATCH(1,INDEX(tblBilling[Print Match],N92+1):INDEX(tblBilling[Print Match],ROWS(tblBilling[Print Match])),0),""))</f>
        <v/>
      </c>
      <c r="O93">
        <f>ROW()-9-MIN(PC_Count,500)</f>
        <v/>
      </c>
    </row>
    <row r="94" ht="20" customHeight="1">
      <c r="A94" s="52">
        <f>IF($N94="","",ROW()-9)</f>
        <v/>
      </c>
      <c r="B94" s="53">
        <f>IF($N94&lt;&gt;"",INDEX(tblBilling[Customer ID],$N94),"")</f>
        <v/>
      </c>
      <c r="C94" s="53">
        <f>IF($N94&lt;&gt;"",INDEX(tblBilling[Customer Name],$N94),CHOOSE(MIN(MAX($O94,0),7)+1,"","TOTAL","","Total Customers: "&amp;PC_Count,"Total Recovered: "&amp;CFG_CurrencySymbol&amp;" "&amp;TEXT(PC_TotalPaid,"#,##0"),"","Collector Signature: ____________",""))</f>
        <v/>
      </c>
      <c r="D94" s="53">
        <f>IF($N94&lt;&gt;"",INDEX(tblBilling[Full Address],$N94),CHOOSE(MIN(MAX($O94,0),7)+1,"","","","Total Billing: "&amp;CFG_CurrencySymbol&amp;" "&amp;TEXT(PC_TotalFee,"#,##0"),"Total Pending: "&amp;CFG_CurrencySymbol&amp;" "&amp;TEXT(PC_TotalBalance,"#,##0"),"","Office Verification: ____________",""))</f>
        <v/>
      </c>
      <c r="E94" s="53">
        <f>IF($N94&lt;&gt;"",INDEX(tblBilling[VLAN ID],$N94),"")</f>
        <v/>
      </c>
      <c r="F94" s="52">
        <f>IF($N94&lt;&gt;"",INDEX(tblBilling[Due Date],$N94),"")</f>
        <v/>
      </c>
      <c r="G94" s="54">
        <f>IF($N94&lt;&gt;"",INDEX(tblBilling[Monthly Fee],$N94),IF($O94=1,PC_TotalFee,""))</f>
        <v/>
      </c>
      <c r="H94" s="54">
        <f>IF($N94&lt;&gt;"",INDEX(tblBilling[Amount Paid],$N94),IF($O94=1,PC_TotalPaid,""))</f>
        <v/>
      </c>
      <c r="I94" s="54">
        <f>IF($N94&lt;&gt;"",INDEX(tblBilling[Balance],$N94),IF($O94=1,PC_TotalBalance,""))</f>
        <v/>
      </c>
      <c r="J94" s="53">
        <f>IF($N94&lt;&gt;"",INDEX(tblBilling[Payment Status],$N94),"")</f>
        <v/>
      </c>
      <c r="K94" s="55">
        <f>IF($N94&lt;&gt;"",IF(INDEX(tblBilling[Last Payment Date],$N94)="","",INDEX(tblBilling[Last Payment Date],$N94)),"")</f>
        <v/>
      </c>
      <c r="L94" s="53">
        <f>IF($N94&lt;&gt;"",INDEX(tblBilling[Collector Name],$N94),"")</f>
        <v/>
      </c>
      <c r="N94">
        <f>IF(N93="","",IFERROR(N93+MATCH(1,INDEX(tblBilling[Print Match],N93+1):INDEX(tblBilling[Print Match],ROWS(tblBilling[Print Match])),0),""))</f>
        <v/>
      </c>
      <c r="O94">
        <f>ROW()-9-MIN(PC_Count,500)</f>
        <v/>
      </c>
    </row>
    <row r="95" ht="20" customHeight="1">
      <c r="A95" s="52">
        <f>IF($N95="","",ROW()-9)</f>
        <v/>
      </c>
      <c r="B95" s="53">
        <f>IF($N95&lt;&gt;"",INDEX(tblBilling[Customer ID],$N95),"")</f>
        <v/>
      </c>
      <c r="C95" s="53">
        <f>IF($N95&lt;&gt;"",INDEX(tblBilling[Customer Name],$N95),CHOOSE(MIN(MAX($O95,0),7)+1,"","TOTAL","","Total Customers: "&amp;PC_Count,"Total Recovered: "&amp;CFG_CurrencySymbol&amp;" "&amp;TEXT(PC_TotalPaid,"#,##0"),"","Collector Signature: ____________",""))</f>
        <v/>
      </c>
      <c r="D95" s="53">
        <f>IF($N95&lt;&gt;"",INDEX(tblBilling[Full Address],$N95),CHOOSE(MIN(MAX($O95,0),7)+1,"","","","Total Billing: "&amp;CFG_CurrencySymbol&amp;" "&amp;TEXT(PC_TotalFee,"#,##0"),"Total Pending: "&amp;CFG_CurrencySymbol&amp;" "&amp;TEXT(PC_TotalBalance,"#,##0"),"","Office Verification: ____________",""))</f>
        <v/>
      </c>
      <c r="E95" s="53">
        <f>IF($N95&lt;&gt;"",INDEX(tblBilling[VLAN ID],$N95),"")</f>
        <v/>
      </c>
      <c r="F95" s="52">
        <f>IF($N95&lt;&gt;"",INDEX(tblBilling[Due Date],$N95),"")</f>
        <v/>
      </c>
      <c r="G95" s="54">
        <f>IF($N95&lt;&gt;"",INDEX(tblBilling[Monthly Fee],$N95),IF($O95=1,PC_TotalFee,""))</f>
        <v/>
      </c>
      <c r="H95" s="54">
        <f>IF($N95&lt;&gt;"",INDEX(tblBilling[Amount Paid],$N95),IF($O95=1,PC_TotalPaid,""))</f>
        <v/>
      </c>
      <c r="I95" s="54">
        <f>IF($N95&lt;&gt;"",INDEX(tblBilling[Balance],$N95),IF($O95=1,PC_TotalBalance,""))</f>
        <v/>
      </c>
      <c r="J95" s="53">
        <f>IF($N95&lt;&gt;"",INDEX(tblBilling[Payment Status],$N95),"")</f>
        <v/>
      </c>
      <c r="K95" s="55">
        <f>IF($N95&lt;&gt;"",IF(INDEX(tblBilling[Last Payment Date],$N95)="","",INDEX(tblBilling[Last Payment Date],$N95)),"")</f>
        <v/>
      </c>
      <c r="L95" s="53">
        <f>IF($N95&lt;&gt;"",INDEX(tblBilling[Collector Name],$N95),"")</f>
        <v/>
      </c>
      <c r="N95">
        <f>IF(N94="","",IFERROR(N94+MATCH(1,INDEX(tblBilling[Print Match],N94+1):INDEX(tblBilling[Print Match],ROWS(tblBilling[Print Match])),0),""))</f>
        <v/>
      </c>
      <c r="O95">
        <f>ROW()-9-MIN(PC_Count,500)</f>
        <v/>
      </c>
    </row>
    <row r="96" ht="20" customHeight="1">
      <c r="A96" s="52">
        <f>IF($N96="","",ROW()-9)</f>
        <v/>
      </c>
      <c r="B96" s="53">
        <f>IF($N96&lt;&gt;"",INDEX(tblBilling[Customer ID],$N96),"")</f>
        <v/>
      </c>
      <c r="C96" s="53">
        <f>IF($N96&lt;&gt;"",INDEX(tblBilling[Customer Name],$N96),CHOOSE(MIN(MAX($O96,0),7)+1,"","TOTAL","","Total Customers: "&amp;PC_Count,"Total Recovered: "&amp;CFG_CurrencySymbol&amp;" "&amp;TEXT(PC_TotalPaid,"#,##0"),"","Collector Signature: ____________",""))</f>
        <v/>
      </c>
      <c r="D96" s="53">
        <f>IF($N96&lt;&gt;"",INDEX(tblBilling[Full Address],$N96),CHOOSE(MIN(MAX($O96,0),7)+1,"","","","Total Billing: "&amp;CFG_CurrencySymbol&amp;" "&amp;TEXT(PC_TotalFee,"#,##0"),"Total Pending: "&amp;CFG_CurrencySymbol&amp;" "&amp;TEXT(PC_TotalBalance,"#,##0"),"","Office Verification: ____________",""))</f>
        <v/>
      </c>
      <c r="E96" s="53">
        <f>IF($N96&lt;&gt;"",INDEX(tblBilling[VLAN ID],$N96),"")</f>
        <v/>
      </c>
      <c r="F96" s="52">
        <f>IF($N96&lt;&gt;"",INDEX(tblBilling[Due Date],$N96),"")</f>
        <v/>
      </c>
      <c r="G96" s="54">
        <f>IF($N96&lt;&gt;"",INDEX(tblBilling[Monthly Fee],$N96),IF($O96=1,PC_TotalFee,""))</f>
        <v/>
      </c>
      <c r="H96" s="54">
        <f>IF($N96&lt;&gt;"",INDEX(tblBilling[Amount Paid],$N96),IF($O96=1,PC_TotalPaid,""))</f>
        <v/>
      </c>
      <c r="I96" s="54">
        <f>IF($N96&lt;&gt;"",INDEX(tblBilling[Balance],$N96),IF($O96=1,PC_TotalBalance,""))</f>
        <v/>
      </c>
      <c r="J96" s="53">
        <f>IF($N96&lt;&gt;"",INDEX(tblBilling[Payment Status],$N96),"")</f>
        <v/>
      </c>
      <c r="K96" s="55">
        <f>IF($N96&lt;&gt;"",IF(INDEX(tblBilling[Last Payment Date],$N96)="","",INDEX(tblBilling[Last Payment Date],$N96)),"")</f>
        <v/>
      </c>
      <c r="L96" s="53">
        <f>IF($N96&lt;&gt;"",INDEX(tblBilling[Collector Name],$N96),"")</f>
        <v/>
      </c>
      <c r="N96">
        <f>IF(N95="","",IFERROR(N95+MATCH(1,INDEX(tblBilling[Print Match],N95+1):INDEX(tblBilling[Print Match],ROWS(tblBilling[Print Match])),0),""))</f>
        <v/>
      </c>
      <c r="O96">
        <f>ROW()-9-MIN(PC_Count,500)</f>
        <v/>
      </c>
    </row>
    <row r="97" ht="20" customHeight="1">
      <c r="A97" s="52">
        <f>IF($N97="","",ROW()-9)</f>
        <v/>
      </c>
      <c r="B97" s="53">
        <f>IF($N97&lt;&gt;"",INDEX(tblBilling[Customer ID],$N97),"")</f>
        <v/>
      </c>
      <c r="C97" s="53">
        <f>IF($N97&lt;&gt;"",INDEX(tblBilling[Customer Name],$N97),CHOOSE(MIN(MAX($O97,0),7)+1,"","TOTAL","","Total Customers: "&amp;PC_Count,"Total Recovered: "&amp;CFG_CurrencySymbol&amp;" "&amp;TEXT(PC_TotalPaid,"#,##0"),"","Collector Signature: ____________",""))</f>
        <v/>
      </c>
      <c r="D97" s="53">
        <f>IF($N97&lt;&gt;"",INDEX(tblBilling[Full Address],$N97),CHOOSE(MIN(MAX($O97,0),7)+1,"","","","Total Billing: "&amp;CFG_CurrencySymbol&amp;" "&amp;TEXT(PC_TotalFee,"#,##0"),"Total Pending: "&amp;CFG_CurrencySymbol&amp;" "&amp;TEXT(PC_TotalBalance,"#,##0"),"","Office Verification: ____________",""))</f>
        <v/>
      </c>
      <c r="E97" s="53">
        <f>IF($N97&lt;&gt;"",INDEX(tblBilling[VLAN ID],$N97),"")</f>
        <v/>
      </c>
      <c r="F97" s="52">
        <f>IF($N97&lt;&gt;"",INDEX(tblBilling[Due Date],$N97),"")</f>
        <v/>
      </c>
      <c r="G97" s="54">
        <f>IF($N97&lt;&gt;"",INDEX(tblBilling[Monthly Fee],$N97),IF($O97=1,PC_TotalFee,""))</f>
        <v/>
      </c>
      <c r="H97" s="54">
        <f>IF($N97&lt;&gt;"",INDEX(tblBilling[Amount Paid],$N97),IF($O97=1,PC_TotalPaid,""))</f>
        <v/>
      </c>
      <c r="I97" s="54">
        <f>IF($N97&lt;&gt;"",INDEX(tblBilling[Balance],$N97),IF($O97=1,PC_TotalBalance,""))</f>
        <v/>
      </c>
      <c r="J97" s="53">
        <f>IF($N97&lt;&gt;"",INDEX(tblBilling[Payment Status],$N97),"")</f>
        <v/>
      </c>
      <c r="K97" s="55">
        <f>IF($N97&lt;&gt;"",IF(INDEX(tblBilling[Last Payment Date],$N97)="","",INDEX(tblBilling[Last Payment Date],$N97)),"")</f>
        <v/>
      </c>
      <c r="L97" s="53">
        <f>IF($N97&lt;&gt;"",INDEX(tblBilling[Collector Name],$N97),"")</f>
        <v/>
      </c>
      <c r="N97">
        <f>IF(N96="","",IFERROR(N96+MATCH(1,INDEX(tblBilling[Print Match],N96+1):INDEX(tblBilling[Print Match],ROWS(tblBilling[Print Match])),0),""))</f>
        <v/>
      </c>
      <c r="O97">
        <f>ROW()-9-MIN(PC_Count,500)</f>
        <v/>
      </c>
    </row>
    <row r="98" ht="20" customHeight="1">
      <c r="A98" s="52">
        <f>IF($N98="","",ROW()-9)</f>
        <v/>
      </c>
      <c r="B98" s="53">
        <f>IF($N98&lt;&gt;"",INDEX(tblBilling[Customer ID],$N98),"")</f>
        <v/>
      </c>
      <c r="C98" s="53">
        <f>IF($N98&lt;&gt;"",INDEX(tblBilling[Customer Name],$N98),CHOOSE(MIN(MAX($O98,0),7)+1,"","TOTAL","","Total Customers: "&amp;PC_Count,"Total Recovered: "&amp;CFG_CurrencySymbol&amp;" "&amp;TEXT(PC_TotalPaid,"#,##0"),"","Collector Signature: ____________",""))</f>
        <v/>
      </c>
      <c r="D98" s="53">
        <f>IF($N98&lt;&gt;"",INDEX(tblBilling[Full Address],$N98),CHOOSE(MIN(MAX($O98,0),7)+1,"","","","Total Billing: "&amp;CFG_CurrencySymbol&amp;" "&amp;TEXT(PC_TotalFee,"#,##0"),"Total Pending: "&amp;CFG_CurrencySymbol&amp;" "&amp;TEXT(PC_TotalBalance,"#,##0"),"","Office Verification: ____________",""))</f>
        <v/>
      </c>
      <c r="E98" s="53">
        <f>IF($N98&lt;&gt;"",INDEX(tblBilling[VLAN ID],$N98),"")</f>
        <v/>
      </c>
      <c r="F98" s="52">
        <f>IF($N98&lt;&gt;"",INDEX(tblBilling[Due Date],$N98),"")</f>
        <v/>
      </c>
      <c r="G98" s="54">
        <f>IF($N98&lt;&gt;"",INDEX(tblBilling[Monthly Fee],$N98),IF($O98=1,PC_TotalFee,""))</f>
        <v/>
      </c>
      <c r="H98" s="54">
        <f>IF($N98&lt;&gt;"",INDEX(tblBilling[Amount Paid],$N98),IF($O98=1,PC_TotalPaid,""))</f>
        <v/>
      </c>
      <c r="I98" s="54">
        <f>IF($N98&lt;&gt;"",INDEX(tblBilling[Balance],$N98),IF($O98=1,PC_TotalBalance,""))</f>
        <v/>
      </c>
      <c r="J98" s="53">
        <f>IF($N98&lt;&gt;"",INDEX(tblBilling[Payment Status],$N98),"")</f>
        <v/>
      </c>
      <c r="K98" s="55">
        <f>IF($N98&lt;&gt;"",IF(INDEX(tblBilling[Last Payment Date],$N98)="","",INDEX(tblBilling[Last Payment Date],$N98)),"")</f>
        <v/>
      </c>
      <c r="L98" s="53">
        <f>IF($N98&lt;&gt;"",INDEX(tblBilling[Collector Name],$N98),"")</f>
        <v/>
      </c>
      <c r="N98">
        <f>IF(N97="","",IFERROR(N97+MATCH(1,INDEX(tblBilling[Print Match],N97+1):INDEX(tblBilling[Print Match],ROWS(tblBilling[Print Match])),0),""))</f>
        <v/>
      </c>
      <c r="O98">
        <f>ROW()-9-MIN(PC_Count,500)</f>
        <v/>
      </c>
    </row>
    <row r="99" ht="20" customHeight="1">
      <c r="A99" s="52">
        <f>IF($N99="","",ROW()-9)</f>
        <v/>
      </c>
      <c r="B99" s="53">
        <f>IF($N99&lt;&gt;"",INDEX(tblBilling[Customer ID],$N99),"")</f>
        <v/>
      </c>
      <c r="C99" s="53">
        <f>IF($N99&lt;&gt;"",INDEX(tblBilling[Customer Name],$N99),CHOOSE(MIN(MAX($O99,0),7)+1,"","TOTAL","","Total Customers: "&amp;PC_Count,"Total Recovered: "&amp;CFG_CurrencySymbol&amp;" "&amp;TEXT(PC_TotalPaid,"#,##0"),"","Collector Signature: ____________",""))</f>
        <v/>
      </c>
      <c r="D99" s="53">
        <f>IF($N99&lt;&gt;"",INDEX(tblBilling[Full Address],$N99),CHOOSE(MIN(MAX($O99,0),7)+1,"","","","Total Billing: "&amp;CFG_CurrencySymbol&amp;" "&amp;TEXT(PC_TotalFee,"#,##0"),"Total Pending: "&amp;CFG_CurrencySymbol&amp;" "&amp;TEXT(PC_TotalBalance,"#,##0"),"","Office Verification: ____________",""))</f>
        <v/>
      </c>
      <c r="E99" s="53">
        <f>IF($N99&lt;&gt;"",INDEX(tblBilling[VLAN ID],$N99),"")</f>
        <v/>
      </c>
      <c r="F99" s="52">
        <f>IF($N99&lt;&gt;"",INDEX(tblBilling[Due Date],$N99),"")</f>
        <v/>
      </c>
      <c r="G99" s="54">
        <f>IF($N99&lt;&gt;"",INDEX(tblBilling[Monthly Fee],$N99),IF($O99=1,PC_TotalFee,""))</f>
        <v/>
      </c>
      <c r="H99" s="54">
        <f>IF($N99&lt;&gt;"",INDEX(tblBilling[Amount Paid],$N99),IF($O99=1,PC_TotalPaid,""))</f>
        <v/>
      </c>
      <c r="I99" s="54">
        <f>IF($N99&lt;&gt;"",INDEX(tblBilling[Balance],$N99),IF($O99=1,PC_TotalBalance,""))</f>
        <v/>
      </c>
      <c r="J99" s="53">
        <f>IF($N99&lt;&gt;"",INDEX(tblBilling[Payment Status],$N99),"")</f>
        <v/>
      </c>
      <c r="K99" s="55">
        <f>IF($N99&lt;&gt;"",IF(INDEX(tblBilling[Last Payment Date],$N99)="","",INDEX(tblBilling[Last Payment Date],$N99)),"")</f>
        <v/>
      </c>
      <c r="L99" s="53">
        <f>IF($N99&lt;&gt;"",INDEX(tblBilling[Collector Name],$N99),"")</f>
        <v/>
      </c>
      <c r="N99">
        <f>IF(N98="","",IFERROR(N98+MATCH(1,INDEX(tblBilling[Print Match],N98+1):INDEX(tblBilling[Print Match],ROWS(tblBilling[Print Match])),0),""))</f>
        <v/>
      </c>
      <c r="O99">
        <f>ROW()-9-MIN(PC_Count,500)</f>
        <v/>
      </c>
    </row>
    <row r="100" ht="20" customHeight="1">
      <c r="A100" s="52">
        <f>IF($N100="","",ROW()-9)</f>
        <v/>
      </c>
      <c r="B100" s="53">
        <f>IF($N100&lt;&gt;"",INDEX(tblBilling[Customer ID],$N100),"")</f>
        <v/>
      </c>
      <c r="C100" s="53">
        <f>IF($N100&lt;&gt;"",INDEX(tblBilling[Customer Name],$N100),CHOOSE(MIN(MAX($O100,0),7)+1,"","TOTAL","","Total Customers: "&amp;PC_Count,"Total Recovered: "&amp;CFG_CurrencySymbol&amp;" "&amp;TEXT(PC_TotalPaid,"#,##0"),"","Collector Signature: ____________",""))</f>
        <v/>
      </c>
      <c r="D100" s="53">
        <f>IF($N100&lt;&gt;"",INDEX(tblBilling[Full Address],$N100),CHOOSE(MIN(MAX($O100,0),7)+1,"","","","Total Billing: "&amp;CFG_CurrencySymbol&amp;" "&amp;TEXT(PC_TotalFee,"#,##0"),"Total Pending: "&amp;CFG_CurrencySymbol&amp;" "&amp;TEXT(PC_TotalBalance,"#,##0"),"","Office Verification: ____________",""))</f>
        <v/>
      </c>
      <c r="E100" s="53">
        <f>IF($N100&lt;&gt;"",INDEX(tblBilling[VLAN ID],$N100),"")</f>
        <v/>
      </c>
      <c r="F100" s="52">
        <f>IF($N100&lt;&gt;"",INDEX(tblBilling[Due Date],$N100),"")</f>
        <v/>
      </c>
      <c r="G100" s="54">
        <f>IF($N100&lt;&gt;"",INDEX(tblBilling[Monthly Fee],$N100),IF($O100=1,PC_TotalFee,""))</f>
        <v/>
      </c>
      <c r="H100" s="54">
        <f>IF($N100&lt;&gt;"",INDEX(tblBilling[Amount Paid],$N100),IF($O100=1,PC_TotalPaid,""))</f>
        <v/>
      </c>
      <c r="I100" s="54">
        <f>IF($N100&lt;&gt;"",INDEX(tblBilling[Balance],$N100),IF($O100=1,PC_TotalBalance,""))</f>
        <v/>
      </c>
      <c r="J100" s="53">
        <f>IF($N100&lt;&gt;"",INDEX(tblBilling[Payment Status],$N100),"")</f>
        <v/>
      </c>
      <c r="K100" s="55">
        <f>IF($N100&lt;&gt;"",IF(INDEX(tblBilling[Last Payment Date],$N100)="","",INDEX(tblBilling[Last Payment Date],$N100)),"")</f>
        <v/>
      </c>
      <c r="L100" s="53">
        <f>IF($N100&lt;&gt;"",INDEX(tblBilling[Collector Name],$N100),"")</f>
        <v/>
      </c>
      <c r="N100">
        <f>IF(N99="","",IFERROR(N99+MATCH(1,INDEX(tblBilling[Print Match],N99+1):INDEX(tblBilling[Print Match],ROWS(tblBilling[Print Match])),0),""))</f>
        <v/>
      </c>
      <c r="O100">
        <f>ROW()-9-MIN(PC_Count,500)</f>
        <v/>
      </c>
    </row>
    <row r="101" ht="20" customHeight="1">
      <c r="A101" s="52">
        <f>IF($N101="","",ROW()-9)</f>
        <v/>
      </c>
      <c r="B101" s="53">
        <f>IF($N101&lt;&gt;"",INDEX(tblBilling[Customer ID],$N101),"")</f>
        <v/>
      </c>
      <c r="C101" s="53">
        <f>IF($N101&lt;&gt;"",INDEX(tblBilling[Customer Name],$N101),CHOOSE(MIN(MAX($O101,0),7)+1,"","TOTAL","","Total Customers: "&amp;PC_Count,"Total Recovered: "&amp;CFG_CurrencySymbol&amp;" "&amp;TEXT(PC_TotalPaid,"#,##0"),"","Collector Signature: ____________",""))</f>
        <v/>
      </c>
      <c r="D101" s="53">
        <f>IF($N101&lt;&gt;"",INDEX(tblBilling[Full Address],$N101),CHOOSE(MIN(MAX($O101,0),7)+1,"","","","Total Billing: "&amp;CFG_CurrencySymbol&amp;" "&amp;TEXT(PC_TotalFee,"#,##0"),"Total Pending: "&amp;CFG_CurrencySymbol&amp;" "&amp;TEXT(PC_TotalBalance,"#,##0"),"","Office Verification: ____________",""))</f>
        <v/>
      </c>
      <c r="E101" s="53">
        <f>IF($N101&lt;&gt;"",INDEX(tblBilling[VLAN ID],$N101),"")</f>
        <v/>
      </c>
      <c r="F101" s="52">
        <f>IF($N101&lt;&gt;"",INDEX(tblBilling[Due Date],$N101),"")</f>
        <v/>
      </c>
      <c r="G101" s="54">
        <f>IF($N101&lt;&gt;"",INDEX(tblBilling[Monthly Fee],$N101),IF($O101=1,PC_TotalFee,""))</f>
        <v/>
      </c>
      <c r="H101" s="54">
        <f>IF($N101&lt;&gt;"",INDEX(tblBilling[Amount Paid],$N101),IF($O101=1,PC_TotalPaid,""))</f>
        <v/>
      </c>
      <c r="I101" s="54">
        <f>IF($N101&lt;&gt;"",INDEX(tblBilling[Balance],$N101),IF($O101=1,PC_TotalBalance,""))</f>
        <v/>
      </c>
      <c r="J101" s="53">
        <f>IF($N101&lt;&gt;"",INDEX(tblBilling[Payment Status],$N101),"")</f>
        <v/>
      </c>
      <c r="K101" s="55">
        <f>IF($N101&lt;&gt;"",IF(INDEX(tblBilling[Last Payment Date],$N101)="","",INDEX(tblBilling[Last Payment Date],$N101)),"")</f>
        <v/>
      </c>
      <c r="L101" s="53">
        <f>IF($N101&lt;&gt;"",INDEX(tblBilling[Collector Name],$N101),"")</f>
        <v/>
      </c>
      <c r="N101">
        <f>IF(N100="","",IFERROR(N100+MATCH(1,INDEX(tblBilling[Print Match],N100+1):INDEX(tblBilling[Print Match],ROWS(tblBilling[Print Match])),0),""))</f>
        <v/>
      </c>
      <c r="O101">
        <f>ROW()-9-MIN(PC_Count,500)</f>
        <v/>
      </c>
    </row>
    <row r="102" ht="20" customHeight="1">
      <c r="A102" s="52">
        <f>IF($N102="","",ROW()-9)</f>
        <v/>
      </c>
      <c r="B102" s="53">
        <f>IF($N102&lt;&gt;"",INDEX(tblBilling[Customer ID],$N102),"")</f>
        <v/>
      </c>
      <c r="C102" s="53">
        <f>IF($N102&lt;&gt;"",INDEX(tblBilling[Customer Name],$N102),CHOOSE(MIN(MAX($O102,0),7)+1,"","TOTAL","","Total Customers: "&amp;PC_Count,"Total Recovered: "&amp;CFG_CurrencySymbol&amp;" "&amp;TEXT(PC_TotalPaid,"#,##0"),"","Collector Signature: ____________",""))</f>
        <v/>
      </c>
      <c r="D102" s="53">
        <f>IF($N102&lt;&gt;"",INDEX(tblBilling[Full Address],$N102),CHOOSE(MIN(MAX($O102,0),7)+1,"","","","Total Billing: "&amp;CFG_CurrencySymbol&amp;" "&amp;TEXT(PC_TotalFee,"#,##0"),"Total Pending: "&amp;CFG_CurrencySymbol&amp;" "&amp;TEXT(PC_TotalBalance,"#,##0"),"","Office Verification: ____________",""))</f>
        <v/>
      </c>
      <c r="E102" s="53">
        <f>IF($N102&lt;&gt;"",INDEX(tblBilling[VLAN ID],$N102),"")</f>
        <v/>
      </c>
      <c r="F102" s="52">
        <f>IF($N102&lt;&gt;"",INDEX(tblBilling[Due Date],$N102),"")</f>
        <v/>
      </c>
      <c r="G102" s="54">
        <f>IF($N102&lt;&gt;"",INDEX(tblBilling[Monthly Fee],$N102),IF($O102=1,PC_TotalFee,""))</f>
        <v/>
      </c>
      <c r="H102" s="54">
        <f>IF($N102&lt;&gt;"",INDEX(tblBilling[Amount Paid],$N102),IF($O102=1,PC_TotalPaid,""))</f>
        <v/>
      </c>
      <c r="I102" s="54">
        <f>IF($N102&lt;&gt;"",INDEX(tblBilling[Balance],$N102),IF($O102=1,PC_TotalBalance,""))</f>
        <v/>
      </c>
      <c r="J102" s="53">
        <f>IF($N102&lt;&gt;"",INDEX(tblBilling[Payment Status],$N102),"")</f>
        <v/>
      </c>
      <c r="K102" s="55">
        <f>IF($N102&lt;&gt;"",IF(INDEX(tblBilling[Last Payment Date],$N102)="","",INDEX(tblBilling[Last Payment Date],$N102)),"")</f>
        <v/>
      </c>
      <c r="L102" s="53">
        <f>IF($N102&lt;&gt;"",INDEX(tblBilling[Collector Name],$N102),"")</f>
        <v/>
      </c>
      <c r="N102">
        <f>IF(N101="","",IFERROR(N101+MATCH(1,INDEX(tblBilling[Print Match],N101+1):INDEX(tblBilling[Print Match],ROWS(tblBilling[Print Match])),0),""))</f>
        <v/>
      </c>
      <c r="O102">
        <f>ROW()-9-MIN(PC_Count,500)</f>
        <v/>
      </c>
    </row>
    <row r="103" ht="20" customHeight="1">
      <c r="A103" s="52">
        <f>IF($N103="","",ROW()-9)</f>
        <v/>
      </c>
      <c r="B103" s="53">
        <f>IF($N103&lt;&gt;"",INDEX(tblBilling[Customer ID],$N103),"")</f>
        <v/>
      </c>
      <c r="C103" s="53">
        <f>IF($N103&lt;&gt;"",INDEX(tblBilling[Customer Name],$N103),CHOOSE(MIN(MAX($O103,0),7)+1,"","TOTAL","","Total Customers: "&amp;PC_Count,"Total Recovered: "&amp;CFG_CurrencySymbol&amp;" "&amp;TEXT(PC_TotalPaid,"#,##0"),"","Collector Signature: ____________",""))</f>
        <v/>
      </c>
      <c r="D103" s="53">
        <f>IF($N103&lt;&gt;"",INDEX(tblBilling[Full Address],$N103),CHOOSE(MIN(MAX($O103,0),7)+1,"","","","Total Billing: "&amp;CFG_CurrencySymbol&amp;" "&amp;TEXT(PC_TotalFee,"#,##0"),"Total Pending: "&amp;CFG_CurrencySymbol&amp;" "&amp;TEXT(PC_TotalBalance,"#,##0"),"","Office Verification: ____________",""))</f>
        <v/>
      </c>
      <c r="E103" s="53">
        <f>IF($N103&lt;&gt;"",INDEX(tblBilling[VLAN ID],$N103),"")</f>
        <v/>
      </c>
      <c r="F103" s="52">
        <f>IF($N103&lt;&gt;"",INDEX(tblBilling[Due Date],$N103),"")</f>
        <v/>
      </c>
      <c r="G103" s="54">
        <f>IF($N103&lt;&gt;"",INDEX(tblBilling[Monthly Fee],$N103),IF($O103=1,PC_TotalFee,""))</f>
        <v/>
      </c>
      <c r="H103" s="54">
        <f>IF($N103&lt;&gt;"",INDEX(tblBilling[Amount Paid],$N103),IF($O103=1,PC_TotalPaid,""))</f>
        <v/>
      </c>
      <c r="I103" s="54">
        <f>IF($N103&lt;&gt;"",INDEX(tblBilling[Balance],$N103),IF($O103=1,PC_TotalBalance,""))</f>
        <v/>
      </c>
      <c r="J103" s="53">
        <f>IF($N103&lt;&gt;"",INDEX(tblBilling[Payment Status],$N103),"")</f>
        <v/>
      </c>
      <c r="K103" s="55">
        <f>IF($N103&lt;&gt;"",IF(INDEX(tblBilling[Last Payment Date],$N103)="","",INDEX(tblBilling[Last Payment Date],$N103)),"")</f>
        <v/>
      </c>
      <c r="L103" s="53">
        <f>IF($N103&lt;&gt;"",INDEX(tblBilling[Collector Name],$N103),"")</f>
        <v/>
      </c>
      <c r="N103">
        <f>IF(N102="","",IFERROR(N102+MATCH(1,INDEX(tblBilling[Print Match],N102+1):INDEX(tblBilling[Print Match],ROWS(tblBilling[Print Match])),0),""))</f>
        <v/>
      </c>
      <c r="O103">
        <f>ROW()-9-MIN(PC_Count,500)</f>
        <v/>
      </c>
    </row>
    <row r="104" ht="20" customHeight="1">
      <c r="A104" s="52">
        <f>IF($N104="","",ROW()-9)</f>
        <v/>
      </c>
      <c r="B104" s="53">
        <f>IF($N104&lt;&gt;"",INDEX(tblBilling[Customer ID],$N104),"")</f>
        <v/>
      </c>
      <c r="C104" s="53">
        <f>IF($N104&lt;&gt;"",INDEX(tblBilling[Customer Name],$N104),CHOOSE(MIN(MAX($O104,0),7)+1,"","TOTAL","","Total Customers: "&amp;PC_Count,"Total Recovered: "&amp;CFG_CurrencySymbol&amp;" "&amp;TEXT(PC_TotalPaid,"#,##0"),"","Collector Signature: ____________",""))</f>
        <v/>
      </c>
      <c r="D104" s="53">
        <f>IF($N104&lt;&gt;"",INDEX(tblBilling[Full Address],$N104),CHOOSE(MIN(MAX($O104,0),7)+1,"","","","Total Billing: "&amp;CFG_CurrencySymbol&amp;" "&amp;TEXT(PC_TotalFee,"#,##0"),"Total Pending: "&amp;CFG_CurrencySymbol&amp;" "&amp;TEXT(PC_TotalBalance,"#,##0"),"","Office Verification: ____________",""))</f>
        <v/>
      </c>
      <c r="E104" s="53">
        <f>IF($N104&lt;&gt;"",INDEX(tblBilling[VLAN ID],$N104),"")</f>
        <v/>
      </c>
      <c r="F104" s="52">
        <f>IF($N104&lt;&gt;"",INDEX(tblBilling[Due Date],$N104),"")</f>
        <v/>
      </c>
      <c r="G104" s="54">
        <f>IF($N104&lt;&gt;"",INDEX(tblBilling[Monthly Fee],$N104),IF($O104=1,PC_TotalFee,""))</f>
        <v/>
      </c>
      <c r="H104" s="54">
        <f>IF($N104&lt;&gt;"",INDEX(tblBilling[Amount Paid],$N104),IF($O104=1,PC_TotalPaid,""))</f>
        <v/>
      </c>
      <c r="I104" s="54">
        <f>IF($N104&lt;&gt;"",INDEX(tblBilling[Balance],$N104),IF($O104=1,PC_TotalBalance,""))</f>
        <v/>
      </c>
      <c r="J104" s="53">
        <f>IF($N104&lt;&gt;"",INDEX(tblBilling[Payment Status],$N104),"")</f>
        <v/>
      </c>
      <c r="K104" s="55">
        <f>IF($N104&lt;&gt;"",IF(INDEX(tblBilling[Last Payment Date],$N104)="","",INDEX(tblBilling[Last Payment Date],$N104)),"")</f>
        <v/>
      </c>
      <c r="L104" s="53">
        <f>IF($N104&lt;&gt;"",INDEX(tblBilling[Collector Name],$N104),"")</f>
        <v/>
      </c>
      <c r="N104">
        <f>IF(N103="","",IFERROR(N103+MATCH(1,INDEX(tblBilling[Print Match],N103+1):INDEX(tblBilling[Print Match],ROWS(tblBilling[Print Match])),0),""))</f>
        <v/>
      </c>
      <c r="O104">
        <f>ROW()-9-MIN(PC_Count,500)</f>
        <v/>
      </c>
    </row>
    <row r="105" ht="20" customHeight="1">
      <c r="A105" s="52">
        <f>IF($N105="","",ROW()-9)</f>
        <v/>
      </c>
      <c r="B105" s="53">
        <f>IF($N105&lt;&gt;"",INDEX(tblBilling[Customer ID],$N105),"")</f>
        <v/>
      </c>
      <c r="C105" s="53">
        <f>IF($N105&lt;&gt;"",INDEX(tblBilling[Customer Name],$N105),CHOOSE(MIN(MAX($O105,0),7)+1,"","TOTAL","","Total Customers: "&amp;PC_Count,"Total Recovered: "&amp;CFG_CurrencySymbol&amp;" "&amp;TEXT(PC_TotalPaid,"#,##0"),"","Collector Signature: ____________",""))</f>
        <v/>
      </c>
      <c r="D105" s="53">
        <f>IF($N105&lt;&gt;"",INDEX(tblBilling[Full Address],$N105),CHOOSE(MIN(MAX($O105,0),7)+1,"","","","Total Billing: "&amp;CFG_CurrencySymbol&amp;" "&amp;TEXT(PC_TotalFee,"#,##0"),"Total Pending: "&amp;CFG_CurrencySymbol&amp;" "&amp;TEXT(PC_TotalBalance,"#,##0"),"","Office Verification: ____________",""))</f>
        <v/>
      </c>
      <c r="E105" s="53">
        <f>IF($N105&lt;&gt;"",INDEX(tblBilling[VLAN ID],$N105),"")</f>
        <v/>
      </c>
      <c r="F105" s="52">
        <f>IF($N105&lt;&gt;"",INDEX(tblBilling[Due Date],$N105),"")</f>
        <v/>
      </c>
      <c r="G105" s="54">
        <f>IF($N105&lt;&gt;"",INDEX(tblBilling[Monthly Fee],$N105),IF($O105=1,PC_TotalFee,""))</f>
        <v/>
      </c>
      <c r="H105" s="54">
        <f>IF($N105&lt;&gt;"",INDEX(tblBilling[Amount Paid],$N105),IF($O105=1,PC_TotalPaid,""))</f>
        <v/>
      </c>
      <c r="I105" s="54">
        <f>IF($N105&lt;&gt;"",INDEX(tblBilling[Balance],$N105),IF($O105=1,PC_TotalBalance,""))</f>
        <v/>
      </c>
      <c r="J105" s="53">
        <f>IF($N105&lt;&gt;"",INDEX(tblBilling[Payment Status],$N105),"")</f>
        <v/>
      </c>
      <c r="K105" s="55">
        <f>IF($N105&lt;&gt;"",IF(INDEX(tblBilling[Last Payment Date],$N105)="","",INDEX(tblBilling[Last Payment Date],$N105)),"")</f>
        <v/>
      </c>
      <c r="L105" s="53">
        <f>IF($N105&lt;&gt;"",INDEX(tblBilling[Collector Name],$N105),"")</f>
        <v/>
      </c>
      <c r="N105">
        <f>IF(N104="","",IFERROR(N104+MATCH(1,INDEX(tblBilling[Print Match],N104+1):INDEX(tblBilling[Print Match],ROWS(tblBilling[Print Match])),0),""))</f>
        <v/>
      </c>
      <c r="O105">
        <f>ROW()-9-MIN(PC_Count,500)</f>
        <v/>
      </c>
    </row>
    <row r="106" ht="20" customHeight="1">
      <c r="A106" s="52">
        <f>IF($N106="","",ROW()-9)</f>
        <v/>
      </c>
      <c r="B106" s="53">
        <f>IF($N106&lt;&gt;"",INDEX(tblBilling[Customer ID],$N106),"")</f>
        <v/>
      </c>
      <c r="C106" s="53">
        <f>IF($N106&lt;&gt;"",INDEX(tblBilling[Customer Name],$N106),CHOOSE(MIN(MAX($O106,0),7)+1,"","TOTAL","","Total Customers: "&amp;PC_Count,"Total Recovered: "&amp;CFG_CurrencySymbol&amp;" "&amp;TEXT(PC_TotalPaid,"#,##0"),"","Collector Signature: ____________",""))</f>
        <v/>
      </c>
      <c r="D106" s="53">
        <f>IF($N106&lt;&gt;"",INDEX(tblBilling[Full Address],$N106),CHOOSE(MIN(MAX($O106,0),7)+1,"","","","Total Billing: "&amp;CFG_CurrencySymbol&amp;" "&amp;TEXT(PC_TotalFee,"#,##0"),"Total Pending: "&amp;CFG_CurrencySymbol&amp;" "&amp;TEXT(PC_TotalBalance,"#,##0"),"","Office Verification: ____________",""))</f>
        <v/>
      </c>
      <c r="E106" s="53">
        <f>IF($N106&lt;&gt;"",INDEX(tblBilling[VLAN ID],$N106),"")</f>
        <v/>
      </c>
      <c r="F106" s="52">
        <f>IF($N106&lt;&gt;"",INDEX(tblBilling[Due Date],$N106),"")</f>
        <v/>
      </c>
      <c r="G106" s="54">
        <f>IF($N106&lt;&gt;"",INDEX(tblBilling[Monthly Fee],$N106),IF($O106=1,PC_TotalFee,""))</f>
        <v/>
      </c>
      <c r="H106" s="54">
        <f>IF($N106&lt;&gt;"",INDEX(tblBilling[Amount Paid],$N106),IF($O106=1,PC_TotalPaid,""))</f>
        <v/>
      </c>
      <c r="I106" s="54">
        <f>IF($N106&lt;&gt;"",INDEX(tblBilling[Balance],$N106),IF($O106=1,PC_TotalBalance,""))</f>
        <v/>
      </c>
      <c r="J106" s="53">
        <f>IF($N106&lt;&gt;"",INDEX(tblBilling[Payment Status],$N106),"")</f>
        <v/>
      </c>
      <c r="K106" s="55">
        <f>IF($N106&lt;&gt;"",IF(INDEX(tblBilling[Last Payment Date],$N106)="","",INDEX(tblBilling[Last Payment Date],$N106)),"")</f>
        <v/>
      </c>
      <c r="L106" s="53">
        <f>IF($N106&lt;&gt;"",INDEX(tblBilling[Collector Name],$N106),"")</f>
        <v/>
      </c>
      <c r="N106">
        <f>IF(N105="","",IFERROR(N105+MATCH(1,INDEX(tblBilling[Print Match],N105+1):INDEX(tblBilling[Print Match],ROWS(tblBilling[Print Match])),0),""))</f>
        <v/>
      </c>
      <c r="O106">
        <f>ROW()-9-MIN(PC_Count,500)</f>
        <v/>
      </c>
    </row>
    <row r="107" ht="20" customHeight="1">
      <c r="A107" s="52">
        <f>IF($N107="","",ROW()-9)</f>
        <v/>
      </c>
      <c r="B107" s="53">
        <f>IF($N107&lt;&gt;"",INDEX(tblBilling[Customer ID],$N107),"")</f>
        <v/>
      </c>
      <c r="C107" s="53">
        <f>IF($N107&lt;&gt;"",INDEX(tblBilling[Customer Name],$N107),CHOOSE(MIN(MAX($O107,0),7)+1,"","TOTAL","","Total Customers: "&amp;PC_Count,"Total Recovered: "&amp;CFG_CurrencySymbol&amp;" "&amp;TEXT(PC_TotalPaid,"#,##0"),"","Collector Signature: ____________",""))</f>
        <v/>
      </c>
      <c r="D107" s="53">
        <f>IF($N107&lt;&gt;"",INDEX(tblBilling[Full Address],$N107),CHOOSE(MIN(MAX($O107,0),7)+1,"","","","Total Billing: "&amp;CFG_CurrencySymbol&amp;" "&amp;TEXT(PC_TotalFee,"#,##0"),"Total Pending: "&amp;CFG_CurrencySymbol&amp;" "&amp;TEXT(PC_TotalBalance,"#,##0"),"","Office Verification: ____________",""))</f>
        <v/>
      </c>
      <c r="E107" s="53">
        <f>IF($N107&lt;&gt;"",INDEX(tblBilling[VLAN ID],$N107),"")</f>
        <v/>
      </c>
      <c r="F107" s="52">
        <f>IF($N107&lt;&gt;"",INDEX(tblBilling[Due Date],$N107),"")</f>
        <v/>
      </c>
      <c r="G107" s="54">
        <f>IF($N107&lt;&gt;"",INDEX(tblBilling[Monthly Fee],$N107),IF($O107=1,PC_TotalFee,""))</f>
        <v/>
      </c>
      <c r="H107" s="54">
        <f>IF($N107&lt;&gt;"",INDEX(tblBilling[Amount Paid],$N107),IF($O107=1,PC_TotalPaid,""))</f>
        <v/>
      </c>
      <c r="I107" s="54">
        <f>IF($N107&lt;&gt;"",INDEX(tblBilling[Balance],$N107),IF($O107=1,PC_TotalBalance,""))</f>
        <v/>
      </c>
      <c r="J107" s="53">
        <f>IF($N107&lt;&gt;"",INDEX(tblBilling[Payment Status],$N107),"")</f>
        <v/>
      </c>
      <c r="K107" s="55">
        <f>IF($N107&lt;&gt;"",IF(INDEX(tblBilling[Last Payment Date],$N107)="","",INDEX(tblBilling[Last Payment Date],$N107)),"")</f>
        <v/>
      </c>
      <c r="L107" s="53">
        <f>IF($N107&lt;&gt;"",INDEX(tblBilling[Collector Name],$N107),"")</f>
        <v/>
      </c>
      <c r="N107">
        <f>IF(N106="","",IFERROR(N106+MATCH(1,INDEX(tblBilling[Print Match],N106+1):INDEX(tblBilling[Print Match],ROWS(tblBilling[Print Match])),0),""))</f>
        <v/>
      </c>
      <c r="O107">
        <f>ROW()-9-MIN(PC_Count,500)</f>
        <v/>
      </c>
    </row>
    <row r="108" ht="20" customHeight="1">
      <c r="A108" s="52">
        <f>IF($N108="","",ROW()-9)</f>
        <v/>
      </c>
      <c r="B108" s="53">
        <f>IF($N108&lt;&gt;"",INDEX(tblBilling[Customer ID],$N108),"")</f>
        <v/>
      </c>
      <c r="C108" s="53">
        <f>IF($N108&lt;&gt;"",INDEX(tblBilling[Customer Name],$N108),CHOOSE(MIN(MAX($O108,0),7)+1,"","TOTAL","","Total Customers: "&amp;PC_Count,"Total Recovered: "&amp;CFG_CurrencySymbol&amp;" "&amp;TEXT(PC_TotalPaid,"#,##0"),"","Collector Signature: ____________",""))</f>
        <v/>
      </c>
      <c r="D108" s="53">
        <f>IF($N108&lt;&gt;"",INDEX(tblBilling[Full Address],$N108),CHOOSE(MIN(MAX($O108,0),7)+1,"","","","Total Billing: "&amp;CFG_CurrencySymbol&amp;" "&amp;TEXT(PC_TotalFee,"#,##0"),"Total Pending: "&amp;CFG_CurrencySymbol&amp;" "&amp;TEXT(PC_TotalBalance,"#,##0"),"","Office Verification: ____________",""))</f>
        <v/>
      </c>
      <c r="E108" s="53">
        <f>IF($N108&lt;&gt;"",INDEX(tblBilling[VLAN ID],$N108),"")</f>
        <v/>
      </c>
      <c r="F108" s="52">
        <f>IF($N108&lt;&gt;"",INDEX(tblBilling[Due Date],$N108),"")</f>
        <v/>
      </c>
      <c r="G108" s="54">
        <f>IF($N108&lt;&gt;"",INDEX(tblBilling[Monthly Fee],$N108),IF($O108=1,PC_TotalFee,""))</f>
        <v/>
      </c>
      <c r="H108" s="54">
        <f>IF($N108&lt;&gt;"",INDEX(tblBilling[Amount Paid],$N108),IF($O108=1,PC_TotalPaid,""))</f>
        <v/>
      </c>
      <c r="I108" s="54">
        <f>IF($N108&lt;&gt;"",INDEX(tblBilling[Balance],$N108),IF($O108=1,PC_TotalBalance,""))</f>
        <v/>
      </c>
      <c r="J108" s="53">
        <f>IF($N108&lt;&gt;"",INDEX(tblBilling[Payment Status],$N108),"")</f>
        <v/>
      </c>
      <c r="K108" s="55">
        <f>IF($N108&lt;&gt;"",IF(INDEX(tblBilling[Last Payment Date],$N108)="","",INDEX(tblBilling[Last Payment Date],$N108)),"")</f>
        <v/>
      </c>
      <c r="L108" s="53">
        <f>IF($N108&lt;&gt;"",INDEX(tblBilling[Collector Name],$N108),"")</f>
        <v/>
      </c>
      <c r="N108">
        <f>IF(N107="","",IFERROR(N107+MATCH(1,INDEX(tblBilling[Print Match],N107+1):INDEX(tblBilling[Print Match],ROWS(tblBilling[Print Match])),0),""))</f>
        <v/>
      </c>
      <c r="O108">
        <f>ROW()-9-MIN(PC_Count,500)</f>
        <v/>
      </c>
    </row>
    <row r="109" ht="20" customHeight="1">
      <c r="A109" s="52">
        <f>IF($N109="","",ROW()-9)</f>
        <v/>
      </c>
      <c r="B109" s="53">
        <f>IF($N109&lt;&gt;"",INDEX(tblBilling[Customer ID],$N109),"")</f>
        <v/>
      </c>
      <c r="C109" s="53">
        <f>IF($N109&lt;&gt;"",INDEX(tblBilling[Customer Name],$N109),CHOOSE(MIN(MAX($O109,0),7)+1,"","TOTAL","","Total Customers: "&amp;PC_Count,"Total Recovered: "&amp;CFG_CurrencySymbol&amp;" "&amp;TEXT(PC_TotalPaid,"#,##0"),"","Collector Signature: ____________",""))</f>
        <v/>
      </c>
      <c r="D109" s="53">
        <f>IF($N109&lt;&gt;"",INDEX(tblBilling[Full Address],$N109),CHOOSE(MIN(MAX($O109,0),7)+1,"","","","Total Billing: "&amp;CFG_CurrencySymbol&amp;" "&amp;TEXT(PC_TotalFee,"#,##0"),"Total Pending: "&amp;CFG_CurrencySymbol&amp;" "&amp;TEXT(PC_TotalBalance,"#,##0"),"","Office Verification: ____________",""))</f>
        <v/>
      </c>
      <c r="E109" s="53">
        <f>IF($N109&lt;&gt;"",INDEX(tblBilling[VLAN ID],$N109),"")</f>
        <v/>
      </c>
      <c r="F109" s="52">
        <f>IF($N109&lt;&gt;"",INDEX(tblBilling[Due Date],$N109),"")</f>
        <v/>
      </c>
      <c r="G109" s="54">
        <f>IF($N109&lt;&gt;"",INDEX(tblBilling[Monthly Fee],$N109),IF($O109=1,PC_TotalFee,""))</f>
        <v/>
      </c>
      <c r="H109" s="54">
        <f>IF($N109&lt;&gt;"",INDEX(tblBilling[Amount Paid],$N109),IF($O109=1,PC_TotalPaid,""))</f>
        <v/>
      </c>
      <c r="I109" s="54">
        <f>IF($N109&lt;&gt;"",INDEX(tblBilling[Balance],$N109),IF($O109=1,PC_TotalBalance,""))</f>
        <v/>
      </c>
      <c r="J109" s="53">
        <f>IF($N109&lt;&gt;"",INDEX(tblBilling[Payment Status],$N109),"")</f>
        <v/>
      </c>
      <c r="K109" s="55">
        <f>IF($N109&lt;&gt;"",IF(INDEX(tblBilling[Last Payment Date],$N109)="","",INDEX(tblBilling[Last Payment Date],$N109)),"")</f>
        <v/>
      </c>
      <c r="L109" s="53">
        <f>IF($N109&lt;&gt;"",INDEX(tblBilling[Collector Name],$N109),"")</f>
        <v/>
      </c>
      <c r="N109">
        <f>IF(N108="","",IFERROR(N108+MATCH(1,INDEX(tblBilling[Print Match],N108+1):INDEX(tblBilling[Print Match],ROWS(tblBilling[Print Match])),0),""))</f>
        <v/>
      </c>
      <c r="O109">
        <f>ROW()-9-MIN(PC_Count,500)</f>
        <v/>
      </c>
    </row>
    <row r="110" ht="20" customHeight="1">
      <c r="A110" s="52">
        <f>IF($N110="","",ROW()-9)</f>
        <v/>
      </c>
      <c r="B110" s="53">
        <f>IF($N110&lt;&gt;"",INDEX(tblBilling[Customer ID],$N110),"")</f>
        <v/>
      </c>
      <c r="C110" s="53">
        <f>IF($N110&lt;&gt;"",INDEX(tblBilling[Customer Name],$N110),CHOOSE(MIN(MAX($O110,0),7)+1,"","TOTAL","","Total Customers: "&amp;PC_Count,"Total Recovered: "&amp;CFG_CurrencySymbol&amp;" "&amp;TEXT(PC_TotalPaid,"#,##0"),"","Collector Signature: ____________",""))</f>
        <v/>
      </c>
      <c r="D110" s="53">
        <f>IF($N110&lt;&gt;"",INDEX(tblBilling[Full Address],$N110),CHOOSE(MIN(MAX($O110,0),7)+1,"","","","Total Billing: "&amp;CFG_CurrencySymbol&amp;" "&amp;TEXT(PC_TotalFee,"#,##0"),"Total Pending: "&amp;CFG_CurrencySymbol&amp;" "&amp;TEXT(PC_TotalBalance,"#,##0"),"","Office Verification: ____________",""))</f>
        <v/>
      </c>
      <c r="E110" s="53">
        <f>IF($N110&lt;&gt;"",INDEX(tblBilling[VLAN ID],$N110),"")</f>
        <v/>
      </c>
      <c r="F110" s="52">
        <f>IF($N110&lt;&gt;"",INDEX(tblBilling[Due Date],$N110),"")</f>
        <v/>
      </c>
      <c r="G110" s="54">
        <f>IF($N110&lt;&gt;"",INDEX(tblBilling[Monthly Fee],$N110),IF($O110=1,PC_TotalFee,""))</f>
        <v/>
      </c>
      <c r="H110" s="54">
        <f>IF($N110&lt;&gt;"",INDEX(tblBilling[Amount Paid],$N110),IF($O110=1,PC_TotalPaid,""))</f>
        <v/>
      </c>
      <c r="I110" s="54">
        <f>IF($N110&lt;&gt;"",INDEX(tblBilling[Balance],$N110),IF($O110=1,PC_TotalBalance,""))</f>
        <v/>
      </c>
      <c r="J110" s="53">
        <f>IF($N110&lt;&gt;"",INDEX(tblBilling[Payment Status],$N110),"")</f>
        <v/>
      </c>
      <c r="K110" s="55">
        <f>IF($N110&lt;&gt;"",IF(INDEX(tblBilling[Last Payment Date],$N110)="","",INDEX(tblBilling[Last Payment Date],$N110)),"")</f>
        <v/>
      </c>
      <c r="L110" s="53">
        <f>IF($N110&lt;&gt;"",INDEX(tblBilling[Collector Name],$N110),"")</f>
        <v/>
      </c>
      <c r="N110">
        <f>IF(N109="","",IFERROR(N109+MATCH(1,INDEX(tblBilling[Print Match],N109+1):INDEX(tblBilling[Print Match],ROWS(tblBilling[Print Match])),0),""))</f>
        <v/>
      </c>
      <c r="O110">
        <f>ROW()-9-MIN(PC_Count,500)</f>
        <v/>
      </c>
    </row>
    <row r="111" ht="20" customHeight="1">
      <c r="A111" s="52">
        <f>IF($N111="","",ROW()-9)</f>
        <v/>
      </c>
      <c r="B111" s="53">
        <f>IF($N111&lt;&gt;"",INDEX(tblBilling[Customer ID],$N111),"")</f>
        <v/>
      </c>
      <c r="C111" s="53">
        <f>IF($N111&lt;&gt;"",INDEX(tblBilling[Customer Name],$N111),CHOOSE(MIN(MAX($O111,0),7)+1,"","TOTAL","","Total Customers: "&amp;PC_Count,"Total Recovered: "&amp;CFG_CurrencySymbol&amp;" "&amp;TEXT(PC_TotalPaid,"#,##0"),"","Collector Signature: ____________",""))</f>
        <v/>
      </c>
      <c r="D111" s="53">
        <f>IF($N111&lt;&gt;"",INDEX(tblBilling[Full Address],$N111),CHOOSE(MIN(MAX($O111,0),7)+1,"","","","Total Billing: "&amp;CFG_CurrencySymbol&amp;" "&amp;TEXT(PC_TotalFee,"#,##0"),"Total Pending: "&amp;CFG_CurrencySymbol&amp;" "&amp;TEXT(PC_TotalBalance,"#,##0"),"","Office Verification: ____________",""))</f>
        <v/>
      </c>
      <c r="E111" s="53">
        <f>IF($N111&lt;&gt;"",INDEX(tblBilling[VLAN ID],$N111),"")</f>
        <v/>
      </c>
      <c r="F111" s="52">
        <f>IF($N111&lt;&gt;"",INDEX(tblBilling[Due Date],$N111),"")</f>
        <v/>
      </c>
      <c r="G111" s="54">
        <f>IF($N111&lt;&gt;"",INDEX(tblBilling[Monthly Fee],$N111),IF($O111=1,PC_TotalFee,""))</f>
        <v/>
      </c>
      <c r="H111" s="54">
        <f>IF($N111&lt;&gt;"",INDEX(tblBilling[Amount Paid],$N111),IF($O111=1,PC_TotalPaid,""))</f>
        <v/>
      </c>
      <c r="I111" s="54">
        <f>IF($N111&lt;&gt;"",INDEX(tblBilling[Balance],$N111),IF($O111=1,PC_TotalBalance,""))</f>
        <v/>
      </c>
      <c r="J111" s="53">
        <f>IF($N111&lt;&gt;"",INDEX(tblBilling[Payment Status],$N111),"")</f>
        <v/>
      </c>
      <c r="K111" s="55">
        <f>IF($N111&lt;&gt;"",IF(INDEX(tblBilling[Last Payment Date],$N111)="","",INDEX(tblBilling[Last Payment Date],$N111)),"")</f>
        <v/>
      </c>
      <c r="L111" s="53">
        <f>IF($N111&lt;&gt;"",INDEX(tblBilling[Collector Name],$N111),"")</f>
        <v/>
      </c>
      <c r="N111">
        <f>IF(N110="","",IFERROR(N110+MATCH(1,INDEX(tblBilling[Print Match],N110+1):INDEX(tblBilling[Print Match],ROWS(tblBilling[Print Match])),0),""))</f>
        <v/>
      </c>
      <c r="O111">
        <f>ROW()-9-MIN(PC_Count,500)</f>
        <v/>
      </c>
    </row>
    <row r="112" ht="20" customHeight="1">
      <c r="A112" s="52">
        <f>IF($N112="","",ROW()-9)</f>
        <v/>
      </c>
      <c r="B112" s="53">
        <f>IF($N112&lt;&gt;"",INDEX(tblBilling[Customer ID],$N112),"")</f>
        <v/>
      </c>
      <c r="C112" s="53">
        <f>IF($N112&lt;&gt;"",INDEX(tblBilling[Customer Name],$N112),CHOOSE(MIN(MAX($O112,0),7)+1,"","TOTAL","","Total Customers: "&amp;PC_Count,"Total Recovered: "&amp;CFG_CurrencySymbol&amp;" "&amp;TEXT(PC_TotalPaid,"#,##0"),"","Collector Signature: ____________",""))</f>
        <v/>
      </c>
      <c r="D112" s="53">
        <f>IF($N112&lt;&gt;"",INDEX(tblBilling[Full Address],$N112),CHOOSE(MIN(MAX($O112,0),7)+1,"","","","Total Billing: "&amp;CFG_CurrencySymbol&amp;" "&amp;TEXT(PC_TotalFee,"#,##0"),"Total Pending: "&amp;CFG_CurrencySymbol&amp;" "&amp;TEXT(PC_TotalBalance,"#,##0"),"","Office Verification: ____________",""))</f>
        <v/>
      </c>
      <c r="E112" s="53">
        <f>IF($N112&lt;&gt;"",INDEX(tblBilling[VLAN ID],$N112),"")</f>
        <v/>
      </c>
      <c r="F112" s="52">
        <f>IF($N112&lt;&gt;"",INDEX(tblBilling[Due Date],$N112),"")</f>
        <v/>
      </c>
      <c r="G112" s="54">
        <f>IF($N112&lt;&gt;"",INDEX(tblBilling[Monthly Fee],$N112),IF($O112=1,PC_TotalFee,""))</f>
        <v/>
      </c>
      <c r="H112" s="54">
        <f>IF($N112&lt;&gt;"",INDEX(tblBilling[Amount Paid],$N112),IF($O112=1,PC_TotalPaid,""))</f>
        <v/>
      </c>
      <c r="I112" s="54">
        <f>IF($N112&lt;&gt;"",INDEX(tblBilling[Balance],$N112),IF($O112=1,PC_TotalBalance,""))</f>
        <v/>
      </c>
      <c r="J112" s="53">
        <f>IF($N112&lt;&gt;"",INDEX(tblBilling[Payment Status],$N112),"")</f>
        <v/>
      </c>
      <c r="K112" s="55">
        <f>IF($N112&lt;&gt;"",IF(INDEX(tblBilling[Last Payment Date],$N112)="","",INDEX(tblBilling[Last Payment Date],$N112)),"")</f>
        <v/>
      </c>
      <c r="L112" s="53">
        <f>IF($N112&lt;&gt;"",INDEX(tblBilling[Collector Name],$N112),"")</f>
        <v/>
      </c>
      <c r="N112">
        <f>IF(N111="","",IFERROR(N111+MATCH(1,INDEX(tblBilling[Print Match],N111+1):INDEX(tblBilling[Print Match],ROWS(tblBilling[Print Match])),0),""))</f>
        <v/>
      </c>
      <c r="O112">
        <f>ROW()-9-MIN(PC_Count,500)</f>
        <v/>
      </c>
    </row>
    <row r="113" ht="20" customHeight="1">
      <c r="A113" s="52">
        <f>IF($N113="","",ROW()-9)</f>
        <v/>
      </c>
      <c r="B113" s="53">
        <f>IF($N113&lt;&gt;"",INDEX(tblBilling[Customer ID],$N113),"")</f>
        <v/>
      </c>
      <c r="C113" s="53">
        <f>IF($N113&lt;&gt;"",INDEX(tblBilling[Customer Name],$N113),CHOOSE(MIN(MAX($O113,0),7)+1,"","TOTAL","","Total Customers: "&amp;PC_Count,"Total Recovered: "&amp;CFG_CurrencySymbol&amp;" "&amp;TEXT(PC_TotalPaid,"#,##0"),"","Collector Signature: ____________",""))</f>
        <v/>
      </c>
      <c r="D113" s="53">
        <f>IF($N113&lt;&gt;"",INDEX(tblBilling[Full Address],$N113),CHOOSE(MIN(MAX($O113,0),7)+1,"","","","Total Billing: "&amp;CFG_CurrencySymbol&amp;" "&amp;TEXT(PC_TotalFee,"#,##0"),"Total Pending: "&amp;CFG_CurrencySymbol&amp;" "&amp;TEXT(PC_TotalBalance,"#,##0"),"","Office Verification: ____________",""))</f>
        <v/>
      </c>
      <c r="E113" s="53">
        <f>IF($N113&lt;&gt;"",INDEX(tblBilling[VLAN ID],$N113),"")</f>
        <v/>
      </c>
      <c r="F113" s="52">
        <f>IF($N113&lt;&gt;"",INDEX(tblBilling[Due Date],$N113),"")</f>
        <v/>
      </c>
      <c r="G113" s="54">
        <f>IF($N113&lt;&gt;"",INDEX(tblBilling[Monthly Fee],$N113),IF($O113=1,PC_TotalFee,""))</f>
        <v/>
      </c>
      <c r="H113" s="54">
        <f>IF($N113&lt;&gt;"",INDEX(tblBilling[Amount Paid],$N113),IF($O113=1,PC_TotalPaid,""))</f>
        <v/>
      </c>
      <c r="I113" s="54">
        <f>IF($N113&lt;&gt;"",INDEX(tblBilling[Balance],$N113),IF($O113=1,PC_TotalBalance,""))</f>
        <v/>
      </c>
      <c r="J113" s="53">
        <f>IF($N113&lt;&gt;"",INDEX(tblBilling[Payment Status],$N113),"")</f>
        <v/>
      </c>
      <c r="K113" s="55">
        <f>IF($N113&lt;&gt;"",IF(INDEX(tblBilling[Last Payment Date],$N113)="","",INDEX(tblBilling[Last Payment Date],$N113)),"")</f>
        <v/>
      </c>
      <c r="L113" s="53">
        <f>IF($N113&lt;&gt;"",INDEX(tblBilling[Collector Name],$N113),"")</f>
        <v/>
      </c>
      <c r="N113">
        <f>IF(N112="","",IFERROR(N112+MATCH(1,INDEX(tblBilling[Print Match],N112+1):INDEX(tblBilling[Print Match],ROWS(tblBilling[Print Match])),0),""))</f>
        <v/>
      </c>
      <c r="O113">
        <f>ROW()-9-MIN(PC_Count,500)</f>
        <v/>
      </c>
    </row>
    <row r="114" ht="20" customHeight="1">
      <c r="A114" s="52">
        <f>IF($N114="","",ROW()-9)</f>
        <v/>
      </c>
      <c r="B114" s="53">
        <f>IF($N114&lt;&gt;"",INDEX(tblBilling[Customer ID],$N114),"")</f>
        <v/>
      </c>
      <c r="C114" s="53">
        <f>IF($N114&lt;&gt;"",INDEX(tblBilling[Customer Name],$N114),CHOOSE(MIN(MAX($O114,0),7)+1,"","TOTAL","","Total Customers: "&amp;PC_Count,"Total Recovered: "&amp;CFG_CurrencySymbol&amp;" "&amp;TEXT(PC_TotalPaid,"#,##0"),"","Collector Signature: ____________",""))</f>
        <v/>
      </c>
      <c r="D114" s="53">
        <f>IF($N114&lt;&gt;"",INDEX(tblBilling[Full Address],$N114),CHOOSE(MIN(MAX($O114,0),7)+1,"","","","Total Billing: "&amp;CFG_CurrencySymbol&amp;" "&amp;TEXT(PC_TotalFee,"#,##0"),"Total Pending: "&amp;CFG_CurrencySymbol&amp;" "&amp;TEXT(PC_TotalBalance,"#,##0"),"","Office Verification: ____________",""))</f>
        <v/>
      </c>
      <c r="E114" s="53">
        <f>IF($N114&lt;&gt;"",INDEX(tblBilling[VLAN ID],$N114),"")</f>
        <v/>
      </c>
      <c r="F114" s="52">
        <f>IF($N114&lt;&gt;"",INDEX(tblBilling[Due Date],$N114),"")</f>
        <v/>
      </c>
      <c r="G114" s="54">
        <f>IF($N114&lt;&gt;"",INDEX(tblBilling[Monthly Fee],$N114),IF($O114=1,PC_TotalFee,""))</f>
        <v/>
      </c>
      <c r="H114" s="54">
        <f>IF($N114&lt;&gt;"",INDEX(tblBilling[Amount Paid],$N114),IF($O114=1,PC_TotalPaid,""))</f>
        <v/>
      </c>
      <c r="I114" s="54">
        <f>IF($N114&lt;&gt;"",INDEX(tblBilling[Balance],$N114),IF($O114=1,PC_TotalBalance,""))</f>
        <v/>
      </c>
      <c r="J114" s="53">
        <f>IF($N114&lt;&gt;"",INDEX(tblBilling[Payment Status],$N114),"")</f>
        <v/>
      </c>
      <c r="K114" s="55">
        <f>IF($N114&lt;&gt;"",IF(INDEX(tblBilling[Last Payment Date],$N114)="","",INDEX(tblBilling[Last Payment Date],$N114)),"")</f>
        <v/>
      </c>
      <c r="L114" s="53">
        <f>IF($N114&lt;&gt;"",INDEX(tblBilling[Collector Name],$N114),"")</f>
        <v/>
      </c>
      <c r="N114">
        <f>IF(N113="","",IFERROR(N113+MATCH(1,INDEX(tblBilling[Print Match],N113+1):INDEX(tblBilling[Print Match],ROWS(tblBilling[Print Match])),0),""))</f>
        <v/>
      </c>
      <c r="O114">
        <f>ROW()-9-MIN(PC_Count,500)</f>
        <v/>
      </c>
    </row>
    <row r="115" ht="20" customHeight="1">
      <c r="A115" s="52">
        <f>IF($N115="","",ROW()-9)</f>
        <v/>
      </c>
      <c r="B115" s="53">
        <f>IF($N115&lt;&gt;"",INDEX(tblBilling[Customer ID],$N115),"")</f>
        <v/>
      </c>
      <c r="C115" s="53">
        <f>IF($N115&lt;&gt;"",INDEX(tblBilling[Customer Name],$N115),CHOOSE(MIN(MAX($O115,0),7)+1,"","TOTAL","","Total Customers: "&amp;PC_Count,"Total Recovered: "&amp;CFG_CurrencySymbol&amp;" "&amp;TEXT(PC_TotalPaid,"#,##0"),"","Collector Signature: ____________",""))</f>
        <v/>
      </c>
      <c r="D115" s="53">
        <f>IF($N115&lt;&gt;"",INDEX(tblBilling[Full Address],$N115),CHOOSE(MIN(MAX($O115,0),7)+1,"","","","Total Billing: "&amp;CFG_CurrencySymbol&amp;" "&amp;TEXT(PC_TotalFee,"#,##0"),"Total Pending: "&amp;CFG_CurrencySymbol&amp;" "&amp;TEXT(PC_TotalBalance,"#,##0"),"","Office Verification: ____________",""))</f>
        <v/>
      </c>
      <c r="E115" s="53">
        <f>IF($N115&lt;&gt;"",INDEX(tblBilling[VLAN ID],$N115),"")</f>
        <v/>
      </c>
      <c r="F115" s="52">
        <f>IF($N115&lt;&gt;"",INDEX(tblBilling[Due Date],$N115),"")</f>
        <v/>
      </c>
      <c r="G115" s="54">
        <f>IF($N115&lt;&gt;"",INDEX(tblBilling[Monthly Fee],$N115),IF($O115=1,PC_TotalFee,""))</f>
        <v/>
      </c>
      <c r="H115" s="54">
        <f>IF($N115&lt;&gt;"",INDEX(tblBilling[Amount Paid],$N115),IF($O115=1,PC_TotalPaid,""))</f>
        <v/>
      </c>
      <c r="I115" s="54">
        <f>IF($N115&lt;&gt;"",INDEX(tblBilling[Balance],$N115),IF($O115=1,PC_TotalBalance,""))</f>
        <v/>
      </c>
      <c r="J115" s="53">
        <f>IF($N115&lt;&gt;"",INDEX(tblBilling[Payment Status],$N115),"")</f>
        <v/>
      </c>
      <c r="K115" s="55">
        <f>IF($N115&lt;&gt;"",IF(INDEX(tblBilling[Last Payment Date],$N115)="","",INDEX(tblBilling[Last Payment Date],$N115)),"")</f>
        <v/>
      </c>
      <c r="L115" s="53">
        <f>IF($N115&lt;&gt;"",INDEX(tblBilling[Collector Name],$N115),"")</f>
        <v/>
      </c>
      <c r="N115">
        <f>IF(N114="","",IFERROR(N114+MATCH(1,INDEX(tblBilling[Print Match],N114+1):INDEX(tblBilling[Print Match],ROWS(tblBilling[Print Match])),0),""))</f>
        <v/>
      </c>
      <c r="O115">
        <f>ROW()-9-MIN(PC_Count,500)</f>
        <v/>
      </c>
    </row>
    <row r="116" ht="20" customHeight="1">
      <c r="A116" s="52">
        <f>IF($N116="","",ROW()-9)</f>
        <v/>
      </c>
      <c r="B116" s="53">
        <f>IF($N116&lt;&gt;"",INDEX(tblBilling[Customer ID],$N116),"")</f>
        <v/>
      </c>
      <c r="C116" s="53">
        <f>IF($N116&lt;&gt;"",INDEX(tblBilling[Customer Name],$N116),CHOOSE(MIN(MAX($O116,0),7)+1,"","TOTAL","","Total Customers: "&amp;PC_Count,"Total Recovered: "&amp;CFG_CurrencySymbol&amp;" "&amp;TEXT(PC_TotalPaid,"#,##0"),"","Collector Signature: ____________",""))</f>
        <v/>
      </c>
      <c r="D116" s="53">
        <f>IF($N116&lt;&gt;"",INDEX(tblBilling[Full Address],$N116),CHOOSE(MIN(MAX($O116,0),7)+1,"","","","Total Billing: "&amp;CFG_CurrencySymbol&amp;" "&amp;TEXT(PC_TotalFee,"#,##0"),"Total Pending: "&amp;CFG_CurrencySymbol&amp;" "&amp;TEXT(PC_TotalBalance,"#,##0"),"","Office Verification: ____________",""))</f>
        <v/>
      </c>
      <c r="E116" s="53">
        <f>IF($N116&lt;&gt;"",INDEX(tblBilling[VLAN ID],$N116),"")</f>
        <v/>
      </c>
      <c r="F116" s="52">
        <f>IF($N116&lt;&gt;"",INDEX(tblBilling[Due Date],$N116),"")</f>
        <v/>
      </c>
      <c r="G116" s="54">
        <f>IF($N116&lt;&gt;"",INDEX(tblBilling[Monthly Fee],$N116),IF($O116=1,PC_TotalFee,""))</f>
        <v/>
      </c>
      <c r="H116" s="54">
        <f>IF($N116&lt;&gt;"",INDEX(tblBilling[Amount Paid],$N116),IF($O116=1,PC_TotalPaid,""))</f>
        <v/>
      </c>
      <c r="I116" s="54">
        <f>IF($N116&lt;&gt;"",INDEX(tblBilling[Balance],$N116),IF($O116=1,PC_TotalBalance,""))</f>
        <v/>
      </c>
      <c r="J116" s="53">
        <f>IF($N116&lt;&gt;"",INDEX(tblBilling[Payment Status],$N116),"")</f>
        <v/>
      </c>
      <c r="K116" s="55">
        <f>IF($N116&lt;&gt;"",IF(INDEX(tblBilling[Last Payment Date],$N116)="","",INDEX(tblBilling[Last Payment Date],$N116)),"")</f>
        <v/>
      </c>
      <c r="L116" s="53">
        <f>IF($N116&lt;&gt;"",INDEX(tblBilling[Collector Name],$N116),"")</f>
        <v/>
      </c>
      <c r="N116">
        <f>IF(N115="","",IFERROR(N115+MATCH(1,INDEX(tblBilling[Print Match],N115+1):INDEX(tblBilling[Print Match],ROWS(tblBilling[Print Match])),0),""))</f>
        <v/>
      </c>
      <c r="O116">
        <f>ROW()-9-MIN(PC_Count,500)</f>
        <v/>
      </c>
    </row>
    <row r="117" ht="20" customHeight="1">
      <c r="A117" s="52">
        <f>IF($N117="","",ROW()-9)</f>
        <v/>
      </c>
      <c r="B117" s="53">
        <f>IF($N117&lt;&gt;"",INDEX(tblBilling[Customer ID],$N117),"")</f>
        <v/>
      </c>
      <c r="C117" s="53">
        <f>IF($N117&lt;&gt;"",INDEX(tblBilling[Customer Name],$N117),CHOOSE(MIN(MAX($O117,0),7)+1,"","TOTAL","","Total Customers: "&amp;PC_Count,"Total Recovered: "&amp;CFG_CurrencySymbol&amp;" "&amp;TEXT(PC_TotalPaid,"#,##0"),"","Collector Signature: ____________",""))</f>
        <v/>
      </c>
      <c r="D117" s="53">
        <f>IF($N117&lt;&gt;"",INDEX(tblBilling[Full Address],$N117),CHOOSE(MIN(MAX($O117,0),7)+1,"","","","Total Billing: "&amp;CFG_CurrencySymbol&amp;" "&amp;TEXT(PC_TotalFee,"#,##0"),"Total Pending: "&amp;CFG_CurrencySymbol&amp;" "&amp;TEXT(PC_TotalBalance,"#,##0"),"","Office Verification: ____________",""))</f>
        <v/>
      </c>
      <c r="E117" s="53">
        <f>IF($N117&lt;&gt;"",INDEX(tblBilling[VLAN ID],$N117),"")</f>
        <v/>
      </c>
      <c r="F117" s="52">
        <f>IF($N117&lt;&gt;"",INDEX(tblBilling[Due Date],$N117),"")</f>
        <v/>
      </c>
      <c r="G117" s="54">
        <f>IF($N117&lt;&gt;"",INDEX(tblBilling[Monthly Fee],$N117),IF($O117=1,PC_TotalFee,""))</f>
        <v/>
      </c>
      <c r="H117" s="54">
        <f>IF($N117&lt;&gt;"",INDEX(tblBilling[Amount Paid],$N117),IF($O117=1,PC_TotalPaid,""))</f>
        <v/>
      </c>
      <c r="I117" s="54">
        <f>IF($N117&lt;&gt;"",INDEX(tblBilling[Balance],$N117),IF($O117=1,PC_TotalBalance,""))</f>
        <v/>
      </c>
      <c r="J117" s="53">
        <f>IF($N117&lt;&gt;"",INDEX(tblBilling[Payment Status],$N117),"")</f>
        <v/>
      </c>
      <c r="K117" s="55">
        <f>IF($N117&lt;&gt;"",IF(INDEX(tblBilling[Last Payment Date],$N117)="","",INDEX(tblBilling[Last Payment Date],$N117)),"")</f>
        <v/>
      </c>
      <c r="L117" s="53">
        <f>IF($N117&lt;&gt;"",INDEX(tblBilling[Collector Name],$N117),"")</f>
        <v/>
      </c>
      <c r="N117">
        <f>IF(N116="","",IFERROR(N116+MATCH(1,INDEX(tblBilling[Print Match],N116+1):INDEX(tblBilling[Print Match],ROWS(tblBilling[Print Match])),0),""))</f>
        <v/>
      </c>
      <c r="O117">
        <f>ROW()-9-MIN(PC_Count,500)</f>
        <v/>
      </c>
    </row>
    <row r="118" ht="20" customHeight="1">
      <c r="A118" s="52">
        <f>IF($N118="","",ROW()-9)</f>
        <v/>
      </c>
      <c r="B118" s="53">
        <f>IF($N118&lt;&gt;"",INDEX(tblBilling[Customer ID],$N118),"")</f>
        <v/>
      </c>
      <c r="C118" s="53">
        <f>IF($N118&lt;&gt;"",INDEX(tblBilling[Customer Name],$N118),CHOOSE(MIN(MAX($O118,0),7)+1,"","TOTAL","","Total Customers: "&amp;PC_Count,"Total Recovered: "&amp;CFG_CurrencySymbol&amp;" "&amp;TEXT(PC_TotalPaid,"#,##0"),"","Collector Signature: ____________",""))</f>
        <v/>
      </c>
      <c r="D118" s="53">
        <f>IF($N118&lt;&gt;"",INDEX(tblBilling[Full Address],$N118),CHOOSE(MIN(MAX($O118,0),7)+1,"","","","Total Billing: "&amp;CFG_CurrencySymbol&amp;" "&amp;TEXT(PC_TotalFee,"#,##0"),"Total Pending: "&amp;CFG_CurrencySymbol&amp;" "&amp;TEXT(PC_TotalBalance,"#,##0"),"","Office Verification: ____________",""))</f>
        <v/>
      </c>
      <c r="E118" s="53">
        <f>IF($N118&lt;&gt;"",INDEX(tblBilling[VLAN ID],$N118),"")</f>
        <v/>
      </c>
      <c r="F118" s="52">
        <f>IF($N118&lt;&gt;"",INDEX(tblBilling[Due Date],$N118),"")</f>
        <v/>
      </c>
      <c r="G118" s="54">
        <f>IF($N118&lt;&gt;"",INDEX(tblBilling[Monthly Fee],$N118),IF($O118=1,PC_TotalFee,""))</f>
        <v/>
      </c>
      <c r="H118" s="54">
        <f>IF($N118&lt;&gt;"",INDEX(tblBilling[Amount Paid],$N118),IF($O118=1,PC_TotalPaid,""))</f>
        <v/>
      </c>
      <c r="I118" s="54">
        <f>IF($N118&lt;&gt;"",INDEX(tblBilling[Balance],$N118),IF($O118=1,PC_TotalBalance,""))</f>
        <v/>
      </c>
      <c r="J118" s="53">
        <f>IF($N118&lt;&gt;"",INDEX(tblBilling[Payment Status],$N118),"")</f>
        <v/>
      </c>
      <c r="K118" s="55">
        <f>IF($N118&lt;&gt;"",IF(INDEX(tblBilling[Last Payment Date],$N118)="","",INDEX(tblBilling[Last Payment Date],$N118)),"")</f>
        <v/>
      </c>
      <c r="L118" s="53">
        <f>IF($N118&lt;&gt;"",INDEX(tblBilling[Collector Name],$N118),"")</f>
        <v/>
      </c>
      <c r="N118">
        <f>IF(N117="","",IFERROR(N117+MATCH(1,INDEX(tblBilling[Print Match],N117+1):INDEX(tblBilling[Print Match],ROWS(tblBilling[Print Match])),0),""))</f>
        <v/>
      </c>
      <c r="O118">
        <f>ROW()-9-MIN(PC_Count,500)</f>
        <v/>
      </c>
    </row>
    <row r="119" ht="20" customHeight="1">
      <c r="A119" s="52">
        <f>IF($N119="","",ROW()-9)</f>
        <v/>
      </c>
      <c r="B119" s="53">
        <f>IF($N119&lt;&gt;"",INDEX(tblBilling[Customer ID],$N119),"")</f>
        <v/>
      </c>
      <c r="C119" s="53">
        <f>IF($N119&lt;&gt;"",INDEX(tblBilling[Customer Name],$N119),CHOOSE(MIN(MAX($O119,0),7)+1,"","TOTAL","","Total Customers: "&amp;PC_Count,"Total Recovered: "&amp;CFG_CurrencySymbol&amp;" "&amp;TEXT(PC_TotalPaid,"#,##0"),"","Collector Signature: ____________",""))</f>
        <v/>
      </c>
      <c r="D119" s="53">
        <f>IF($N119&lt;&gt;"",INDEX(tblBilling[Full Address],$N119),CHOOSE(MIN(MAX($O119,0),7)+1,"","","","Total Billing: "&amp;CFG_CurrencySymbol&amp;" "&amp;TEXT(PC_TotalFee,"#,##0"),"Total Pending: "&amp;CFG_CurrencySymbol&amp;" "&amp;TEXT(PC_TotalBalance,"#,##0"),"","Office Verification: ____________",""))</f>
        <v/>
      </c>
      <c r="E119" s="53">
        <f>IF($N119&lt;&gt;"",INDEX(tblBilling[VLAN ID],$N119),"")</f>
        <v/>
      </c>
      <c r="F119" s="52">
        <f>IF($N119&lt;&gt;"",INDEX(tblBilling[Due Date],$N119),"")</f>
        <v/>
      </c>
      <c r="G119" s="54">
        <f>IF($N119&lt;&gt;"",INDEX(tblBilling[Monthly Fee],$N119),IF($O119=1,PC_TotalFee,""))</f>
        <v/>
      </c>
      <c r="H119" s="54">
        <f>IF($N119&lt;&gt;"",INDEX(tblBilling[Amount Paid],$N119),IF($O119=1,PC_TotalPaid,""))</f>
        <v/>
      </c>
      <c r="I119" s="54">
        <f>IF($N119&lt;&gt;"",INDEX(tblBilling[Balance],$N119),IF($O119=1,PC_TotalBalance,""))</f>
        <v/>
      </c>
      <c r="J119" s="53">
        <f>IF($N119&lt;&gt;"",INDEX(tblBilling[Payment Status],$N119),"")</f>
        <v/>
      </c>
      <c r="K119" s="55">
        <f>IF($N119&lt;&gt;"",IF(INDEX(tblBilling[Last Payment Date],$N119)="","",INDEX(tblBilling[Last Payment Date],$N119)),"")</f>
        <v/>
      </c>
      <c r="L119" s="53">
        <f>IF($N119&lt;&gt;"",INDEX(tblBilling[Collector Name],$N119),"")</f>
        <v/>
      </c>
      <c r="N119">
        <f>IF(N118="","",IFERROR(N118+MATCH(1,INDEX(tblBilling[Print Match],N118+1):INDEX(tblBilling[Print Match],ROWS(tblBilling[Print Match])),0),""))</f>
        <v/>
      </c>
      <c r="O119">
        <f>ROW()-9-MIN(PC_Count,500)</f>
        <v/>
      </c>
    </row>
    <row r="120" ht="20" customHeight="1">
      <c r="A120" s="52">
        <f>IF($N120="","",ROW()-9)</f>
        <v/>
      </c>
      <c r="B120" s="53">
        <f>IF($N120&lt;&gt;"",INDEX(tblBilling[Customer ID],$N120),"")</f>
        <v/>
      </c>
      <c r="C120" s="53">
        <f>IF($N120&lt;&gt;"",INDEX(tblBilling[Customer Name],$N120),CHOOSE(MIN(MAX($O120,0),7)+1,"","TOTAL","","Total Customers: "&amp;PC_Count,"Total Recovered: "&amp;CFG_CurrencySymbol&amp;" "&amp;TEXT(PC_TotalPaid,"#,##0"),"","Collector Signature: ____________",""))</f>
        <v/>
      </c>
      <c r="D120" s="53">
        <f>IF($N120&lt;&gt;"",INDEX(tblBilling[Full Address],$N120),CHOOSE(MIN(MAX($O120,0),7)+1,"","","","Total Billing: "&amp;CFG_CurrencySymbol&amp;" "&amp;TEXT(PC_TotalFee,"#,##0"),"Total Pending: "&amp;CFG_CurrencySymbol&amp;" "&amp;TEXT(PC_TotalBalance,"#,##0"),"","Office Verification: ____________",""))</f>
        <v/>
      </c>
      <c r="E120" s="53">
        <f>IF($N120&lt;&gt;"",INDEX(tblBilling[VLAN ID],$N120),"")</f>
        <v/>
      </c>
      <c r="F120" s="52">
        <f>IF($N120&lt;&gt;"",INDEX(tblBilling[Due Date],$N120),"")</f>
        <v/>
      </c>
      <c r="G120" s="54">
        <f>IF($N120&lt;&gt;"",INDEX(tblBilling[Monthly Fee],$N120),IF($O120=1,PC_TotalFee,""))</f>
        <v/>
      </c>
      <c r="H120" s="54">
        <f>IF($N120&lt;&gt;"",INDEX(tblBilling[Amount Paid],$N120),IF($O120=1,PC_TotalPaid,""))</f>
        <v/>
      </c>
      <c r="I120" s="54">
        <f>IF($N120&lt;&gt;"",INDEX(tblBilling[Balance],$N120),IF($O120=1,PC_TotalBalance,""))</f>
        <v/>
      </c>
      <c r="J120" s="53">
        <f>IF($N120&lt;&gt;"",INDEX(tblBilling[Payment Status],$N120),"")</f>
        <v/>
      </c>
      <c r="K120" s="55">
        <f>IF($N120&lt;&gt;"",IF(INDEX(tblBilling[Last Payment Date],$N120)="","",INDEX(tblBilling[Last Payment Date],$N120)),"")</f>
        <v/>
      </c>
      <c r="L120" s="53">
        <f>IF($N120&lt;&gt;"",INDEX(tblBilling[Collector Name],$N120),"")</f>
        <v/>
      </c>
      <c r="N120">
        <f>IF(N119="","",IFERROR(N119+MATCH(1,INDEX(tblBilling[Print Match],N119+1):INDEX(tblBilling[Print Match],ROWS(tblBilling[Print Match])),0),""))</f>
        <v/>
      </c>
      <c r="O120">
        <f>ROW()-9-MIN(PC_Count,500)</f>
        <v/>
      </c>
    </row>
    <row r="121" ht="20" customHeight="1">
      <c r="A121" s="52">
        <f>IF($N121="","",ROW()-9)</f>
        <v/>
      </c>
      <c r="B121" s="53">
        <f>IF($N121&lt;&gt;"",INDEX(tblBilling[Customer ID],$N121),"")</f>
        <v/>
      </c>
      <c r="C121" s="53">
        <f>IF($N121&lt;&gt;"",INDEX(tblBilling[Customer Name],$N121),CHOOSE(MIN(MAX($O121,0),7)+1,"","TOTAL","","Total Customers: "&amp;PC_Count,"Total Recovered: "&amp;CFG_CurrencySymbol&amp;" "&amp;TEXT(PC_TotalPaid,"#,##0"),"","Collector Signature: ____________",""))</f>
        <v/>
      </c>
      <c r="D121" s="53">
        <f>IF($N121&lt;&gt;"",INDEX(tblBilling[Full Address],$N121),CHOOSE(MIN(MAX($O121,0),7)+1,"","","","Total Billing: "&amp;CFG_CurrencySymbol&amp;" "&amp;TEXT(PC_TotalFee,"#,##0"),"Total Pending: "&amp;CFG_CurrencySymbol&amp;" "&amp;TEXT(PC_TotalBalance,"#,##0"),"","Office Verification: ____________",""))</f>
        <v/>
      </c>
      <c r="E121" s="53">
        <f>IF($N121&lt;&gt;"",INDEX(tblBilling[VLAN ID],$N121),"")</f>
        <v/>
      </c>
      <c r="F121" s="52">
        <f>IF($N121&lt;&gt;"",INDEX(tblBilling[Due Date],$N121),"")</f>
        <v/>
      </c>
      <c r="G121" s="54">
        <f>IF($N121&lt;&gt;"",INDEX(tblBilling[Monthly Fee],$N121),IF($O121=1,PC_TotalFee,""))</f>
        <v/>
      </c>
      <c r="H121" s="54">
        <f>IF($N121&lt;&gt;"",INDEX(tblBilling[Amount Paid],$N121),IF($O121=1,PC_TotalPaid,""))</f>
        <v/>
      </c>
      <c r="I121" s="54">
        <f>IF($N121&lt;&gt;"",INDEX(tblBilling[Balance],$N121),IF($O121=1,PC_TotalBalance,""))</f>
        <v/>
      </c>
      <c r="J121" s="53">
        <f>IF($N121&lt;&gt;"",INDEX(tblBilling[Payment Status],$N121),"")</f>
        <v/>
      </c>
      <c r="K121" s="55">
        <f>IF($N121&lt;&gt;"",IF(INDEX(tblBilling[Last Payment Date],$N121)="","",INDEX(tblBilling[Last Payment Date],$N121)),"")</f>
        <v/>
      </c>
      <c r="L121" s="53">
        <f>IF($N121&lt;&gt;"",INDEX(tblBilling[Collector Name],$N121),"")</f>
        <v/>
      </c>
      <c r="N121">
        <f>IF(N120="","",IFERROR(N120+MATCH(1,INDEX(tblBilling[Print Match],N120+1):INDEX(tblBilling[Print Match],ROWS(tblBilling[Print Match])),0),""))</f>
        <v/>
      </c>
      <c r="O121">
        <f>ROW()-9-MIN(PC_Count,500)</f>
        <v/>
      </c>
    </row>
    <row r="122" ht="20" customHeight="1">
      <c r="A122" s="52">
        <f>IF($N122="","",ROW()-9)</f>
        <v/>
      </c>
      <c r="B122" s="53">
        <f>IF($N122&lt;&gt;"",INDEX(tblBilling[Customer ID],$N122),"")</f>
        <v/>
      </c>
      <c r="C122" s="53">
        <f>IF($N122&lt;&gt;"",INDEX(tblBilling[Customer Name],$N122),CHOOSE(MIN(MAX($O122,0),7)+1,"","TOTAL","","Total Customers: "&amp;PC_Count,"Total Recovered: "&amp;CFG_CurrencySymbol&amp;" "&amp;TEXT(PC_TotalPaid,"#,##0"),"","Collector Signature: ____________",""))</f>
        <v/>
      </c>
      <c r="D122" s="53">
        <f>IF($N122&lt;&gt;"",INDEX(tblBilling[Full Address],$N122),CHOOSE(MIN(MAX($O122,0),7)+1,"","","","Total Billing: "&amp;CFG_CurrencySymbol&amp;" "&amp;TEXT(PC_TotalFee,"#,##0"),"Total Pending: "&amp;CFG_CurrencySymbol&amp;" "&amp;TEXT(PC_TotalBalance,"#,##0"),"","Office Verification: ____________",""))</f>
        <v/>
      </c>
      <c r="E122" s="53">
        <f>IF($N122&lt;&gt;"",INDEX(tblBilling[VLAN ID],$N122),"")</f>
        <v/>
      </c>
      <c r="F122" s="52">
        <f>IF($N122&lt;&gt;"",INDEX(tblBilling[Due Date],$N122),"")</f>
        <v/>
      </c>
      <c r="G122" s="54">
        <f>IF($N122&lt;&gt;"",INDEX(tblBilling[Monthly Fee],$N122),IF($O122=1,PC_TotalFee,""))</f>
        <v/>
      </c>
      <c r="H122" s="54">
        <f>IF($N122&lt;&gt;"",INDEX(tblBilling[Amount Paid],$N122),IF($O122=1,PC_TotalPaid,""))</f>
        <v/>
      </c>
      <c r="I122" s="54">
        <f>IF($N122&lt;&gt;"",INDEX(tblBilling[Balance],$N122),IF($O122=1,PC_TotalBalance,""))</f>
        <v/>
      </c>
      <c r="J122" s="53">
        <f>IF($N122&lt;&gt;"",INDEX(tblBilling[Payment Status],$N122),"")</f>
        <v/>
      </c>
      <c r="K122" s="55">
        <f>IF($N122&lt;&gt;"",IF(INDEX(tblBilling[Last Payment Date],$N122)="","",INDEX(tblBilling[Last Payment Date],$N122)),"")</f>
        <v/>
      </c>
      <c r="L122" s="53">
        <f>IF($N122&lt;&gt;"",INDEX(tblBilling[Collector Name],$N122),"")</f>
        <v/>
      </c>
      <c r="N122">
        <f>IF(N121="","",IFERROR(N121+MATCH(1,INDEX(tblBilling[Print Match],N121+1):INDEX(tblBilling[Print Match],ROWS(tblBilling[Print Match])),0),""))</f>
        <v/>
      </c>
      <c r="O122">
        <f>ROW()-9-MIN(PC_Count,500)</f>
        <v/>
      </c>
    </row>
    <row r="123" ht="20" customHeight="1">
      <c r="A123" s="52">
        <f>IF($N123="","",ROW()-9)</f>
        <v/>
      </c>
      <c r="B123" s="53">
        <f>IF($N123&lt;&gt;"",INDEX(tblBilling[Customer ID],$N123),"")</f>
        <v/>
      </c>
      <c r="C123" s="53">
        <f>IF($N123&lt;&gt;"",INDEX(tblBilling[Customer Name],$N123),CHOOSE(MIN(MAX($O123,0),7)+1,"","TOTAL","","Total Customers: "&amp;PC_Count,"Total Recovered: "&amp;CFG_CurrencySymbol&amp;" "&amp;TEXT(PC_TotalPaid,"#,##0"),"","Collector Signature: ____________",""))</f>
        <v/>
      </c>
      <c r="D123" s="53">
        <f>IF($N123&lt;&gt;"",INDEX(tblBilling[Full Address],$N123),CHOOSE(MIN(MAX($O123,0),7)+1,"","","","Total Billing: "&amp;CFG_CurrencySymbol&amp;" "&amp;TEXT(PC_TotalFee,"#,##0"),"Total Pending: "&amp;CFG_CurrencySymbol&amp;" "&amp;TEXT(PC_TotalBalance,"#,##0"),"","Office Verification: ____________",""))</f>
        <v/>
      </c>
      <c r="E123" s="53">
        <f>IF($N123&lt;&gt;"",INDEX(tblBilling[VLAN ID],$N123),"")</f>
        <v/>
      </c>
      <c r="F123" s="52">
        <f>IF($N123&lt;&gt;"",INDEX(tblBilling[Due Date],$N123),"")</f>
        <v/>
      </c>
      <c r="G123" s="54">
        <f>IF($N123&lt;&gt;"",INDEX(tblBilling[Monthly Fee],$N123),IF($O123=1,PC_TotalFee,""))</f>
        <v/>
      </c>
      <c r="H123" s="54">
        <f>IF($N123&lt;&gt;"",INDEX(tblBilling[Amount Paid],$N123),IF($O123=1,PC_TotalPaid,""))</f>
        <v/>
      </c>
      <c r="I123" s="54">
        <f>IF($N123&lt;&gt;"",INDEX(tblBilling[Balance],$N123),IF($O123=1,PC_TotalBalance,""))</f>
        <v/>
      </c>
      <c r="J123" s="53">
        <f>IF($N123&lt;&gt;"",INDEX(tblBilling[Payment Status],$N123),"")</f>
        <v/>
      </c>
      <c r="K123" s="55">
        <f>IF($N123&lt;&gt;"",IF(INDEX(tblBilling[Last Payment Date],$N123)="","",INDEX(tblBilling[Last Payment Date],$N123)),"")</f>
        <v/>
      </c>
      <c r="L123" s="53">
        <f>IF($N123&lt;&gt;"",INDEX(tblBilling[Collector Name],$N123),"")</f>
        <v/>
      </c>
      <c r="N123">
        <f>IF(N122="","",IFERROR(N122+MATCH(1,INDEX(tblBilling[Print Match],N122+1):INDEX(tblBilling[Print Match],ROWS(tblBilling[Print Match])),0),""))</f>
        <v/>
      </c>
      <c r="O123">
        <f>ROW()-9-MIN(PC_Count,500)</f>
        <v/>
      </c>
    </row>
    <row r="124" ht="20" customHeight="1">
      <c r="A124" s="52">
        <f>IF($N124="","",ROW()-9)</f>
        <v/>
      </c>
      <c r="B124" s="53">
        <f>IF($N124&lt;&gt;"",INDEX(tblBilling[Customer ID],$N124),"")</f>
        <v/>
      </c>
      <c r="C124" s="53">
        <f>IF($N124&lt;&gt;"",INDEX(tblBilling[Customer Name],$N124),CHOOSE(MIN(MAX($O124,0),7)+1,"","TOTAL","","Total Customers: "&amp;PC_Count,"Total Recovered: "&amp;CFG_CurrencySymbol&amp;" "&amp;TEXT(PC_TotalPaid,"#,##0"),"","Collector Signature: ____________",""))</f>
        <v/>
      </c>
      <c r="D124" s="53">
        <f>IF($N124&lt;&gt;"",INDEX(tblBilling[Full Address],$N124),CHOOSE(MIN(MAX($O124,0),7)+1,"","","","Total Billing: "&amp;CFG_CurrencySymbol&amp;" "&amp;TEXT(PC_TotalFee,"#,##0"),"Total Pending: "&amp;CFG_CurrencySymbol&amp;" "&amp;TEXT(PC_TotalBalance,"#,##0"),"","Office Verification: ____________",""))</f>
        <v/>
      </c>
      <c r="E124" s="53">
        <f>IF($N124&lt;&gt;"",INDEX(tblBilling[VLAN ID],$N124),"")</f>
        <v/>
      </c>
      <c r="F124" s="52">
        <f>IF($N124&lt;&gt;"",INDEX(tblBilling[Due Date],$N124),"")</f>
        <v/>
      </c>
      <c r="G124" s="54">
        <f>IF($N124&lt;&gt;"",INDEX(tblBilling[Monthly Fee],$N124),IF($O124=1,PC_TotalFee,""))</f>
        <v/>
      </c>
      <c r="H124" s="54">
        <f>IF($N124&lt;&gt;"",INDEX(tblBilling[Amount Paid],$N124),IF($O124=1,PC_TotalPaid,""))</f>
        <v/>
      </c>
      <c r="I124" s="54">
        <f>IF($N124&lt;&gt;"",INDEX(tblBilling[Balance],$N124),IF($O124=1,PC_TotalBalance,""))</f>
        <v/>
      </c>
      <c r="J124" s="53">
        <f>IF($N124&lt;&gt;"",INDEX(tblBilling[Payment Status],$N124),"")</f>
        <v/>
      </c>
      <c r="K124" s="55">
        <f>IF($N124&lt;&gt;"",IF(INDEX(tblBilling[Last Payment Date],$N124)="","",INDEX(tblBilling[Last Payment Date],$N124)),"")</f>
        <v/>
      </c>
      <c r="L124" s="53">
        <f>IF($N124&lt;&gt;"",INDEX(tblBilling[Collector Name],$N124),"")</f>
        <v/>
      </c>
      <c r="N124">
        <f>IF(N123="","",IFERROR(N123+MATCH(1,INDEX(tblBilling[Print Match],N123+1):INDEX(tblBilling[Print Match],ROWS(tblBilling[Print Match])),0),""))</f>
        <v/>
      </c>
      <c r="O124">
        <f>ROW()-9-MIN(PC_Count,500)</f>
        <v/>
      </c>
    </row>
    <row r="125" ht="20" customHeight="1">
      <c r="A125" s="52">
        <f>IF($N125="","",ROW()-9)</f>
        <v/>
      </c>
      <c r="B125" s="53">
        <f>IF($N125&lt;&gt;"",INDEX(tblBilling[Customer ID],$N125),"")</f>
        <v/>
      </c>
      <c r="C125" s="53">
        <f>IF($N125&lt;&gt;"",INDEX(tblBilling[Customer Name],$N125),CHOOSE(MIN(MAX($O125,0),7)+1,"","TOTAL","","Total Customers: "&amp;PC_Count,"Total Recovered: "&amp;CFG_CurrencySymbol&amp;" "&amp;TEXT(PC_TotalPaid,"#,##0"),"","Collector Signature: ____________",""))</f>
        <v/>
      </c>
      <c r="D125" s="53">
        <f>IF($N125&lt;&gt;"",INDEX(tblBilling[Full Address],$N125),CHOOSE(MIN(MAX($O125,0),7)+1,"","","","Total Billing: "&amp;CFG_CurrencySymbol&amp;" "&amp;TEXT(PC_TotalFee,"#,##0"),"Total Pending: "&amp;CFG_CurrencySymbol&amp;" "&amp;TEXT(PC_TotalBalance,"#,##0"),"","Office Verification: ____________",""))</f>
        <v/>
      </c>
      <c r="E125" s="53">
        <f>IF($N125&lt;&gt;"",INDEX(tblBilling[VLAN ID],$N125),"")</f>
        <v/>
      </c>
      <c r="F125" s="52">
        <f>IF($N125&lt;&gt;"",INDEX(tblBilling[Due Date],$N125),"")</f>
        <v/>
      </c>
      <c r="G125" s="54">
        <f>IF($N125&lt;&gt;"",INDEX(tblBilling[Monthly Fee],$N125),IF($O125=1,PC_TotalFee,""))</f>
        <v/>
      </c>
      <c r="H125" s="54">
        <f>IF($N125&lt;&gt;"",INDEX(tblBilling[Amount Paid],$N125),IF($O125=1,PC_TotalPaid,""))</f>
        <v/>
      </c>
      <c r="I125" s="54">
        <f>IF($N125&lt;&gt;"",INDEX(tblBilling[Balance],$N125),IF($O125=1,PC_TotalBalance,""))</f>
        <v/>
      </c>
      <c r="J125" s="53">
        <f>IF($N125&lt;&gt;"",INDEX(tblBilling[Payment Status],$N125),"")</f>
        <v/>
      </c>
      <c r="K125" s="55">
        <f>IF($N125&lt;&gt;"",IF(INDEX(tblBilling[Last Payment Date],$N125)="","",INDEX(tblBilling[Last Payment Date],$N125)),"")</f>
        <v/>
      </c>
      <c r="L125" s="53">
        <f>IF($N125&lt;&gt;"",INDEX(tblBilling[Collector Name],$N125),"")</f>
        <v/>
      </c>
      <c r="N125">
        <f>IF(N124="","",IFERROR(N124+MATCH(1,INDEX(tblBilling[Print Match],N124+1):INDEX(tblBilling[Print Match],ROWS(tblBilling[Print Match])),0),""))</f>
        <v/>
      </c>
      <c r="O125">
        <f>ROW()-9-MIN(PC_Count,500)</f>
        <v/>
      </c>
    </row>
    <row r="126" ht="20" customHeight="1">
      <c r="A126" s="52">
        <f>IF($N126="","",ROW()-9)</f>
        <v/>
      </c>
      <c r="B126" s="53">
        <f>IF($N126&lt;&gt;"",INDEX(tblBilling[Customer ID],$N126),"")</f>
        <v/>
      </c>
      <c r="C126" s="53">
        <f>IF($N126&lt;&gt;"",INDEX(tblBilling[Customer Name],$N126),CHOOSE(MIN(MAX($O126,0),7)+1,"","TOTAL","","Total Customers: "&amp;PC_Count,"Total Recovered: "&amp;CFG_CurrencySymbol&amp;" "&amp;TEXT(PC_TotalPaid,"#,##0"),"","Collector Signature: ____________",""))</f>
        <v/>
      </c>
      <c r="D126" s="53">
        <f>IF($N126&lt;&gt;"",INDEX(tblBilling[Full Address],$N126),CHOOSE(MIN(MAX($O126,0),7)+1,"","","","Total Billing: "&amp;CFG_CurrencySymbol&amp;" "&amp;TEXT(PC_TotalFee,"#,##0"),"Total Pending: "&amp;CFG_CurrencySymbol&amp;" "&amp;TEXT(PC_TotalBalance,"#,##0"),"","Office Verification: ____________",""))</f>
        <v/>
      </c>
      <c r="E126" s="53">
        <f>IF($N126&lt;&gt;"",INDEX(tblBilling[VLAN ID],$N126),"")</f>
        <v/>
      </c>
      <c r="F126" s="52">
        <f>IF($N126&lt;&gt;"",INDEX(tblBilling[Due Date],$N126),"")</f>
        <v/>
      </c>
      <c r="G126" s="54">
        <f>IF($N126&lt;&gt;"",INDEX(tblBilling[Monthly Fee],$N126),IF($O126=1,PC_TotalFee,""))</f>
        <v/>
      </c>
      <c r="H126" s="54">
        <f>IF($N126&lt;&gt;"",INDEX(tblBilling[Amount Paid],$N126),IF($O126=1,PC_TotalPaid,""))</f>
        <v/>
      </c>
      <c r="I126" s="54">
        <f>IF($N126&lt;&gt;"",INDEX(tblBilling[Balance],$N126),IF($O126=1,PC_TotalBalance,""))</f>
        <v/>
      </c>
      <c r="J126" s="53">
        <f>IF($N126&lt;&gt;"",INDEX(tblBilling[Payment Status],$N126),"")</f>
        <v/>
      </c>
      <c r="K126" s="55">
        <f>IF($N126&lt;&gt;"",IF(INDEX(tblBilling[Last Payment Date],$N126)="","",INDEX(tblBilling[Last Payment Date],$N126)),"")</f>
        <v/>
      </c>
      <c r="L126" s="53">
        <f>IF($N126&lt;&gt;"",INDEX(tblBilling[Collector Name],$N126),"")</f>
        <v/>
      </c>
      <c r="N126">
        <f>IF(N125="","",IFERROR(N125+MATCH(1,INDEX(tblBilling[Print Match],N125+1):INDEX(tblBilling[Print Match],ROWS(tblBilling[Print Match])),0),""))</f>
        <v/>
      </c>
      <c r="O126">
        <f>ROW()-9-MIN(PC_Count,500)</f>
        <v/>
      </c>
    </row>
    <row r="127" ht="20" customHeight="1">
      <c r="A127" s="52">
        <f>IF($N127="","",ROW()-9)</f>
        <v/>
      </c>
      <c r="B127" s="53">
        <f>IF($N127&lt;&gt;"",INDEX(tblBilling[Customer ID],$N127),"")</f>
        <v/>
      </c>
      <c r="C127" s="53">
        <f>IF($N127&lt;&gt;"",INDEX(tblBilling[Customer Name],$N127),CHOOSE(MIN(MAX($O127,0),7)+1,"","TOTAL","","Total Customers: "&amp;PC_Count,"Total Recovered: "&amp;CFG_CurrencySymbol&amp;" "&amp;TEXT(PC_TotalPaid,"#,##0"),"","Collector Signature: ____________",""))</f>
        <v/>
      </c>
      <c r="D127" s="53">
        <f>IF($N127&lt;&gt;"",INDEX(tblBilling[Full Address],$N127),CHOOSE(MIN(MAX($O127,0),7)+1,"","","","Total Billing: "&amp;CFG_CurrencySymbol&amp;" "&amp;TEXT(PC_TotalFee,"#,##0"),"Total Pending: "&amp;CFG_CurrencySymbol&amp;" "&amp;TEXT(PC_TotalBalance,"#,##0"),"","Office Verification: ____________",""))</f>
        <v/>
      </c>
      <c r="E127" s="53">
        <f>IF($N127&lt;&gt;"",INDEX(tblBilling[VLAN ID],$N127),"")</f>
        <v/>
      </c>
      <c r="F127" s="52">
        <f>IF($N127&lt;&gt;"",INDEX(tblBilling[Due Date],$N127),"")</f>
        <v/>
      </c>
      <c r="G127" s="54">
        <f>IF($N127&lt;&gt;"",INDEX(tblBilling[Monthly Fee],$N127),IF($O127=1,PC_TotalFee,""))</f>
        <v/>
      </c>
      <c r="H127" s="54">
        <f>IF($N127&lt;&gt;"",INDEX(tblBilling[Amount Paid],$N127),IF($O127=1,PC_TotalPaid,""))</f>
        <v/>
      </c>
      <c r="I127" s="54">
        <f>IF($N127&lt;&gt;"",INDEX(tblBilling[Balance],$N127),IF($O127=1,PC_TotalBalance,""))</f>
        <v/>
      </c>
      <c r="J127" s="53">
        <f>IF($N127&lt;&gt;"",INDEX(tblBilling[Payment Status],$N127),"")</f>
        <v/>
      </c>
      <c r="K127" s="55">
        <f>IF($N127&lt;&gt;"",IF(INDEX(tblBilling[Last Payment Date],$N127)="","",INDEX(tblBilling[Last Payment Date],$N127)),"")</f>
        <v/>
      </c>
      <c r="L127" s="53">
        <f>IF($N127&lt;&gt;"",INDEX(tblBilling[Collector Name],$N127),"")</f>
        <v/>
      </c>
      <c r="N127">
        <f>IF(N126="","",IFERROR(N126+MATCH(1,INDEX(tblBilling[Print Match],N126+1):INDEX(tblBilling[Print Match],ROWS(tblBilling[Print Match])),0),""))</f>
        <v/>
      </c>
      <c r="O127">
        <f>ROW()-9-MIN(PC_Count,500)</f>
        <v/>
      </c>
    </row>
    <row r="128" ht="20" customHeight="1">
      <c r="A128" s="52">
        <f>IF($N128="","",ROW()-9)</f>
        <v/>
      </c>
      <c r="B128" s="53">
        <f>IF($N128&lt;&gt;"",INDEX(tblBilling[Customer ID],$N128),"")</f>
        <v/>
      </c>
      <c r="C128" s="53">
        <f>IF($N128&lt;&gt;"",INDEX(tblBilling[Customer Name],$N128),CHOOSE(MIN(MAX($O128,0),7)+1,"","TOTAL","","Total Customers: "&amp;PC_Count,"Total Recovered: "&amp;CFG_CurrencySymbol&amp;" "&amp;TEXT(PC_TotalPaid,"#,##0"),"","Collector Signature: ____________",""))</f>
        <v/>
      </c>
      <c r="D128" s="53">
        <f>IF($N128&lt;&gt;"",INDEX(tblBilling[Full Address],$N128),CHOOSE(MIN(MAX($O128,0),7)+1,"","","","Total Billing: "&amp;CFG_CurrencySymbol&amp;" "&amp;TEXT(PC_TotalFee,"#,##0"),"Total Pending: "&amp;CFG_CurrencySymbol&amp;" "&amp;TEXT(PC_TotalBalance,"#,##0"),"","Office Verification: ____________",""))</f>
        <v/>
      </c>
      <c r="E128" s="53">
        <f>IF($N128&lt;&gt;"",INDEX(tblBilling[VLAN ID],$N128),"")</f>
        <v/>
      </c>
      <c r="F128" s="52">
        <f>IF($N128&lt;&gt;"",INDEX(tblBilling[Due Date],$N128),"")</f>
        <v/>
      </c>
      <c r="G128" s="54">
        <f>IF($N128&lt;&gt;"",INDEX(tblBilling[Monthly Fee],$N128),IF($O128=1,PC_TotalFee,""))</f>
        <v/>
      </c>
      <c r="H128" s="54">
        <f>IF($N128&lt;&gt;"",INDEX(tblBilling[Amount Paid],$N128),IF($O128=1,PC_TotalPaid,""))</f>
        <v/>
      </c>
      <c r="I128" s="54">
        <f>IF($N128&lt;&gt;"",INDEX(tblBilling[Balance],$N128),IF($O128=1,PC_TotalBalance,""))</f>
        <v/>
      </c>
      <c r="J128" s="53">
        <f>IF($N128&lt;&gt;"",INDEX(tblBilling[Payment Status],$N128),"")</f>
        <v/>
      </c>
      <c r="K128" s="55">
        <f>IF($N128&lt;&gt;"",IF(INDEX(tblBilling[Last Payment Date],$N128)="","",INDEX(tblBilling[Last Payment Date],$N128)),"")</f>
        <v/>
      </c>
      <c r="L128" s="53">
        <f>IF($N128&lt;&gt;"",INDEX(tblBilling[Collector Name],$N128),"")</f>
        <v/>
      </c>
      <c r="N128">
        <f>IF(N127="","",IFERROR(N127+MATCH(1,INDEX(tblBilling[Print Match],N127+1):INDEX(tblBilling[Print Match],ROWS(tblBilling[Print Match])),0),""))</f>
        <v/>
      </c>
      <c r="O128">
        <f>ROW()-9-MIN(PC_Count,500)</f>
        <v/>
      </c>
    </row>
    <row r="129" ht="20" customHeight="1">
      <c r="A129" s="52">
        <f>IF($N129="","",ROW()-9)</f>
        <v/>
      </c>
      <c r="B129" s="53">
        <f>IF($N129&lt;&gt;"",INDEX(tblBilling[Customer ID],$N129),"")</f>
        <v/>
      </c>
      <c r="C129" s="53">
        <f>IF($N129&lt;&gt;"",INDEX(tblBilling[Customer Name],$N129),CHOOSE(MIN(MAX($O129,0),7)+1,"","TOTAL","","Total Customers: "&amp;PC_Count,"Total Recovered: "&amp;CFG_CurrencySymbol&amp;" "&amp;TEXT(PC_TotalPaid,"#,##0"),"","Collector Signature: ____________",""))</f>
        <v/>
      </c>
      <c r="D129" s="53">
        <f>IF($N129&lt;&gt;"",INDEX(tblBilling[Full Address],$N129),CHOOSE(MIN(MAX($O129,0),7)+1,"","","","Total Billing: "&amp;CFG_CurrencySymbol&amp;" "&amp;TEXT(PC_TotalFee,"#,##0"),"Total Pending: "&amp;CFG_CurrencySymbol&amp;" "&amp;TEXT(PC_TotalBalance,"#,##0"),"","Office Verification: ____________",""))</f>
        <v/>
      </c>
      <c r="E129" s="53">
        <f>IF($N129&lt;&gt;"",INDEX(tblBilling[VLAN ID],$N129),"")</f>
        <v/>
      </c>
      <c r="F129" s="52">
        <f>IF($N129&lt;&gt;"",INDEX(tblBilling[Due Date],$N129),"")</f>
        <v/>
      </c>
      <c r="G129" s="54">
        <f>IF($N129&lt;&gt;"",INDEX(tblBilling[Monthly Fee],$N129),IF($O129=1,PC_TotalFee,""))</f>
        <v/>
      </c>
      <c r="H129" s="54">
        <f>IF($N129&lt;&gt;"",INDEX(tblBilling[Amount Paid],$N129),IF($O129=1,PC_TotalPaid,""))</f>
        <v/>
      </c>
      <c r="I129" s="54">
        <f>IF($N129&lt;&gt;"",INDEX(tblBilling[Balance],$N129),IF($O129=1,PC_TotalBalance,""))</f>
        <v/>
      </c>
      <c r="J129" s="53">
        <f>IF($N129&lt;&gt;"",INDEX(tblBilling[Payment Status],$N129),"")</f>
        <v/>
      </c>
      <c r="K129" s="55">
        <f>IF($N129&lt;&gt;"",IF(INDEX(tblBilling[Last Payment Date],$N129)="","",INDEX(tblBilling[Last Payment Date],$N129)),"")</f>
        <v/>
      </c>
      <c r="L129" s="53">
        <f>IF($N129&lt;&gt;"",INDEX(tblBilling[Collector Name],$N129),"")</f>
        <v/>
      </c>
      <c r="N129">
        <f>IF(N128="","",IFERROR(N128+MATCH(1,INDEX(tblBilling[Print Match],N128+1):INDEX(tblBilling[Print Match],ROWS(tblBilling[Print Match])),0),""))</f>
        <v/>
      </c>
      <c r="O129">
        <f>ROW()-9-MIN(PC_Count,500)</f>
        <v/>
      </c>
    </row>
    <row r="130" ht="20" customHeight="1">
      <c r="A130" s="52">
        <f>IF($N130="","",ROW()-9)</f>
        <v/>
      </c>
      <c r="B130" s="53">
        <f>IF($N130&lt;&gt;"",INDEX(tblBilling[Customer ID],$N130),"")</f>
        <v/>
      </c>
      <c r="C130" s="53">
        <f>IF($N130&lt;&gt;"",INDEX(tblBilling[Customer Name],$N130),CHOOSE(MIN(MAX($O130,0),7)+1,"","TOTAL","","Total Customers: "&amp;PC_Count,"Total Recovered: "&amp;CFG_CurrencySymbol&amp;" "&amp;TEXT(PC_TotalPaid,"#,##0"),"","Collector Signature: ____________",""))</f>
        <v/>
      </c>
      <c r="D130" s="53">
        <f>IF($N130&lt;&gt;"",INDEX(tblBilling[Full Address],$N130),CHOOSE(MIN(MAX($O130,0),7)+1,"","","","Total Billing: "&amp;CFG_CurrencySymbol&amp;" "&amp;TEXT(PC_TotalFee,"#,##0"),"Total Pending: "&amp;CFG_CurrencySymbol&amp;" "&amp;TEXT(PC_TotalBalance,"#,##0"),"","Office Verification: ____________",""))</f>
        <v/>
      </c>
      <c r="E130" s="53">
        <f>IF($N130&lt;&gt;"",INDEX(tblBilling[VLAN ID],$N130),"")</f>
        <v/>
      </c>
      <c r="F130" s="52">
        <f>IF($N130&lt;&gt;"",INDEX(tblBilling[Due Date],$N130),"")</f>
        <v/>
      </c>
      <c r="G130" s="54">
        <f>IF($N130&lt;&gt;"",INDEX(tblBilling[Monthly Fee],$N130),IF($O130=1,PC_TotalFee,""))</f>
        <v/>
      </c>
      <c r="H130" s="54">
        <f>IF($N130&lt;&gt;"",INDEX(tblBilling[Amount Paid],$N130),IF($O130=1,PC_TotalPaid,""))</f>
        <v/>
      </c>
      <c r="I130" s="54">
        <f>IF($N130&lt;&gt;"",INDEX(tblBilling[Balance],$N130),IF($O130=1,PC_TotalBalance,""))</f>
        <v/>
      </c>
      <c r="J130" s="53">
        <f>IF($N130&lt;&gt;"",INDEX(tblBilling[Payment Status],$N130),"")</f>
        <v/>
      </c>
      <c r="K130" s="55">
        <f>IF($N130&lt;&gt;"",IF(INDEX(tblBilling[Last Payment Date],$N130)="","",INDEX(tblBilling[Last Payment Date],$N130)),"")</f>
        <v/>
      </c>
      <c r="L130" s="53">
        <f>IF($N130&lt;&gt;"",INDEX(tblBilling[Collector Name],$N130),"")</f>
        <v/>
      </c>
      <c r="N130">
        <f>IF(N129="","",IFERROR(N129+MATCH(1,INDEX(tblBilling[Print Match],N129+1):INDEX(tblBilling[Print Match],ROWS(tblBilling[Print Match])),0),""))</f>
        <v/>
      </c>
      <c r="O130">
        <f>ROW()-9-MIN(PC_Count,500)</f>
        <v/>
      </c>
    </row>
    <row r="131" ht="20" customHeight="1">
      <c r="A131" s="52">
        <f>IF($N131="","",ROW()-9)</f>
        <v/>
      </c>
      <c r="B131" s="53">
        <f>IF($N131&lt;&gt;"",INDEX(tblBilling[Customer ID],$N131),"")</f>
        <v/>
      </c>
      <c r="C131" s="53">
        <f>IF($N131&lt;&gt;"",INDEX(tblBilling[Customer Name],$N131),CHOOSE(MIN(MAX($O131,0),7)+1,"","TOTAL","","Total Customers: "&amp;PC_Count,"Total Recovered: "&amp;CFG_CurrencySymbol&amp;" "&amp;TEXT(PC_TotalPaid,"#,##0"),"","Collector Signature: ____________",""))</f>
        <v/>
      </c>
      <c r="D131" s="53">
        <f>IF($N131&lt;&gt;"",INDEX(tblBilling[Full Address],$N131),CHOOSE(MIN(MAX($O131,0),7)+1,"","","","Total Billing: "&amp;CFG_CurrencySymbol&amp;" "&amp;TEXT(PC_TotalFee,"#,##0"),"Total Pending: "&amp;CFG_CurrencySymbol&amp;" "&amp;TEXT(PC_TotalBalance,"#,##0"),"","Office Verification: ____________",""))</f>
        <v/>
      </c>
      <c r="E131" s="53">
        <f>IF($N131&lt;&gt;"",INDEX(tblBilling[VLAN ID],$N131),"")</f>
        <v/>
      </c>
      <c r="F131" s="52">
        <f>IF($N131&lt;&gt;"",INDEX(tblBilling[Due Date],$N131),"")</f>
        <v/>
      </c>
      <c r="G131" s="54">
        <f>IF($N131&lt;&gt;"",INDEX(tblBilling[Monthly Fee],$N131),IF($O131=1,PC_TotalFee,""))</f>
        <v/>
      </c>
      <c r="H131" s="54">
        <f>IF($N131&lt;&gt;"",INDEX(tblBilling[Amount Paid],$N131),IF($O131=1,PC_TotalPaid,""))</f>
        <v/>
      </c>
      <c r="I131" s="54">
        <f>IF($N131&lt;&gt;"",INDEX(tblBilling[Balance],$N131),IF($O131=1,PC_TotalBalance,""))</f>
        <v/>
      </c>
      <c r="J131" s="53">
        <f>IF($N131&lt;&gt;"",INDEX(tblBilling[Payment Status],$N131),"")</f>
        <v/>
      </c>
      <c r="K131" s="55">
        <f>IF($N131&lt;&gt;"",IF(INDEX(tblBilling[Last Payment Date],$N131)="","",INDEX(tblBilling[Last Payment Date],$N131)),"")</f>
        <v/>
      </c>
      <c r="L131" s="53">
        <f>IF($N131&lt;&gt;"",INDEX(tblBilling[Collector Name],$N131),"")</f>
        <v/>
      </c>
      <c r="N131">
        <f>IF(N130="","",IFERROR(N130+MATCH(1,INDEX(tblBilling[Print Match],N130+1):INDEX(tblBilling[Print Match],ROWS(tblBilling[Print Match])),0),""))</f>
        <v/>
      </c>
      <c r="O131">
        <f>ROW()-9-MIN(PC_Count,500)</f>
        <v/>
      </c>
    </row>
    <row r="132" ht="20" customHeight="1">
      <c r="A132" s="52">
        <f>IF($N132="","",ROW()-9)</f>
        <v/>
      </c>
      <c r="B132" s="53">
        <f>IF($N132&lt;&gt;"",INDEX(tblBilling[Customer ID],$N132),"")</f>
        <v/>
      </c>
      <c r="C132" s="53">
        <f>IF($N132&lt;&gt;"",INDEX(tblBilling[Customer Name],$N132),CHOOSE(MIN(MAX($O132,0),7)+1,"","TOTAL","","Total Customers: "&amp;PC_Count,"Total Recovered: "&amp;CFG_CurrencySymbol&amp;" "&amp;TEXT(PC_TotalPaid,"#,##0"),"","Collector Signature: ____________",""))</f>
        <v/>
      </c>
      <c r="D132" s="53">
        <f>IF($N132&lt;&gt;"",INDEX(tblBilling[Full Address],$N132),CHOOSE(MIN(MAX($O132,0),7)+1,"","","","Total Billing: "&amp;CFG_CurrencySymbol&amp;" "&amp;TEXT(PC_TotalFee,"#,##0"),"Total Pending: "&amp;CFG_CurrencySymbol&amp;" "&amp;TEXT(PC_TotalBalance,"#,##0"),"","Office Verification: ____________",""))</f>
        <v/>
      </c>
      <c r="E132" s="53">
        <f>IF($N132&lt;&gt;"",INDEX(tblBilling[VLAN ID],$N132),"")</f>
        <v/>
      </c>
      <c r="F132" s="52">
        <f>IF($N132&lt;&gt;"",INDEX(tblBilling[Due Date],$N132),"")</f>
        <v/>
      </c>
      <c r="G132" s="54">
        <f>IF($N132&lt;&gt;"",INDEX(tblBilling[Monthly Fee],$N132),IF($O132=1,PC_TotalFee,""))</f>
        <v/>
      </c>
      <c r="H132" s="54">
        <f>IF($N132&lt;&gt;"",INDEX(tblBilling[Amount Paid],$N132),IF($O132=1,PC_TotalPaid,""))</f>
        <v/>
      </c>
      <c r="I132" s="54">
        <f>IF($N132&lt;&gt;"",INDEX(tblBilling[Balance],$N132),IF($O132=1,PC_TotalBalance,""))</f>
        <v/>
      </c>
      <c r="J132" s="53">
        <f>IF($N132&lt;&gt;"",INDEX(tblBilling[Payment Status],$N132),"")</f>
        <v/>
      </c>
      <c r="K132" s="55">
        <f>IF($N132&lt;&gt;"",IF(INDEX(tblBilling[Last Payment Date],$N132)="","",INDEX(tblBilling[Last Payment Date],$N132)),"")</f>
        <v/>
      </c>
      <c r="L132" s="53">
        <f>IF($N132&lt;&gt;"",INDEX(tblBilling[Collector Name],$N132),"")</f>
        <v/>
      </c>
      <c r="N132">
        <f>IF(N131="","",IFERROR(N131+MATCH(1,INDEX(tblBilling[Print Match],N131+1):INDEX(tblBilling[Print Match],ROWS(tblBilling[Print Match])),0),""))</f>
        <v/>
      </c>
      <c r="O132">
        <f>ROW()-9-MIN(PC_Count,500)</f>
        <v/>
      </c>
    </row>
    <row r="133" ht="20" customHeight="1">
      <c r="A133" s="52">
        <f>IF($N133="","",ROW()-9)</f>
        <v/>
      </c>
      <c r="B133" s="53">
        <f>IF($N133&lt;&gt;"",INDEX(tblBilling[Customer ID],$N133),"")</f>
        <v/>
      </c>
      <c r="C133" s="53">
        <f>IF($N133&lt;&gt;"",INDEX(tblBilling[Customer Name],$N133),CHOOSE(MIN(MAX($O133,0),7)+1,"","TOTAL","","Total Customers: "&amp;PC_Count,"Total Recovered: "&amp;CFG_CurrencySymbol&amp;" "&amp;TEXT(PC_TotalPaid,"#,##0"),"","Collector Signature: ____________",""))</f>
        <v/>
      </c>
      <c r="D133" s="53">
        <f>IF($N133&lt;&gt;"",INDEX(tblBilling[Full Address],$N133),CHOOSE(MIN(MAX($O133,0),7)+1,"","","","Total Billing: "&amp;CFG_CurrencySymbol&amp;" "&amp;TEXT(PC_TotalFee,"#,##0"),"Total Pending: "&amp;CFG_CurrencySymbol&amp;" "&amp;TEXT(PC_TotalBalance,"#,##0"),"","Office Verification: ____________",""))</f>
        <v/>
      </c>
      <c r="E133" s="53">
        <f>IF($N133&lt;&gt;"",INDEX(tblBilling[VLAN ID],$N133),"")</f>
        <v/>
      </c>
      <c r="F133" s="52">
        <f>IF($N133&lt;&gt;"",INDEX(tblBilling[Due Date],$N133),"")</f>
        <v/>
      </c>
      <c r="G133" s="54">
        <f>IF($N133&lt;&gt;"",INDEX(tblBilling[Monthly Fee],$N133),IF($O133=1,PC_TotalFee,""))</f>
        <v/>
      </c>
      <c r="H133" s="54">
        <f>IF($N133&lt;&gt;"",INDEX(tblBilling[Amount Paid],$N133),IF($O133=1,PC_TotalPaid,""))</f>
        <v/>
      </c>
      <c r="I133" s="54">
        <f>IF($N133&lt;&gt;"",INDEX(tblBilling[Balance],$N133),IF($O133=1,PC_TotalBalance,""))</f>
        <v/>
      </c>
      <c r="J133" s="53">
        <f>IF($N133&lt;&gt;"",INDEX(tblBilling[Payment Status],$N133),"")</f>
        <v/>
      </c>
      <c r="K133" s="55">
        <f>IF($N133&lt;&gt;"",IF(INDEX(tblBilling[Last Payment Date],$N133)="","",INDEX(tblBilling[Last Payment Date],$N133)),"")</f>
        <v/>
      </c>
      <c r="L133" s="53">
        <f>IF($N133&lt;&gt;"",INDEX(tblBilling[Collector Name],$N133),"")</f>
        <v/>
      </c>
      <c r="N133">
        <f>IF(N132="","",IFERROR(N132+MATCH(1,INDEX(tblBilling[Print Match],N132+1):INDEX(tblBilling[Print Match],ROWS(tblBilling[Print Match])),0),""))</f>
        <v/>
      </c>
      <c r="O133">
        <f>ROW()-9-MIN(PC_Count,500)</f>
        <v/>
      </c>
    </row>
    <row r="134" ht="20" customHeight="1">
      <c r="A134" s="52">
        <f>IF($N134="","",ROW()-9)</f>
        <v/>
      </c>
      <c r="B134" s="53">
        <f>IF($N134&lt;&gt;"",INDEX(tblBilling[Customer ID],$N134),"")</f>
        <v/>
      </c>
      <c r="C134" s="53">
        <f>IF($N134&lt;&gt;"",INDEX(tblBilling[Customer Name],$N134),CHOOSE(MIN(MAX($O134,0),7)+1,"","TOTAL","","Total Customers: "&amp;PC_Count,"Total Recovered: "&amp;CFG_CurrencySymbol&amp;" "&amp;TEXT(PC_TotalPaid,"#,##0"),"","Collector Signature: ____________",""))</f>
        <v/>
      </c>
      <c r="D134" s="53">
        <f>IF($N134&lt;&gt;"",INDEX(tblBilling[Full Address],$N134),CHOOSE(MIN(MAX($O134,0),7)+1,"","","","Total Billing: "&amp;CFG_CurrencySymbol&amp;" "&amp;TEXT(PC_TotalFee,"#,##0"),"Total Pending: "&amp;CFG_CurrencySymbol&amp;" "&amp;TEXT(PC_TotalBalance,"#,##0"),"","Office Verification: ____________",""))</f>
        <v/>
      </c>
      <c r="E134" s="53">
        <f>IF($N134&lt;&gt;"",INDEX(tblBilling[VLAN ID],$N134),"")</f>
        <v/>
      </c>
      <c r="F134" s="52">
        <f>IF($N134&lt;&gt;"",INDEX(tblBilling[Due Date],$N134),"")</f>
        <v/>
      </c>
      <c r="G134" s="54">
        <f>IF($N134&lt;&gt;"",INDEX(tblBilling[Monthly Fee],$N134),IF($O134=1,PC_TotalFee,""))</f>
        <v/>
      </c>
      <c r="H134" s="54">
        <f>IF($N134&lt;&gt;"",INDEX(tblBilling[Amount Paid],$N134),IF($O134=1,PC_TotalPaid,""))</f>
        <v/>
      </c>
      <c r="I134" s="54">
        <f>IF($N134&lt;&gt;"",INDEX(tblBilling[Balance],$N134),IF($O134=1,PC_TotalBalance,""))</f>
        <v/>
      </c>
      <c r="J134" s="53">
        <f>IF($N134&lt;&gt;"",INDEX(tblBilling[Payment Status],$N134),"")</f>
        <v/>
      </c>
      <c r="K134" s="55">
        <f>IF($N134&lt;&gt;"",IF(INDEX(tblBilling[Last Payment Date],$N134)="","",INDEX(tblBilling[Last Payment Date],$N134)),"")</f>
        <v/>
      </c>
      <c r="L134" s="53">
        <f>IF($N134&lt;&gt;"",INDEX(tblBilling[Collector Name],$N134),"")</f>
        <v/>
      </c>
      <c r="N134">
        <f>IF(N133="","",IFERROR(N133+MATCH(1,INDEX(tblBilling[Print Match],N133+1):INDEX(tblBilling[Print Match],ROWS(tblBilling[Print Match])),0),""))</f>
        <v/>
      </c>
      <c r="O134">
        <f>ROW()-9-MIN(PC_Count,500)</f>
        <v/>
      </c>
    </row>
    <row r="135" ht="20" customHeight="1">
      <c r="A135" s="52">
        <f>IF($N135="","",ROW()-9)</f>
        <v/>
      </c>
      <c r="B135" s="53">
        <f>IF($N135&lt;&gt;"",INDEX(tblBilling[Customer ID],$N135),"")</f>
        <v/>
      </c>
      <c r="C135" s="53">
        <f>IF($N135&lt;&gt;"",INDEX(tblBilling[Customer Name],$N135),CHOOSE(MIN(MAX($O135,0),7)+1,"","TOTAL","","Total Customers: "&amp;PC_Count,"Total Recovered: "&amp;CFG_CurrencySymbol&amp;" "&amp;TEXT(PC_TotalPaid,"#,##0"),"","Collector Signature: ____________",""))</f>
        <v/>
      </c>
      <c r="D135" s="53">
        <f>IF($N135&lt;&gt;"",INDEX(tblBilling[Full Address],$N135),CHOOSE(MIN(MAX($O135,0),7)+1,"","","","Total Billing: "&amp;CFG_CurrencySymbol&amp;" "&amp;TEXT(PC_TotalFee,"#,##0"),"Total Pending: "&amp;CFG_CurrencySymbol&amp;" "&amp;TEXT(PC_TotalBalance,"#,##0"),"","Office Verification: ____________",""))</f>
        <v/>
      </c>
      <c r="E135" s="53">
        <f>IF($N135&lt;&gt;"",INDEX(tblBilling[VLAN ID],$N135),"")</f>
        <v/>
      </c>
      <c r="F135" s="52">
        <f>IF($N135&lt;&gt;"",INDEX(tblBilling[Due Date],$N135),"")</f>
        <v/>
      </c>
      <c r="G135" s="54">
        <f>IF($N135&lt;&gt;"",INDEX(tblBilling[Monthly Fee],$N135),IF($O135=1,PC_TotalFee,""))</f>
        <v/>
      </c>
      <c r="H135" s="54">
        <f>IF($N135&lt;&gt;"",INDEX(tblBilling[Amount Paid],$N135),IF($O135=1,PC_TotalPaid,""))</f>
        <v/>
      </c>
      <c r="I135" s="54">
        <f>IF($N135&lt;&gt;"",INDEX(tblBilling[Balance],$N135),IF($O135=1,PC_TotalBalance,""))</f>
        <v/>
      </c>
      <c r="J135" s="53">
        <f>IF($N135&lt;&gt;"",INDEX(tblBilling[Payment Status],$N135),"")</f>
        <v/>
      </c>
      <c r="K135" s="55">
        <f>IF($N135&lt;&gt;"",IF(INDEX(tblBilling[Last Payment Date],$N135)="","",INDEX(tblBilling[Last Payment Date],$N135)),"")</f>
        <v/>
      </c>
      <c r="L135" s="53">
        <f>IF($N135&lt;&gt;"",INDEX(tblBilling[Collector Name],$N135),"")</f>
        <v/>
      </c>
      <c r="N135">
        <f>IF(N134="","",IFERROR(N134+MATCH(1,INDEX(tblBilling[Print Match],N134+1):INDEX(tblBilling[Print Match],ROWS(tblBilling[Print Match])),0),""))</f>
        <v/>
      </c>
      <c r="O135">
        <f>ROW()-9-MIN(PC_Count,500)</f>
        <v/>
      </c>
    </row>
    <row r="136" ht="20" customHeight="1">
      <c r="A136" s="52">
        <f>IF($N136="","",ROW()-9)</f>
        <v/>
      </c>
      <c r="B136" s="53">
        <f>IF($N136&lt;&gt;"",INDEX(tblBilling[Customer ID],$N136),"")</f>
        <v/>
      </c>
      <c r="C136" s="53">
        <f>IF($N136&lt;&gt;"",INDEX(tblBilling[Customer Name],$N136),CHOOSE(MIN(MAX($O136,0),7)+1,"","TOTAL","","Total Customers: "&amp;PC_Count,"Total Recovered: "&amp;CFG_CurrencySymbol&amp;" "&amp;TEXT(PC_TotalPaid,"#,##0"),"","Collector Signature: ____________",""))</f>
        <v/>
      </c>
      <c r="D136" s="53">
        <f>IF($N136&lt;&gt;"",INDEX(tblBilling[Full Address],$N136),CHOOSE(MIN(MAX($O136,0),7)+1,"","","","Total Billing: "&amp;CFG_CurrencySymbol&amp;" "&amp;TEXT(PC_TotalFee,"#,##0"),"Total Pending: "&amp;CFG_CurrencySymbol&amp;" "&amp;TEXT(PC_TotalBalance,"#,##0"),"","Office Verification: ____________",""))</f>
        <v/>
      </c>
      <c r="E136" s="53">
        <f>IF($N136&lt;&gt;"",INDEX(tblBilling[VLAN ID],$N136),"")</f>
        <v/>
      </c>
      <c r="F136" s="52">
        <f>IF($N136&lt;&gt;"",INDEX(tblBilling[Due Date],$N136),"")</f>
        <v/>
      </c>
      <c r="G136" s="54">
        <f>IF($N136&lt;&gt;"",INDEX(tblBilling[Monthly Fee],$N136),IF($O136=1,PC_TotalFee,""))</f>
        <v/>
      </c>
      <c r="H136" s="54">
        <f>IF($N136&lt;&gt;"",INDEX(tblBilling[Amount Paid],$N136),IF($O136=1,PC_TotalPaid,""))</f>
        <v/>
      </c>
      <c r="I136" s="54">
        <f>IF($N136&lt;&gt;"",INDEX(tblBilling[Balance],$N136),IF($O136=1,PC_TotalBalance,""))</f>
        <v/>
      </c>
      <c r="J136" s="53">
        <f>IF($N136&lt;&gt;"",INDEX(tblBilling[Payment Status],$N136),"")</f>
        <v/>
      </c>
      <c r="K136" s="55">
        <f>IF($N136&lt;&gt;"",IF(INDEX(tblBilling[Last Payment Date],$N136)="","",INDEX(tblBilling[Last Payment Date],$N136)),"")</f>
        <v/>
      </c>
      <c r="L136" s="53">
        <f>IF($N136&lt;&gt;"",INDEX(tblBilling[Collector Name],$N136),"")</f>
        <v/>
      </c>
      <c r="N136">
        <f>IF(N135="","",IFERROR(N135+MATCH(1,INDEX(tblBilling[Print Match],N135+1):INDEX(tblBilling[Print Match],ROWS(tblBilling[Print Match])),0),""))</f>
        <v/>
      </c>
      <c r="O136">
        <f>ROW()-9-MIN(PC_Count,500)</f>
        <v/>
      </c>
    </row>
    <row r="137" ht="20" customHeight="1">
      <c r="A137" s="52">
        <f>IF($N137="","",ROW()-9)</f>
        <v/>
      </c>
      <c r="B137" s="53">
        <f>IF($N137&lt;&gt;"",INDEX(tblBilling[Customer ID],$N137),"")</f>
        <v/>
      </c>
      <c r="C137" s="53">
        <f>IF($N137&lt;&gt;"",INDEX(tblBilling[Customer Name],$N137),CHOOSE(MIN(MAX($O137,0),7)+1,"","TOTAL","","Total Customers: "&amp;PC_Count,"Total Recovered: "&amp;CFG_CurrencySymbol&amp;" "&amp;TEXT(PC_TotalPaid,"#,##0"),"","Collector Signature: ____________",""))</f>
        <v/>
      </c>
      <c r="D137" s="53">
        <f>IF($N137&lt;&gt;"",INDEX(tblBilling[Full Address],$N137),CHOOSE(MIN(MAX($O137,0),7)+1,"","","","Total Billing: "&amp;CFG_CurrencySymbol&amp;" "&amp;TEXT(PC_TotalFee,"#,##0"),"Total Pending: "&amp;CFG_CurrencySymbol&amp;" "&amp;TEXT(PC_TotalBalance,"#,##0"),"","Office Verification: ____________",""))</f>
        <v/>
      </c>
      <c r="E137" s="53">
        <f>IF($N137&lt;&gt;"",INDEX(tblBilling[VLAN ID],$N137),"")</f>
        <v/>
      </c>
      <c r="F137" s="52">
        <f>IF($N137&lt;&gt;"",INDEX(tblBilling[Due Date],$N137),"")</f>
        <v/>
      </c>
      <c r="G137" s="54">
        <f>IF($N137&lt;&gt;"",INDEX(tblBilling[Monthly Fee],$N137),IF($O137=1,PC_TotalFee,""))</f>
        <v/>
      </c>
      <c r="H137" s="54">
        <f>IF($N137&lt;&gt;"",INDEX(tblBilling[Amount Paid],$N137),IF($O137=1,PC_TotalPaid,""))</f>
        <v/>
      </c>
      <c r="I137" s="54">
        <f>IF($N137&lt;&gt;"",INDEX(tblBilling[Balance],$N137),IF($O137=1,PC_TotalBalance,""))</f>
        <v/>
      </c>
      <c r="J137" s="53">
        <f>IF($N137&lt;&gt;"",INDEX(tblBilling[Payment Status],$N137),"")</f>
        <v/>
      </c>
      <c r="K137" s="55">
        <f>IF($N137&lt;&gt;"",IF(INDEX(tblBilling[Last Payment Date],$N137)="","",INDEX(tblBilling[Last Payment Date],$N137)),"")</f>
        <v/>
      </c>
      <c r="L137" s="53">
        <f>IF($N137&lt;&gt;"",INDEX(tblBilling[Collector Name],$N137),"")</f>
        <v/>
      </c>
      <c r="N137">
        <f>IF(N136="","",IFERROR(N136+MATCH(1,INDEX(tblBilling[Print Match],N136+1):INDEX(tblBilling[Print Match],ROWS(tblBilling[Print Match])),0),""))</f>
        <v/>
      </c>
      <c r="O137">
        <f>ROW()-9-MIN(PC_Count,500)</f>
        <v/>
      </c>
    </row>
    <row r="138" ht="20" customHeight="1">
      <c r="A138" s="52">
        <f>IF($N138="","",ROW()-9)</f>
        <v/>
      </c>
      <c r="B138" s="53">
        <f>IF($N138&lt;&gt;"",INDEX(tblBilling[Customer ID],$N138),"")</f>
        <v/>
      </c>
      <c r="C138" s="53">
        <f>IF($N138&lt;&gt;"",INDEX(tblBilling[Customer Name],$N138),CHOOSE(MIN(MAX($O138,0),7)+1,"","TOTAL","","Total Customers: "&amp;PC_Count,"Total Recovered: "&amp;CFG_CurrencySymbol&amp;" "&amp;TEXT(PC_TotalPaid,"#,##0"),"","Collector Signature: ____________",""))</f>
        <v/>
      </c>
      <c r="D138" s="53">
        <f>IF($N138&lt;&gt;"",INDEX(tblBilling[Full Address],$N138),CHOOSE(MIN(MAX($O138,0),7)+1,"","","","Total Billing: "&amp;CFG_CurrencySymbol&amp;" "&amp;TEXT(PC_TotalFee,"#,##0"),"Total Pending: "&amp;CFG_CurrencySymbol&amp;" "&amp;TEXT(PC_TotalBalance,"#,##0"),"","Office Verification: ____________",""))</f>
        <v/>
      </c>
      <c r="E138" s="53">
        <f>IF($N138&lt;&gt;"",INDEX(tblBilling[VLAN ID],$N138),"")</f>
        <v/>
      </c>
      <c r="F138" s="52">
        <f>IF($N138&lt;&gt;"",INDEX(tblBilling[Due Date],$N138),"")</f>
        <v/>
      </c>
      <c r="G138" s="54">
        <f>IF($N138&lt;&gt;"",INDEX(tblBilling[Monthly Fee],$N138),IF($O138=1,PC_TotalFee,""))</f>
        <v/>
      </c>
      <c r="H138" s="54">
        <f>IF($N138&lt;&gt;"",INDEX(tblBilling[Amount Paid],$N138),IF($O138=1,PC_TotalPaid,""))</f>
        <v/>
      </c>
      <c r="I138" s="54">
        <f>IF($N138&lt;&gt;"",INDEX(tblBilling[Balance],$N138),IF($O138=1,PC_TotalBalance,""))</f>
        <v/>
      </c>
      <c r="J138" s="53">
        <f>IF($N138&lt;&gt;"",INDEX(tblBilling[Payment Status],$N138),"")</f>
        <v/>
      </c>
      <c r="K138" s="55">
        <f>IF($N138&lt;&gt;"",IF(INDEX(tblBilling[Last Payment Date],$N138)="","",INDEX(tblBilling[Last Payment Date],$N138)),"")</f>
        <v/>
      </c>
      <c r="L138" s="53">
        <f>IF($N138&lt;&gt;"",INDEX(tblBilling[Collector Name],$N138),"")</f>
        <v/>
      </c>
      <c r="N138">
        <f>IF(N137="","",IFERROR(N137+MATCH(1,INDEX(tblBilling[Print Match],N137+1):INDEX(tblBilling[Print Match],ROWS(tblBilling[Print Match])),0),""))</f>
        <v/>
      </c>
      <c r="O138">
        <f>ROW()-9-MIN(PC_Count,500)</f>
        <v/>
      </c>
    </row>
    <row r="139" ht="20" customHeight="1">
      <c r="A139" s="52">
        <f>IF($N139="","",ROW()-9)</f>
        <v/>
      </c>
      <c r="B139" s="53">
        <f>IF($N139&lt;&gt;"",INDEX(tblBilling[Customer ID],$N139),"")</f>
        <v/>
      </c>
      <c r="C139" s="53">
        <f>IF($N139&lt;&gt;"",INDEX(tblBilling[Customer Name],$N139),CHOOSE(MIN(MAX($O139,0),7)+1,"","TOTAL","","Total Customers: "&amp;PC_Count,"Total Recovered: "&amp;CFG_CurrencySymbol&amp;" "&amp;TEXT(PC_TotalPaid,"#,##0"),"","Collector Signature: ____________",""))</f>
        <v/>
      </c>
      <c r="D139" s="53">
        <f>IF($N139&lt;&gt;"",INDEX(tblBilling[Full Address],$N139),CHOOSE(MIN(MAX($O139,0),7)+1,"","","","Total Billing: "&amp;CFG_CurrencySymbol&amp;" "&amp;TEXT(PC_TotalFee,"#,##0"),"Total Pending: "&amp;CFG_CurrencySymbol&amp;" "&amp;TEXT(PC_TotalBalance,"#,##0"),"","Office Verification: ____________",""))</f>
        <v/>
      </c>
      <c r="E139" s="53">
        <f>IF($N139&lt;&gt;"",INDEX(tblBilling[VLAN ID],$N139),"")</f>
        <v/>
      </c>
      <c r="F139" s="52">
        <f>IF($N139&lt;&gt;"",INDEX(tblBilling[Due Date],$N139),"")</f>
        <v/>
      </c>
      <c r="G139" s="54">
        <f>IF($N139&lt;&gt;"",INDEX(tblBilling[Monthly Fee],$N139),IF($O139=1,PC_TotalFee,""))</f>
        <v/>
      </c>
      <c r="H139" s="54">
        <f>IF($N139&lt;&gt;"",INDEX(tblBilling[Amount Paid],$N139),IF($O139=1,PC_TotalPaid,""))</f>
        <v/>
      </c>
      <c r="I139" s="54">
        <f>IF($N139&lt;&gt;"",INDEX(tblBilling[Balance],$N139),IF($O139=1,PC_TotalBalance,""))</f>
        <v/>
      </c>
      <c r="J139" s="53">
        <f>IF($N139&lt;&gt;"",INDEX(tblBilling[Payment Status],$N139),"")</f>
        <v/>
      </c>
      <c r="K139" s="55">
        <f>IF($N139&lt;&gt;"",IF(INDEX(tblBilling[Last Payment Date],$N139)="","",INDEX(tblBilling[Last Payment Date],$N139)),"")</f>
        <v/>
      </c>
      <c r="L139" s="53">
        <f>IF($N139&lt;&gt;"",INDEX(tblBilling[Collector Name],$N139),"")</f>
        <v/>
      </c>
      <c r="N139">
        <f>IF(N138="","",IFERROR(N138+MATCH(1,INDEX(tblBilling[Print Match],N138+1):INDEX(tblBilling[Print Match],ROWS(tblBilling[Print Match])),0),""))</f>
        <v/>
      </c>
      <c r="O139">
        <f>ROW()-9-MIN(PC_Count,500)</f>
        <v/>
      </c>
    </row>
    <row r="140" ht="20" customHeight="1">
      <c r="A140" s="52">
        <f>IF($N140="","",ROW()-9)</f>
        <v/>
      </c>
      <c r="B140" s="53">
        <f>IF($N140&lt;&gt;"",INDEX(tblBilling[Customer ID],$N140),"")</f>
        <v/>
      </c>
      <c r="C140" s="53">
        <f>IF($N140&lt;&gt;"",INDEX(tblBilling[Customer Name],$N140),CHOOSE(MIN(MAX($O140,0),7)+1,"","TOTAL","","Total Customers: "&amp;PC_Count,"Total Recovered: "&amp;CFG_CurrencySymbol&amp;" "&amp;TEXT(PC_TotalPaid,"#,##0"),"","Collector Signature: ____________",""))</f>
        <v/>
      </c>
      <c r="D140" s="53">
        <f>IF($N140&lt;&gt;"",INDEX(tblBilling[Full Address],$N140),CHOOSE(MIN(MAX($O140,0),7)+1,"","","","Total Billing: "&amp;CFG_CurrencySymbol&amp;" "&amp;TEXT(PC_TotalFee,"#,##0"),"Total Pending: "&amp;CFG_CurrencySymbol&amp;" "&amp;TEXT(PC_TotalBalance,"#,##0"),"","Office Verification: ____________",""))</f>
        <v/>
      </c>
      <c r="E140" s="53">
        <f>IF($N140&lt;&gt;"",INDEX(tblBilling[VLAN ID],$N140),"")</f>
        <v/>
      </c>
      <c r="F140" s="52">
        <f>IF($N140&lt;&gt;"",INDEX(tblBilling[Due Date],$N140),"")</f>
        <v/>
      </c>
      <c r="G140" s="54">
        <f>IF($N140&lt;&gt;"",INDEX(tblBilling[Monthly Fee],$N140),IF($O140=1,PC_TotalFee,""))</f>
        <v/>
      </c>
      <c r="H140" s="54">
        <f>IF($N140&lt;&gt;"",INDEX(tblBilling[Amount Paid],$N140),IF($O140=1,PC_TotalPaid,""))</f>
        <v/>
      </c>
      <c r="I140" s="54">
        <f>IF($N140&lt;&gt;"",INDEX(tblBilling[Balance],$N140),IF($O140=1,PC_TotalBalance,""))</f>
        <v/>
      </c>
      <c r="J140" s="53">
        <f>IF($N140&lt;&gt;"",INDEX(tblBilling[Payment Status],$N140),"")</f>
        <v/>
      </c>
      <c r="K140" s="55">
        <f>IF($N140&lt;&gt;"",IF(INDEX(tblBilling[Last Payment Date],$N140)="","",INDEX(tblBilling[Last Payment Date],$N140)),"")</f>
        <v/>
      </c>
      <c r="L140" s="53">
        <f>IF($N140&lt;&gt;"",INDEX(tblBilling[Collector Name],$N140),"")</f>
        <v/>
      </c>
      <c r="N140">
        <f>IF(N139="","",IFERROR(N139+MATCH(1,INDEX(tblBilling[Print Match],N139+1):INDEX(tblBilling[Print Match],ROWS(tblBilling[Print Match])),0),""))</f>
        <v/>
      </c>
      <c r="O140">
        <f>ROW()-9-MIN(PC_Count,500)</f>
        <v/>
      </c>
    </row>
    <row r="141" ht="20" customHeight="1">
      <c r="A141" s="52">
        <f>IF($N141="","",ROW()-9)</f>
        <v/>
      </c>
      <c r="B141" s="53">
        <f>IF($N141&lt;&gt;"",INDEX(tblBilling[Customer ID],$N141),"")</f>
        <v/>
      </c>
      <c r="C141" s="53">
        <f>IF($N141&lt;&gt;"",INDEX(tblBilling[Customer Name],$N141),CHOOSE(MIN(MAX($O141,0),7)+1,"","TOTAL","","Total Customers: "&amp;PC_Count,"Total Recovered: "&amp;CFG_CurrencySymbol&amp;" "&amp;TEXT(PC_TotalPaid,"#,##0"),"","Collector Signature: ____________",""))</f>
        <v/>
      </c>
      <c r="D141" s="53">
        <f>IF($N141&lt;&gt;"",INDEX(tblBilling[Full Address],$N141),CHOOSE(MIN(MAX($O141,0),7)+1,"","","","Total Billing: "&amp;CFG_CurrencySymbol&amp;" "&amp;TEXT(PC_TotalFee,"#,##0"),"Total Pending: "&amp;CFG_CurrencySymbol&amp;" "&amp;TEXT(PC_TotalBalance,"#,##0"),"","Office Verification: ____________",""))</f>
        <v/>
      </c>
      <c r="E141" s="53">
        <f>IF($N141&lt;&gt;"",INDEX(tblBilling[VLAN ID],$N141),"")</f>
        <v/>
      </c>
      <c r="F141" s="52">
        <f>IF($N141&lt;&gt;"",INDEX(tblBilling[Due Date],$N141),"")</f>
        <v/>
      </c>
      <c r="G141" s="54">
        <f>IF($N141&lt;&gt;"",INDEX(tblBilling[Monthly Fee],$N141),IF($O141=1,PC_TotalFee,""))</f>
        <v/>
      </c>
      <c r="H141" s="54">
        <f>IF($N141&lt;&gt;"",INDEX(tblBilling[Amount Paid],$N141),IF($O141=1,PC_TotalPaid,""))</f>
        <v/>
      </c>
      <c r="I141" s="54">
        <f>IF($N141&lt;&gt;"",INDEX(tblBilling[Balance],$N141),IF($O141=1,PC_TotalBalance,""))</f>
        <v/>
      </c>
      <c r="J141" s="53">
        <f>IF($N141&lt;&gt;"",INDEX(tblBilling[Payment Status],$N141),"")</f>
        <v/>
      </c>
      <c r="K141" s="55">
        <f>IF($N141&lt;&gt;"",IF(INDEX(tblBilling[Last Payment Date],$N141)="","",INDEX(tblBilling[Last Payment Date],$N141)),"")</f>
        <v/>
      </c>
      <c r="L141" s="53">
        <f>IF($N141&lt;&gt;"",INDEX(tblBilling[Collector Name],$N141),"")</f>
        <v/>
      </c>
      <c r="N141">
        <f>IF(N140="","",IFERROR(N140+MATCH(1,INDEX(tblBilling[Print Match],N140+1):INDEX(tblBilling[Print Match],ROWS(tblBilling[Print Match])),0),""))</f>
        <v/>
      </c>
      <c r="O141">
        <f>ROW()-9-MIN(PC_Count,500)</f>
        <v/>
      </c>
    </row>
    <row r="142" ht="20" customHeight="1">
      <c r="A142" s="52">
        <f>IF($N142="","",ROW()-9)</f>
        <v/>
      </c>
      <c r="B142" s="53">
        <f>IF($N142&lt;&gt;"",INDEX(tblBilling[Customer ID],$N142),"")</f>
        <v/>
      </c>
      <c r="C142" s="53">
        <f>IF($N142&lt;&gt;"",INDEX(tblBilling[Customer Name],$N142),CHOOSE(MIN(MAX($O142,0),7)+1,"","TOTAL","","Total Customers: "&amp;PC_Count,"Total Recovered: "&amp;CFG_CurrencySymbol&amp;" "&amp;TEXT(PC_TotalPaid,"#,##0"),"","Collector Signature: ____________",""))</f>
        <v/>
      </c>
      <c r="D142" s="53">
        <f>IF($N142&lt;&gt;"",INDEX(tblBilling[Full Address],$N142),CHOOSE(MIN(MAX($O142,0),7)+1,"","","","Total Billing: "&amp;CFG_CurrencySymbol&amp;" "&amp;TEXT(PC_TotalFee,"#,##0"),"Total Pending: "&amp;CFG_CurrencySymbol&amp;" "&amp;TEXT(PC_TotalBalance,"#,##0"),"","Office Verification: ____________",""))</f>
        <v/>
      </c>
      <c r="E142" s="53">
        <f>IF($N142&lt;&gt;"",INDEX(tblBilling[VLAN ID],$N142),"")</f>
        <v/>
      </c>
      <c r="F142" s="52">
        <f>IF($N142&lt;&gt;"",INDEX(tblBilling[Due Date],$N142),"")</f>
        <v/>
      </c>
      <c r="G142" s="54">
        <f>IF($N142&lt;&gt;"",INDEX(tblBilling[Monthly Fee],$N142),IF($O142=1,PC_TotalFee,""))</f>
        <v/>
      </c>
      <c r="H142" s="54">
        <f>IF($N142&lt;&gt;"",INDEX(tblBilling[Amount Paid],$N142),IF($O142=1,PC_TotalPaid,""))</f>
        <v/>
      </c>
      <c r="I142" s="54">
        <f>IF($N142&lt;&gt;"",INDEX(tblBilling[Balance],$N142),IF($O142=1,PC_TotalBalance,""))</f>
        <v/>
      </c>
      <c r="J142" s="53">
        <f>IF($N142&lt;&gt;"",INDEX(tblBilling[Payment Status],$N142),"")</f>
        <v/>
      </c>
      <c r="K142" s="55">
        <f>IF($N142&lt;&gt;"",IF(INDEX(tblBilling[Last Payment Date],$N142)="","",INDEX(tblBilling[Last Payment Date],$N142)),"")</f>
        <v/>
      </c>
      <c r="L142" s="53">
        <f>IF($N142&lt;&gt;"",INDEX(tblBilling[Collector Name],$N142),"")</f>
        <v/>
      </c>
      <c r="N142">
        <f>IF(N141="","",IFERROR(N141+MATCH(1,INDEX(tblBilling[Print Match],N141+1):INDEX(tblBilling[Print Match],ROWS(tblBilling[Print Match])),0),""))</f>
        <v/>
      </c>
      <c r="O142">
        <f>ROW()-9-MIN(PC_Count,500)</f>
        <v/>
      </c>
    </row>
    <row r="143" ht="20" customHeight="1">
      <c r="A143" s="52">
        <f>IF($N143="","",ROW()-9)</f>
        <v/>
      </c>
      <c r="B143" s="53">
        <f>IF($N143&lt;&gt;"",INDEX(tblBilling[Customer ID],$N143),"")</f>
        <v/>
      </c>
      <c r="C143" s="53">
        <f>IF($N143&lt;&gt;"",INDEX(tblBilling[Customer Name],$N143),CHOOSE(MIN(MAX($O143,0),7)+1,"","TOTAL","","Total Customers: "&amp;PC_Count,"Total Recovered: "&amp;CFG_CurrencySymbol&amp;" "&amp;TEXT(PC_TotalPaid,"#,##0"),"","Collector Signature: ____________",""))</f>
        <v/>
      </c>
      <c r="D143" s="53">
        <f>IF($N143&lt;&gt;"",INDEX(tblBilling[Full Address],$N143),CHOOSE(MIN(MAX($O143,0),7)+1,"","","","Total Billing: "&amp;CFG_CurrencySymbol&amp;" "&amp;TEXT(PC_TotalFee,"#,##0"),"Total Pending: "&amp;CFG_CurrencySymbol&amp;" "&amp;TEXT(PC_TotalBalance,"#,##0"),"","Office Verification: ____________",""))</f>
        <v/>
      </c>
      <c r="E143" s="53">
        <f>IF($N143&lt;&gt;"",INDEX(tblBilling[VLAN ID],$N143),"")</f>
        <v/>
      </c>
      <c r="F143" s="52">
        <f>IF($N143&lt;&gt;"",INDEX(tblBilling[Due Date],$N143),"")</f>
        <v/>
      </c>
      <c r="G143" s="54">
        <f>IF($N143&lt;&gt;"",INDEX(tblBilling[Monthly Fee],$N143),IF($O143=1,PC_TotalFee,""))</f>
        <v/>
      </c>
      <c r="H143" s="54">
        <f>IF($N143&lt;&gt;"",INDEX(tblBilling[Amount Paid],$N143),IF($O143=1,PC_TotalPaid,""))</f>
        <v/>
      </c>
      <c r="I143" s="54">
        <f>IF($N143&lt;&gt;"",INDEX(tblBilling[Balance],$N143),IF($O143=1,PC_TotalBalance,""))</f>
        <v/>
      </c>
      <c r="J143" s="53">
        <f>IF($N143&lt;&gt;"",INDEX(tblBilling[Payment Status],$N143),"")</f>
        <v/>
      </c>
      <c r="K143" s="55">
        <f>IF($N143&lt;&gt;"",IF(INDEX(tblBilling[Last Payment Date],$N143)="","",INDEX(tblBilling[Last Payment Date],$N143)),"")</f>
        <v/>
      </c>
      <c r="L143" s="53">
        <f>IF($N143&lt;&gt;"",INDEX(tblBilling[Collector Name],$N143),"")</f>
        <v/>
      </c>
      <c r="N143">
        <f>IF(N142="","",IFERROR(N142+MATCH(1,INDEX(tblBilling[Print Match],N142+1):INDEX(tblBilling[Print Match],ROWS(tblBilling[Print Match])),0),""))</f>
        <v/>
      </c>
      <c r="O143">
        <f>ROW()-9-MIN(PC_Count,500)</f>
        <v/>
      </c>
    </row>
    <row r="144" ht="20" customHeight="1">
      <c r="A144" s="52">
        <f>IF($N144="","",ROW()-9)</f>
        <v/>
      </c>
      <c r="B144" s="53">
        <f>IF($N144&lt;&gt;"",INDEX(tblBilling[Customer ID],$N144),"")</f>
        <v/>
      </c>
      <c r="C144" s="53">
        <f>IF($N144&lt;&gt;"",INDEX(tblBilling[Customer Name],$N144),CHOOSE(MIN(MAX($O144,0),7)+1,"","TOTAL","","Total Customers: "&amp;PC_Count,"Total Recovered: "&amp;CFG_CurrencySymbol&amp;" "&amp;TEXT(PC_TotalPaid,"#,##0"),"","Collector Signature: ____________",""))</f>
        <v/>
      </c>
      <c r="D144" s="53">
        <f>IF($N144&lt;&gt;"",INDEX(tblBilling[Full Address],$N144),CHOOSE(MIN(MAX($O144,0),7)+1,"","","","Total Billing: "&amp;CFG_CurrencySymbol&amp;" "&amp;TEXT(PC_TotalFee,"#,##0"),"Total Pending: "&amp;CFG_CurrencySymbol&amp;" "&amp;TEXT(PC_TotalBalance,"#,##0"),"","Office Verification: ____________",""))</f>
        <v/>
      </c>
      <c r="E144" s="53">
        <f>IF($N144&lt;&gt;"",INDEX(tblBilling[VLAN ID],$N144),"")</f>
        <v/>
      </c>
      <c r="F144" s="52">
        <f>IF($N144&lt;&gt;"",INDEX(tblBilling[Due Date],$N144),"")</f>
        <v/>
      </c>
      <c r="G144" s="54">
        <f>IF($N144&lt;&gt;"",INDEX(tblBilling[Monthly Fee],$N144),IF($O144=1,PC_TotalFee,""))</f>
        <v/>
      </c>
      <c r="H144" s="54">
        <f>IF($N144&lt;&gt;"",INDEX(tblBilling[Amount Paid],$N144),IF($O144=1,PC_TotalPaid,""))</f>
        <v/>
      </c>
      <c r="I144" s="54">
        <f>IF($N144&lt;&gt;"",INDEX(tblBilling[Balance],$N144),IF($O144=1,PC_TotalBalance,""))</f>
        <v/>
      </c>
      <c r="J144" s="53">
        <f>IF($N144&lt;&gt;"",INDEX(tblBilling[Payment Status],$N144),"")</f>
        <v/>
      </c>
      <c r="K144" s="55">
        <f>IF($N144&lt;&gt;"",IF(INDEX(tblBilling[Last Payment Date],$N144)="","",INDEX(tblBilling[Last Payment Date],$N144)),"")</f>
        <v/>
      </c>
      <c r="L144" s="53">
        <f>IF($N144&lt;&gt;"",INDEX(tblBilling[Collector Name],$N144),"")</f>
        <v/>
      </c>
      <c r="N144">
        <f>IF(N143="","",IFERROR(N143+MATCH(1,INDEX(tblBilling[Print Match],N143+1):INDEX(tblBilling[Print Match],ROWS(tblBilling[Print Match])),0),""))</f>
        <v/>
      </c>
      <c r="O144">
        <f>ROW()-9-MIN(PC_Count,500)</f>
        <v/>
      </c>
    </row>
    <row r="145" ht="20" customHeight="1">
      <c r="A145" s="52">
        <f>IF($N145="","",ROW()-9)</f>
        <v/>
      </c>
      <c r="B145" s="53">
        <f>IF($N145&lt;&gt;"",INDEX(tblBilling[Customer ID],$N145),"")</f>
        <v/>
      </c>
      <c r="C145" s="53">
        <f>IF($N145&lt;&gt;"",INDEX(tblBilling[Customer Name],$N145),CHOOSE(MIN(MAX($O145,0),7)+1,"","TOTAL","","Total Customers: "&amp;PC_Count,"Total Recovered: "&amp;CFG_CurrencySymbol&amp;" "&amp;TEXT(PC_TotalPaid,"#,##0"),"","Collector Signature: ____________",""))</f>
        <v/>
      </c>
      <c r="D145" s="53">
        <f>IF($N145&lt;&gt;"",INDEX(tblBilling[Full Address],$N145),CHOOSE(MIN(MAX($O145,0),7)+1,"","","","Total Billing: "&amp;CFG_CurrencySymbol&amp;" "&amp;TEXT(PC_TotalFee,"#,##0"),"Total Pending: "&amp;CFG_CurrencySymbol&amp;" "&amp;TEXT(PC_TotalBalance,"#,##0"),"","Office Verification: ____________",""))</f>
        <v/>
      </c>
      <c r="E145" s="53">
        <f>IF($N145&lt;&gt;"",INDEX(tblBilling[VLAN ID],$N145),"")</f>
        <v/>
      </c>
      <c r="F145" s="52">
        <f>IF($N145&lt;&gt;"",INDEX(tblBilling[Due Date],$N145),"")</f>
        <v/>
      </c>
      <c r="G145" s="54">
        <f>IF($N145&lt;&gt;"",INDEX(tblBilling[Monthly Fee],$N145),IF($O145=1,PC_TotalFee,""))</f>
        <v/>
      </c>
      <c r="H145" s="54">
        <f>IF($N145&lt;&gt;"",INDEX(tblBilling[Amount Paid],$N145),IF($O145=1,PC_TotalPaid,""))</f>
        <v/>
      </c>
      <c r="I145" s="54">
        <f>IF($N145&lt;&gt;"",INDEX(tblBilling[Balance],$N145),IF($O145=1,PC_TotalBalance,""))</f>
        <v/>
      </c>
      <c r="J145" s="53">
        <f>IF($N145&lt;&gt;"",INDEX(tblBilling[Payment Status],$N145),"")</f>
        <v/>
      </c>
      <c r="K145" s="55">
        <f>IF($N145&lt;&gt;"",IF(INDEX(tblBilling[Last Payment Date],$N145)="","",INDEX(tblBilling[Last Payment Date],$N145)),"")</f>
        <v/>
      </c>
      <c r="L145" s="53">
        <f>IF($N145&lt;&gt;"",INDEX(tblBilling[Collector Name],$N145),"")</f>
        <v/>
      </c>
      <c r="N145">
        <f>IF(N144="","",IFERROR(N144+MATCH(1,INDEX(tblBilling[Print Match],N144+1):INDEX(tblBilling[Print Match],ROWS(tblBilling[Print Match])),0),""))</f>
        <v/>
      </c>
      <c r="O145">
        <f>ROW()-9-MIN(PC_Count,500)</f>
        <v/>
      </c>
    </row>
    <row r="146" ht="20" customHeight="1">
      <c r="A146" s="52">
        <f>IF($N146="","",ROW()-9)</f>
        <v/>
      </c>
      <c r="B146" s="53">
        <f>IF($N146&lt;&gt;"",INDEX(tblBilling[Customer ID],$N146),"")</f>
        <v/>
      </c>
      <c r="C146" s="53">
        <f>IF($N146&lt;&gt;"",INDEX(tblBilling[Customer Name],$N146),CHOOSE(MIN(MAX($O146,0),7)+1,"","TOTAL","","Total Customers: "&amp;PC_Count,"Total Recovered: "&amp;CFG_CurrencySymbol&amp;" "&amp;TEXT(PC_TotalPaid,"#,##0"),"","Collector Signature: ____________",""))</f>
        <v/>
      </c>
      <c r="D146" s="53">
        <f>IF($N146&lt;&gt;"",INDEX(tblBilling[Full Address],$N146),CHOOSE(MIN(MAX($O146,0),7)+1,"","","","Total Billing: "&amp;CFG_CurrencySymbol&amp;" "&amp;TEXT(PC_TotalFee,"#,##0"),"Total Pending: "&amp;CFG_CurrencySymbol&amp;" "&amp;TEXT(PC_TotalBalance,"#,##0"),"","Office Verification: ____________",""))</f>
        <v/>
      </c>
      <c r="E146" s="53">
        <f>IF($N146&lt;&gt;"",INDEX(tblBilling[VLAN ID],$N146),"")</f>
        <v/>
      </c>
      <c r="F146" s="52">
        <f>IF($N146&lt;&gt;"",INDEX(tblBilling[Due Date],$N146),"")</f>
        <v/>
      </c>
      <c r="G146" s="54">
        <f>IF($N146&lt;&gt;"",INDEX(tblBilling[Monthly Fee],$N146),IF($O146=1,PC_TotalFee,""))</f>
        <v/>
      </c>
      <c r="H146" s="54">
        <f>IF($N146&lt;&gt;"",INDEX(tblBilling[Amount Paid],$N146),IF($O146=1,PC_TotalPaid,""))</f>
        <v/>
      </c>
      <c r="I146" s="54">
        <f>IF($N146&lt;&gt;"",INDEX(tblBilling[Balance],$N146),IF($O146=1,PC_TotalBalance,""))</f>
        <v/>
      </c>
      <c r="J146" s="53">
        <f>IF($N146&lt;&gt;"",INDEX(tblBilling[Payment Status],$N146),"")</f>
        <v/>
      </c>
      <c r="K146" s="55">
        <f>IF($N146&lt;&gt;"",IF(INDEX(tblBilling[Last Payment Date],$N146)="","",INDEX(tblBilling[Last Payment Date],$N146)),"")</f>
        <v/>
      </c>
      <c r="L146" s="53">
        <f>IF($N146&lt;&gt;"",INDEX(tblBilling[Collector Name],$N146),"")</f>
        <v/>
      </c>
      <c r="N146">
        <f>IF(N145="","",IFERROR(N145+MATCH(1,INDEX(tblBilling[Print Match],N145+1):INDEX(tblBilling[Print Match],ROWS(tblBilling[Print Match])),0),""))</f>
        <v/>
      </c>
      <c r="O146">
        <f>ROW()-9-MIN(PC_Count,500)</f>
        <v/>
      </c>
    </row>
    <row r="147" ht="20" customHeight="1">
      <c r="A147" s="52">
        <f>IF($N147="","",ROW()-9)</f>
        <v/>
      </c>
      <c r="B147" s="53">
        <f>IF($N147&lt;&gt;"",INDEX(tblBilling[Customer ID],$N147),"")</f>
        <v/>
      </c>
      <c r="C147" s="53">
        <f>IF($N147&lt;&gt;"",INDEX(tblBilling[Customer Name],$N147),CHOOSE(MIN(MAX($O147,0),7)+1,"","TOTAL","","Total Customers: "&amp;PC_Count,"Total Recovered: "&amp;CFG_CurrencySymbol&amp;" "&amp;TEXT(PC_TotalPaid,"#,##0"),"","Collector Signature: ____________",""))</f>
        <v/>
      </c>
      <c r="D147" s="53">
        <f>IF($N147&lt;&gt;"",INDEX(tblBilling[Full Address],$N147),CHOOSE(MIN(MAX($O147,0),7)+1,"","","","Total Billing: "&amp;CFG_CurrencySymbol&amp;" "&amp;TEXT(PC_TotalFee,"#,##0"),"Total Pending: "&amp;CFG_CurrencySymbol&amp;" "&amp;TEXT(PC_TotalBalance,"#,##0"),"","Office Verification: ____________",""))</f>
        <v/>
      </c>
      <c r="E147" s="53">
        <f>IF($N147&lt;&gt;"",INDEX(tblBilling[VLAN ID],$N147),"")</f>
        <v/>
      </c>
      <c r="F147" s="52">
        <f>IF($N147&lt;&gt;"",INDEX(tblBilling[Due Date],$N147),"")</f>
        <v/>
      </c>
      <c r="G147" s="54">
        <f>IF($N147&lt;&gt;"",INDEX(tblBilling[Monthly Fee],$N147),IF($O147=1,PC_TotalFee,""))</f>
        <v/>
      </c>
      <c r="H147" s="54">
        <f>IF($N147&lt;&gt;"",INDEX(tblBilling[Amount Paid],$N147),IF($O147=1,PC_TotalPaid,""))</f>
        <v/>
      </c>
      <c r="I147" s="54">
        <f>IF($N147&lt;&gt;"",INDEX(tblBilling[Balance],$N147),IF($O147=1,PC_TotalBalance,""))</f>
        <v/>
      </c>
      <c r="J147" s="53">
        <f>IF($N147&lt;&gt;"",INDEX(tblBilling[Payment Status],$N147),"")</f>
        <v/>
      </c>
      <c r="K147" s="55">
        <f>IF($N147&lt;&gt;"",IF(INDEX(tblBilling[Last Payment Date],$N147)="","",INDEX(tblBilling[Last Payment Date],$N147)),"")</f>
        <v/>
      </c>
      <c r="L147" s="53">
        <f>IF($N147&lt;&gt;"",INDEX(tblBilling[Collector Name],$N147),"")</f>
        <v/>
      </c>
      <c r="N147">
        <f>IF(N146="","",IFERROR(N146+MATCH(1,INDEX(tblBilling[Print Match],N146+1):INDEX(tblBilling[Print Match],ROWS(tblBilling[Print Match])),0),""))</f>
        <v/>
      </c>
      <c r="O147">
        <f>ROW()-9-MIN(PC_Count,500)</f>
        <v/>
      </c>
    </row>
    <row r="148" ht="20" customHeight="1">
      <c r="A148" s="52">
        <f>IF($N148="","",ROW()-9)</f>
        <v/>
      </c>
      <c r="B148" s="53">
        <f>IF($N148&lt;&gt;"",INDEX(tblBilling[Customer ID],$N148),"")</f>
        <v/>
      </c>
      <c r="C148" s="53">
        <f>IF($N148&lt;&gt;"",INDEX(tblBilling[Customer Name],$N148),CHOOSE(MIN(MAX($O148,0),7)+1,"","TOTAL","","Total Customers: "&amp;PC_Count,"Total Recovered: "&amp;CFG_CurrencySymbol&amp;" "&amp;TEXT(PC_TotalPaid,"#,##0"),"","Collector Signature: ____________",""))</f>
        <v/>
      </c>
      <c r="D148" s="53">
        <f>IF($N148&lt;&gt;"",INDEX(tblBilling[Full Address],$N148),CHOOSE(MIN(MAX($O148,0),7)+1,"","","","Total Billing: "&amp;CFG_CurrencySymbol&amp;" "&amp;TEXT(PC_TotalFee,"#,##0"),"Total Pending: "&amp;CFG_CurrencySymbol&amp;" "&amp;TEXT(PC_TotalBalance,"#,##0"),"","Office Verification: ____________",""))</f>
        <v/>
      </c>
      <c r="E148" s="53">
        <f>IF($N148&lt;&gt;"",INDEX(tblBilling[VLAN ID],$N148),"")</f>
        <v/>
      </c>
      <c r="F148" s="52">
        <f>IF($N148&lt;&gt;"",INDEX(tblBilling[Due Date],$N148),"")</f>
        <v/>
      </c>
      <c r="G148" s="54">
        <f>IF($N148&lt;&gt;"",INDEX(tblBilling[Monthly Fee],$N148),IF($O148=1,PC_TotalFee,""))</f>
        <v/>
      </c>
      <c r="H148" s="54">
        <f>IF($N148&lt;&gt;"",INDEX(tblBilling[Amount Paid],$N148),IF($O148=1,PC_TotalPaid,""))</f>
        <v/>
      </c>
      <c r="I148" s="54">
        <f>IF($N148&lt;&gt;"",INDEX(tblBilling[Balance],$N148),IF($O148=1,PC_TotalBalance,""))</f>
        <v/>
      </c>
      <c r="J148" s="53">
        <f>IF($N148&lt;&gt;"",INDEX(tblBilling[Payment Status],$N148),"")</f>
        <v/>
      </c>
      <c r="K148" s="55">
        <f>IF($N148&lt;&gt;"",IF(INDEX(tblBilling[Last Payment Date],$N148)="","",INDEX(tblBilling[Last Payment Date],$N148)),"")</f>
        <v/>
      </c>
      <c r="L148" s="53">
        <f>IF($N148&lt;&gt;"",INDEX(tblBilling[Collector Name],$N148),"")</f>
        <v/>
      </c>
      <c r="N148">
        <f>IF(N147="","",IFERROR(N147+MATCH(1,INDEX(tblBilling[Print Match],N147+1):INDEX(tblBilling[Print Match],ROWS(tblBilling[Print Match])),0),""))</f>
        <v/>
      </c>
      <c r="O148">
        <f>ROW()-9-MIN(PC_Count,500)</f>
        <v/>
      </c>
    </row>
    <row r="149" ht="20" customHeight="1">
      <c r="A149" s="52">
        <f>IF($N149="","",ROW()-9)</f>
        <v/>
      </c>
      <c r="B149" s="53">
        <f>IF($N149&lt;&gt;"",INDEX(tblBilling[Customer ID],$N149),"")</f>
        <v/>
      </c>
      <c r="C149" s="53">
        <f>IF($N149&lt;&gt;"",INDEX(tblBilling[Customer Name],$N149),CHOOSE(MIN(MAX($O149,0),7)+1,"","TOTAL","","Total Customers: "&amp;PC_Count,"Total Recovered: "&amp;CFG_CurrencySymbol&amp;" "&amp;TEXT(PC_TotalPaid,"#,##0"),"","Collector Signature: ____________",""))</f>
        <v/>
      </c>
      <c r="D149" s="53">
        <f>IF($N149&lt;&gt;"",INDEX(tblBilling[Full Address],$N149),CHOOSE(MIN(MAX($O149,0),7)+1,"","","","Total Billing: "&amp;CFG_CurrencySymbol&amp;" "&amp;TEXT(PC_TotalFee,"#,##0"),"Total Pending: "&amp;CFG_CurrencySymbol&amp;" "&amp;TEXT(PC_TotalBalance,"#,##0"),"","Office Verification: ____________",""))</f>
        <v/>
      </c>
      <c r="E149" s="53">
        <f>IF($N149&lt;&gt;"",INDEX(tblBilling[VLAN ID],$N149),"")</f>
        <v/>
      </c>
      <c r="F149" s="52">
        <f>IF($N149&lt;&gt;"",INDEX(tblBilling[Due Date],$N149),"")</f>
        <v/>
      </c>
      <c r="G149" s="54">
        <f>IF($N149&lt;&gt;"",INDEX(tblBilling[Monthly Fee],$N149),IF($O149=1,PC_TotalFee,""))</f>
        <v/>
      </c>
      <c r="H149" s="54">
        <f>IF($N149&lt;&gt;"",INDEX(tblBilling[Amount Paid],$N149),IF($O149=1,PC_TotalPaid,""))</f>
        <v/>
      </c>
      <c r="I149" s="54">
        <f>IF($N149&lt;&gt;"",INDEX(tblBilling[Balance],$N149),IF($O149=1,PC_TotalBalance,""))</f>
        <v/>
      </c>
      <c r="J149" s="53">
        <f>IF($N149&lt;&gt;"",INDEX(tblBilling[Payment Status],$N149),"")</f>
        <v/>
      </c>
      <c r="K149" s="55">
        <f>IF($N149&lt;&gt;"",IF(INDEX(tblBilling[Last Payment Date],$N149)="","",INDEX(tblBilling[Last Payment Date],$N149)),"")</f>
        <v/>
      </c>
      <c r="L149" s="53">
        <f>IF($N149&lt;&gt;"",INDEX(tblBilling[Collector Name],$N149),"")</f>
        <v/>
      </c>
      <c r="N149">
        <f>IF(N148="","",IFERROR(N148+MATCH(1,INDEX(tblBilling[Print Match],N148+1):INDEX(tblBilling[Print Match],ROWS(tblBilling[Print Match])),0),""))</f>
        <v/>
      </c>
      <c r="O149">
        <f>ROW()-9-MIN(PC_Count,500)</f>
        <v/>
      </c>
    </row>
    <row r="150" ht="20" customHeight="1">
      <c r="A150" s="52">
        <f>IF($N150="","",ROW()-9)</f>
        <v/>
      </c>
      <c r="B150" s="53">
        <f>IF($N150&lt;&gt;"",INDEX(tblBilling[Customer ID],$N150),"")</f>
        <v/>
      </c>
      <c r="C150" s="53">
        <f>IF($N150&lt;&gt;"",INDEX(tblBilling[Customer Name],$N150),CHOOSE(MIN(MAX($O150,0),7)+1,"","TOTAL","","Total Customers: "&amp;PC_Count,"Total Recovered: "&amp;CFG_CurrencySymbol&amp;" "&amp;TEXT(PC_TotalPaid,"#,##0"),"","Collector Signature: ____________",""))</f>
        <v/>
      </c>
      <c r="D150" s="53">
        <f>IF($N150&lt;&gt;"",INDEX(tblBilling[Full Address],$N150),CHOOSE(MIN(MAX($O150,0),7)+1,"","","","Total Billing: "&amp;CFG_CurrencySymbol&amp;" "&amp;TEXT(PC_TotalFee,"#,##0"),"Total Pending: "&amp;CFG_CurrencySymbol&amp;" "&amp;TEXT(PC_TotalBalance,"#,##0"),"","Office Verification: ____________",""))</f>
        <v/>
      </c>
      <c r="E150" s="53">
        <f>IF($N150&lt;&gt;"",INDEX(tblBilling[VLAN ID],$N150),"")</f>
        <v/>
      </c>
      <c r="F150" s="52">
        <f>IF($N150&lt;&gt;"",INDEX(tblBilling[Due Date],$N150),"")</f>
        <v/>
      </c>
      <c r="G150" s="54">
        <f>IF($N150&lt;&gt;"",INDEX(tblBilling[Monthly Fee],$N150),IF($O150=1,PC_TotalFee,""))</f>
        <v/>
      </c>
      <c r="H150" s="54">
        <f>IF($N150&lt;&gt;"",INDEX(tblBilling[Amount Paid],$N150),IF($O150=1,PC_TotalPaid,""))</f>
        <v/>
      </c>
      <c r="I150" s="54">
        <f>IF($N150&lt;&gt;"",INDEX(tblBilling[Balance],$N150),IF($O150=1,PC_TotalBalance,""))</f>
        <v/>
      </c>
      <c r="J150" s="53">
        <f>IF($N150&lt;&gt;"",INDEX(tblBilling[Payment Status],$N150),"")</f>
        <v/>
      </c>
      <c r="K150" s="55">
        <f>IF($N150&lt;&gt;"",IF(INDEX(tblBilling[Last Payment Date],$N150)="","",INDEX(tblBilling[Last Payment Date],$N150)),"")</f>
        <v/>
      </c>
      <c r="L150" s="53">
        <f>IF($N150&lt;&gt;"",INDEX(tblBilling[Collector Name],$N150),"")</f>
        <v/>
      </c>
      <c r="N150">
        <f>IF(N149="","",IFERROR(N149+MATCH(1,INDEX(tblBilling[Print Match],N149+1):INDEX(tblBilling[Print Match],ROWS(tblBilling[Print Match])),0),""))</f>
        <v/>
      </c>
      <c r="O150">
        <f>ROW()-9-MIN(PC_Count,500)</f>
        <v/>
      </c>
    </row>
    <row r="151" ht="20" customHeight="1">
      <c r="A151" s="52">
        <f>IF($N151="","",ROW()-9)</f>
        <v/>
      </c>
      <c r="B151" s="53">
        <f>IF($N151&lt;&gt;"",INDEX(tblBilling[Customer ID],$N151),"")</f>
        <v/>
      </c>
      <c r="C151" s="53">
        <f>IF($N151&lt;&gt;"",INDEX(tblBilling[Customer Name],$N151),CHOOSE(MIN(MAX($O151,0),7)+1,"","TOTAL","","Total Customers: "&amp;PC_Count,"Total Recovered: "&amp;CFG_CurrencySymbol&amp;" "&amp;TEXT(PC_TotalPaid,"#,##0"),"","Collector Signature: ____________",""))</f>
        <v/>
      </c>
      <c r="D151" s="53">
        <f>IF($N151&lt;&gt;"",INDEX(tblBilling[Full Address],$N151),CHOOSE(MIN(MAX($O151,0),7)+1,"","","","Total Billing: "&amp;CFG_CurrencySymbol&amp;" "&amp;TEXT(PC_TotalFee,"#,##0"),"Total Pending: "&amp;CFG_CurrencySymbol&amp;" "&amp;TEXT(PC_TotalBalance,"#,##0"),"","Office Verification: ____________",""))</f>
        <v/>
      </c>
      <c r="E151" s="53">
        <f>IF($N151&lt;&gt;"",INDEX(tblBilling[VLAN ID],$N151),"")</f>
        <v/>
      </c>
      <c r="F151" s="52">
        <f>IF($N151&lt;&gt;"",INDEX(tblBilling[Due Date],$N151),"")</f>
        <v/>
      </c>
      <c r="G151" s="54">
        <f>IF($N151&lt;&gt;"",INDEX(tblBilling[Monthly Fee],$N151),IF($O151=1,PC_TotalFee,""))</f>
        <v/>
      </c>
      <c r="H151" s="54">
        <f>IF($N151&lt;&gt;"",INDEX(tblBilling[Amount Paid],$N151),IF($O151=1,PC_TotalPaid,""))</f>
        <v/>
      </c>
      <c r="I151" s="54">
        <f>IF($N151&lt;&gt;"",INDEX(tblBilling[Balance],$N151),IF($O151=1,PC_TotalBalance,""))</f>
        <v/>
      </c>
      <c r="J151" s="53">
        <f>IF($N151&lt;&gt;"",INDEX(tblBilling[Payment Status],$N151),"")</f>
        <v/>
      </c>
      <c r="K151" s="55">
        <f>IF($N151&lt;&gt;"",IF(INDEX(tblBilling[Last Payment Date],$N151)="","",INDEX(tblBilling[Last Payment Date],$N151)),"")</f>
        <v/>
      </c>
      <c r="L151" s="53">
        <f>IF($N151&lt;&gt;"",INDEX(tblBilling[Collector Name],$N151),"")</f>
        <v/>
      </c>
      <c r="N151">
        <f>IF(N150="","",IFERROR(N150+MATCH(1,INDEX(tblBilling[Print Match],N150+1):INDEX(tblBilling[Print Match],ROWS(tblBilling[Print Match])),0),""))</f>
        <v/>
      </c>
      <c r="O151">
        <f>ROW()-9-MIN(PC_Count,500)</f>
        <v/>
      </c>
    </row>
    <row r="152" ht="20" customHeight="1">
      <c r="A152" s="52">
        <f>IF($N152="","",ROW()-9)</f>
        <v/>
      </c>
      <c r="B152" s="53">
        <f>IF($N152&lt;&gt;"",INDEX(tblBilling[Customer ID],$N152),"")</f>
        <v/>
      </c>
      <c r="C152" s="53">
        <f>IF($N152&lt;&gt;"",INDEX(tblBilling[Customer Name],$N152),CHOOSE(MIN(MAX($O152,0),7)+1,"","TOTAL","","Total Customers: "&amp;PC_Count,"Total Recovered: "&amp;CFG_CurrencySymbol&amp;" "&amp;TEXT(PC_TotalPaid,"#,##0"),"","Collector Signature: ____________",""))</f>
        <v/>
      </c>
      <c r="D152" s="53">
        <f>IF($N152&lt;&gt;"",INDEX(tblBilling[Full Address],$N152),CHOOSE(MIN(MAX($O152,0),7)+1,"","","","Total Billing: "&amp;CFG_CurrencySymbol&amp;" "&amp;TEXT(PC_TotalFee,"#,##0"),"Total Pending: "&amp;CFG_CurrencySymbol&amp;" "&amp;TEXT(PC_TotalBalance,"#,##0"),"","Office Verification: ____________",""))</f>
        <v/>
      </c>
      <c r="E152" s="53">
        <f>IF($N152&lt;&gt;"",INDEX(tblBilling[VLAN ID],$N152),"")</f>
        <v/>
      </c>
      <c r="F152" s="52">
        <f>IF($N152&lt;&gt;"",INDEX(tblBilling[Due Date],$N152),"")</f>
        <v/>
      </c>
      <c r="G152" s="54">
        <f>IF($N152&lt;&gt;"",INDEX(tblBilling[Monthly Fee],$N152),IF($O152=1,PC_TotalFee,""))</f>
        <v/>
      </c>
      <c r="H152" s="54">
        <f>IF($N152&lt;&gt;"",INDEX(tblBilling[Amount Paid],$N152),IF($O152=1,PC_TotalPaid,""))</f>
        <v/>
      </c>
      <c r="I152" s="54">
        <f>IF($N152&lt;&gt;"",INDEX(tblBilling[Balance],$N152),IF($O152=1,PC_TotalBalance,""))</f>
        <v/>
      </c>
      <c r="J152" s="53">
        <f>IF($N152&lt;&gt;"",INDEX(tblBilling[Payment Status],$N152),"")</f>
        <v/>
      </c>
      <c r="K152" s="55">
        <f>IF($N152&lt;&gt;"",IF(INDEX(tblBilling[Last Payment Date],$N152)="","",INDEX(tblBilling[Last Payment Date],$N152)),"")</f>
        <v/>
      </c>
      <c r="L152" s="53">
        <f>IF($N152&lt;&gt;"",INDEX(tblBilling[Collector Name],$N152),"")</f>
        <v/>
      </c>
      <c r="N152">
        <f>IF(N151="","",IFERROR(N151+MATCH(1,INDEX(tblBilling[Print Match],N151+1):INDEX(tblBilling[Print Match],ROWS(tblBilling[Print Match])),0),""))</f>
        <v/>
      </c>
      <c r="O152">
        <f>ROW()-9-MIN(PC_Count,500)</f>
        <v/>
      </c>
    </row>
    <row r="153" ht="20" customHeight="1">
      <c r="A153" s="52">
        <f>IF($N153="","",ROW()-9)</f>
        <v/>
      </c>
      <c r="B153" s="53">
        <f>IF($N153&lt;&gt;"",INDEX(tblBilling[Customer ID],$N153),"")</f>
        <v/>
      </c>
      <c r="C153" s="53">
        <f>IF($N153&lt;&gt;"",INDEX(tblBilling[Customer Name],$N153),CHOOSE(MIN(MAX($O153,0),7)+1,"","TOTAL","","Total Customers: "&amp;PC_Count,"Total Recovered: "&amp;CFG_CurrencySymbol&amp;" "&amp;TEXT(PC_TotalPaid,"#,##0"),"","Collector Signature: ____________",""))</f>
        <v/>
      </c>
      <c r="D153" s="53">
        <f>IF($N153&lt;&gt;"",INDEX(tblBilling[Full Address],$N153),CHOOSE(MIN(MAX($O153,0),7)+1,"","","","Total Billing: "&amp;CFG_CurrencySymbol&amp;" "&amp;TEXT(PC_TotalFee,"#,##0"),"Total Pending: "&amp;CFG_CurrencySymbol&amp;" "&amp;TEXT(PC_TotalBalance,"#,##0"),"","Office Verification: ____________",""))</f>
        <v/>
      </c>
      <c r="E153" s="53">
        <f>IF($N153&lt;&gt;"",INDEX(tblBilling[VLAN ID],$N153),"")</f>
        <v/>
      </c>
      <c r="F153" s="52">
        <f>IF($N153&lt;&gt;"",INDEX(tblBilling[Due Date],$N153),"")</f>
        <v/>
      </c>
      <c r="G153" s="54">
        <f>IF($N153&lt;&gt;"",INDEX(tblBilling[Monthly Fee],$N153),IF($O153=1,PC_TotalFee,""))</f>
        <v/>
      </c>
      <c r="H153" s="54">
        <f>IF($N153&lt;&gt;"",INDEX(tblBilling[Amount Paid],$N153),IF($O153=1,PC_TotalPaid,""))</f>
        <v/>
      </c>
      <c r="I153" s="54">
        <f>IF($N153&lt;&gt;"",INDEX(tblBilling[Balance],$N153),IF($O153=1,PC_TotalBalance,""))</f>
        <v/>
      </c>
      <c r="J153" s="53">
        <f>IF($N153&lt;&gt;"",INDEX(tblBilling[Payment Status],$N153),"")</f>
        <v/>
      </c>
      <c r="K153" s="55">
        <f>IF($N153&lt;&gt;"",IF(INDEX(tblBilling[Last Payment Date],$N153)="","",INDEX(tblBilling[Last Payment Date],$N153)),"")</f>
        <v/>
      </c>
      <c r="L153" s="53">
        <f>IF($N153&lt;&gt;"",INDEX(tblBilling[Collector Name],$N153),"")</f>
        <v/>
      </c>
      <c r="N153">
        <f>IF(N152="","",IFERROR(N152+MATCH(1,INDEX(tblBilling[Print Match],N152+1):INDEX(tblBilling[Print Match],ROWS(tblBilling[Print Match])),0),""))</f>
        <v/>
      </c>
      <c r="O153">
        <f>ROW()-9-MIN(PC_Count,500)</f>
        <v/>
      </c>
    </row>
    <row r="154" ht="20" customHeight="1">
      <c r="A154" s="52">
        <f>IF($N154="","",ROW()-9)</f>
        <v/>
      </c>
      <c r="B154" s="53">
        <f>IF($N154&lt;&gt;"",INDEX(tblBilling[Customer ID],$N154),"")</f>
        <v/>
      </c>
      <c r="C154" s="53">
        <f>IF($N154&lt;&gt;"",INDEX(tblBilling[Customer Name],$N154),CHOOSE(MIN(MAX($O154,0),7)+1,"","TOTAL","","Total Customers: "&amp;PC_Count,"Total Recovered: "&amp;CFG_CurrencySymbol&amp;" "&amp;TEXT(PC_TotalPaid,"#,##0"),"","Collector Signature: ____________",""))</f>
        <v/>
      </c>
      <c r="D154" s="53">
        <f>IF($N154&lt;&gt;"",INDEX(tblBilling[Full Address],$N154),CHOOSE(MIN(MAX($O154,0),7)+1,"","","","Total Billing: "&amp;CFG_CurrencySymbol&amp;" "&amp;TEXT(PC_TotalFee,"#,##0"),"Total Pending: "&amp;CFG_CurrencySymbol&amp;" "&amp;TEXT(PC_TotalBalance,"#,##0"),"","Office Verification: ____________",""))</f>
        <v/>
      </c>
      <c r="E154" s="53">
        <f>IF($N154&lt;&gt;"",INDEX(tblBilling[VLAN ID],$N154),"")</f>
        <v/>
      </c>
      <c r="F154" s="52">
        <f>IF($N154&lt;&gt;"",INDEX(tblBilling[Due Date],$N154),"")</f>
        <v/>
      </c>
      <c r="G154" s="54">
        <f>IF($N154&lt;&gt;"",INDEX(tblBilling[Monthly Fee],$N154),IF($O154=1,PC_TotalFee,""))</f>
        <v/>
      </c>
      <c r="H154" s="54">
        <f>IF($N154&lt;&gt;"",INDEX(tblBilling[Amount Paid],$N154),IF($O154=1,PC_TotalPaid,""))</f>
        <v/>
      </c>
      <c r="I154" s="54">
        <f>IF($N154&lt;&gt;"",INDEX(tblBilling[Balance],$N154),IF($O154=1,PC_TotalBalance,""))</f>
        <v/>
      </c>
      <c r="J154" s="53">
        <f>IF($N154&lt;&gt;"",INDEX(tblBilling[Payment Status],$N154),"")</f>
        <v/>
      </c>
      <c r="K154" s="55">
        <f>IF($N154&lt;&gt;"",IF(INDEX(tblBilling[Last Payment Date],$N154)="","",INDEX(tblBilling[Last Payment Date],$N154)),"")</f>
        <v/>
      </c>
      <c r="L154" s="53">
        <f>IF($N154&lt;&gt;"",INDEX(tblBilling[Collector Name],$N154),"")</f>
        <v/>
      </c>
      <c r="N154">
        <f>IF(N153="","",IFERROR(N153+MATCH(1,INDEX(tblBilling[Print Match],N153+1):INDEX(tblBilling[Print Match],ROWS(tblBilling[Print Match])),0),""))</f>
        <v/>
      </c>
      <c r="O154">
        <f>ROW()-9-MIN(PC_Count,500)</f>
        <v/>
      </c>
    </row>
    <row r="155" ht="20" customHeight="1">
      <c r="A155" s="52">
        <f>IF($N155="","",ROW()-9)</f>
        <v/>
      </c>
      <c r="B155" s="53">
        <f>IF($N155&lt;&gt;"",INDEX(tblBilling[Customer ID],$N155),"")</f>
        <v/>
      </c>
      <c r="C155" s="53">
        <f>IF($N155&lt;&gt;"",INDEX(tblBilling[Customer Name],$N155),CHOOSE(MIN(MAX($O155,0),7)+1,"","TOTAL","","Total Customers: "&amp;PC_Count,"Total Recovered: "&amp;CFG_CurrencySymbol&amp;" "&amp;TEXT(PC_TotalPaid,"#,##0"),"","Collector Signature: ____________",""))</f>
        <v/>
      </c>
      <c r="D155" s="53">
        <f>IF($N155&lt;&gt;"",INDEX(tblBilling[Full Address],$N155),CHOOSE(MIN(MAX($O155,0),7)+1,"","","","Total Billing: "&amp;CFG_CurrencySymbol&amp;" "&amp;TEXT(PC_TotalFee,"#,##0"),"Total Pending: "&amp;CFG_CurrencySymbol&amp;" "&amp;TEXT(PC_TotalBalance,"#,##0"),"","Office Verification: ____________",""))</f>
        <v/>
      </c>
      <c r="E155" s="53">
        <f>IF($N155&lt;&gt;"",INDEX(tblBilling[VLAN ID],$N155),"")</f>
        <v/>
      </c>
      <c r="F155" s="52">
        <f>IF($N155&lt;&gt;"",INDEX(tblBilling[Due Date],$N155),"")</f>
        <v/>
      </c>
      <c r="G155" s="54">
        <f>IF($N155&lt;&gt;"",INDEX(tblBilling[Monthly Fee],$N155),IF($O155=1,PC_TotalFee,""))</f>
        <v/>
      </c>
      <c r="H155" s="54">
        <f>IF($N155&lt;&gt;"",INDEX(tblBilling[Amount Paid],$N155),IF($O155=1,PC_TotalPaid,""))</f>
        <v/>
      </c>
      <c r="I155" s="54">
        <f>IF($N155&lt;&gt;"",INDEX(tblBilling[Balance],$N155),IF($O155=1,PC_TotalBalance,""))</f>
        <v/>
      </c>
      <c r="J155" s="53">
        <f>IF($N155&lt;&gt;"",INDEX(tblBilling[Payment Status],$N155),"")</f>
        <v/>
      </c>
      <c r="K155" s="55">
        <f>IF($N155&lt;&gt;"",IF(INDEX(tblBilling[Last Payment Date],$N155)="","",INDEX(tblBilling[Last Payment Date],$N155)),"")</f>
        <v/>
      </c>
      <c r="L155" s="53">
        <f>IF($N155&lt;&gt;"",INDEX(tblBilling[Collector Name],$N155),"")</f>
        <v/>
      </c>
      <c r="N155">
        <f>IF(N154="","",IFERROR(N154+MATCH(1,INDEX(tblBilling[Print Match],N154+1):INDEX(tblBilling[Print Match],ROWS(tblBilling[Print Match])),0),""))</f>
        <v/>
      </c>
      <c r="O155">
        <f>ROW()-9-MIN(PC_Count,500)</f>
        <v/>
      </c>
    </row>
    <row r="156" ht="20" customHeight="1">
      <c r="A156" s="52">
        <f>IF($N156="","",ROW()-9)</f>
        <v/>
      </c>
      <c r="B156" s="53">
        <f>IF($N156&lt;&gt;"",INDEX(tblBilling[Customer ID],$N156),"")</f>
        <v/>
      </c>
      <c r="C156" s="53">
        <f>IF($N156&lt;&gt;"",INDEX(tblBilling[Customer Name],$N156),CHOOSE(MIN(MAX($O156,0),7)+1,"","TOTAL","","Total Customers: "&amp;PC_Count,"Total Recovered: "&amp;CFG_CurrencySymbol&amp;" "&amp;TEXT(PC_TotalPaid,"#,##0"),"","Collector Signature: ____________",""))</f>
        <v/>
      </c>
      <c r="D156" s="53">
        <f>IF($N156&lt;&gt;"",INDEX(tblBilling[Full Address],$N156),CHOOSE(MIN(MAX($O156,0),7)+1,"","","","Total Billing: "&amp;CFG_CurrencySymbol&amp;" "&amp;TEXT(PC_TotalFee,"#,##0"),"Total Pending: "&amp;CFG_CurrencySymbol&amp;" "&amp;TEXT(PC_TotalBalance,"#,##0"),"","Office Verification: ____________",""))</f>
        <v/>
      </c>
      <c r="E156" s="53">
        <f>IF($N156&lt;&gt;"",INDEX(tblBilling[VLAN ID],$N156),"")</f>
        <v/>
      </c>
      <c r="F156" s="52">
        <f>IF($N156&lt;&gt;"",INDEX(tblBilling[Due Date],$N156),"")</f>
        <v/>
      </c>
      <c r="G156" s="54">
        <f>IF($N156&lt;&gt;"",INDEX(tblBilling[Monthly Fee],$N156),IF($O156=1,PC_TotalFee,""))</f>
        <v/>
      </c>
      <c r="H156" s="54">
        <f>IF($N156&lt;&gt;"",INDEX(tblBilling[Amount Paid],$N156),IF($O156=1,PC_TotalPaid,""))</f>
        <v/>
      </c>
      <c r="I156" s="54">
        <f>IF($N156&lt;&gt;"",INDEX(tblBilling[Balance],$N156),IF($O156=1,PC_TotalBalance,""))</f>
        <v/>
      </c>
      <c r="J156" s="53">
        <f>IF($N156&lt;&gt;"",INDEX(tblBilling[Payment Status],$N156),"")</f>
        <v/>
      </c>
      <c r="K156" s="55">
        <f>IF($N156&lt;&gt;"",IF(INDEX(tblBilling[Last Payment Date],$N156)="","",INDEX(tblBilling[Last Payment Date],$N156)),"")</f>
        <v/>
      </c>
      <c r="L156" s="53">
        <f>IF($N156&lt;&gt;"",INDEX(tblBilling[Collector Name],$N156),"")</f>
        <v/>
      </c>
      <c r="N156">
        <f>IF(N155="","",IFERROR(N155+MATCH(1,INDEX(tblBilling[Print Match],N155+1):INDEX(tblBilling[Print Match],ROWS(tblBilling[Print Match])),0),""))</f>
        <v/>
      </c>
      <c r="O156">
        <f>ROW()-9-MIN(PC_Count,500)</f>
        <v/>
      </c>
    </row>
    <row r="157" ht="20" customHeight="1">
      <c r="A157" s="52">
        <f>IF($N157="","",ROW()-9)</f>
        <v/>
      </c>
      <c r="B157" s="53">
        <f>IF($N157&lt;&gt;"",INDEX(tblBilling[Customer ID],$N157),"")</f>
        <v/>
      </c>
      <c r="C157" s="53">
        <f>IF($N157&lt;&gt;"",INDEX(tblBilling[Customer Name],$N157),CHOOSE(MIN(MAX($O157,0),7)+1,"","TOTAL","","Total Customers: "&amp;PC_Count,"Total Recovered: "&amp;CFG_CurrencySymbol&amp;" "&amp;TEXT(PC_TotalPaid,"#,##0"),"","Collector Signature: ____________",""))</f>
        <v/>
      </c>
      <c r="D157" s="53">
        <f>IF($N157&lt;&gt;"",INDEX(tblBilling[Full Address],$N157),CHOOSE(MIN(MAX($O157,0),7)+1,"","","","Total Billing: "&amp;CFG_CurrencySymbol&amp;" "&amp;TEXT(PC_TotalFee,"#,##0"),"Total Pending: "&amp;CFG_CurrencySymbol&amp;" "&amp;TEXT(PC_TotalBalance,"#,##0"),"","Office Verification: ____________",""))</f>
        <v/>
      </c>
      <c r="E157" s="53">
        <f>IF($N157&lt;&gt;"",INDEX(tblBilling[VLAN ID],$N157),"")</f>
        <v/>
      </c>
      <c r="F157" s="52">
        <f>IF($N157&lt;&gt;"",INDEX(tblBilling[Due Date],$N157),"")</f>
        <v/>
      </c>
      <c r="G157" s="54">
        <f>IF($N157&lt;&gt;"",INDEX(tblBilling[Monthly Fee],$N157),IF($O157=1,PC_TotalFee,""))</f>
        <v/>
      </c>
      <c r="H157" s="54">
        <f>IF($N157&lt;&gt;"",INDEX(tblBilling[Amount Paid],$N157),IF($O157=1,PC_TotalPaid,""))</f>
        <v/>
      </c>
      <c r="I157" s="54">
        <f>IF($N157&lt;&gt;"",INDEX(tblBilling[Balance],$N157),IF($O157=1,PC_TotalBalance,""))</f>
        <v/>
      </c>
      <c r="J157" s="53">
        <f>IF($N157&lt;&gt;"",INDEX(tblBilling[Payment Status],$N157),"")</f>
        <v/>
      </c>
      <c r="K157" s="55">
        <f>IF($N157&lt;&gt;"",IF(INDEX(tblBilling[Last Payment Date],$N157)="","",INDEX(tblBilling[Last Payment Date],$N157)),"")</f>
        <v/>
      </c>
      <c r="L157" s="53">
        <f>IF($N157&lt;&gt;"",INDEX(tblBilling[Collector Name],$N157),"")</f>
        <v/>
      </c>
      <c r="N157">
        <f>IF(N156="","",IFERROR(N156+MATCH(1,INDEX(tblBilling[Print Match],N156+1):INDEX(tblBilling[Print Match],ROWS(tblBilling[Print Match])),0),""))</f>
        <v/>
      </c>
      <c r="O157">
        <f>ROW()-9-MIN(PC_Count,500)</f>
        <v/>
      </c>
    </row>
    <row r="158" ht="20" customHeight="1">
      <c r="A158" s="52">
        <f>IF($N158="","",ROW()-9)</f>
        <v/>
      </c>
      <c r="B158" s="53">
        <f>IF($N158&lt;&gt;"",INDEX(tblBilling[Customer ID],$N158),"")</f>
        <v/>
      </c>
      <c r="C158" s="53">
        <f>IF($N158&lt;&gt;"",INDEX(tblBilling[Customer Name],$N158),CHOOSE(MIN(MAX($O158,0),7)+1,"","TOTAL","","Total Customers: "&amp;PC_Count,"Total Recovered: "&amp;CFG_CurrencySymbol&amp;" "&amp;TEXT(PC_TotalPaid,"#,##0"),"","Collector Signature: ____________",""))</f>
        <v/>
      </c>
      <c r="D158" s="53">
        <f>IF($N158&lt;&gt;"",INDEX(tblBilling[Full Address],$N158),CHOOSE(MIN(MAX($O158,0),7)+1,"","","","Total Billing: "&amp;CFG_CurrencySymbol&amp;" "&amp;TEXT(PC_TotalFee,"#,##0"),"Total Pending: "&amp;CFG_CurrencySymbol&amp;" "&amp;TEXT(PC_TotalBalance,"#,##0"),"","Office Verification: ____________",""))</f>
        <v/>
      </c>
      <c r="E158" s="53">
        <f>IF($N158&lt;&gt;"",INDEX(tblBilling[VLAN ID],$N158),"")</f>
        <v/>
      </c>
      <c r="F158" s="52">
        <f>IF($N158&lt;&gt;"",INDEX(tblBilling[Due Date],$N158),"")</f>
        <v/>
      </c>
      <c r="G158" s="54">
        <f>IF($N158&lt;&gt;"",INDEX(tblBilling[Monthly Fee],$N158),IF($O158=1,PC_TotalFee,""))</f>
        <v/>
      </c>
      <c r="H158" s="54">
        <f>IF($N158&lt;&gt;"",INDEX(tblBilling[Amount Paid],$N158),IF($O158=1,PC_TotalPaid,""))</f>
        <v/>
      </c>
      <c r="I158" s="54">
        <f>IF($N158&lt;&gt;"",INDEX(tblBilling[Balance],$N158),IF($O158=1,PC_TotalBalance,""))</f>
        <v/>
      </c>
      <c r="J158" s="53">
        <f>IF($N158&lt;&gt;"",INDEX(tblBilling[Payment Status],$N158),"")</f>
        <v/>
      </c>
      <c r="K158" s="55">
        <f>IF($N158&lt;&gt;"",IF(INDEX(tblBilling[Last Payment Date],$N158)="","",INDEX(tblBilling[Last Payment Date],$N158)),"")</f>
        <v/>
      </c>
      <c r="L158" s="53">
        <f>IF($N158&lt;&gt;"",INDEX(tblBilling[Collector Name],$N158),"")</f>
        <v/>
      </c>
      <c r="N158">
        <f>IF(N157="","",IFERROR(N157+MATCH(1,INDEX(tblBilling[Print Match],N157+1):INDEX(tblBilling[Print Match],ROWS(tblBilling[Print Match])),0),""))</f>
        <v/>
      </c>
      <c r="O158">
        <f>ROW()-9-MIN(PC_Count,500)</f>
        <v/>
      </c>
    </row>
    <row r="159" ht="20" customHeight="1">
      <c r="A159" s="52">
        <f>IF($N159="","",ROW()-9)</f>
        <v/>
      </c>
      <c r="B159" s="53">
        <f>IF($N159&lt;&gt;"",INDEX(tblBilling[Customer ID],$N159),"")</f>
        <v/>
      </c>
      <c r="C159" s="53">
        <f>IF($N159&lt;&gt;"",INDEX(tblBilling[Customer Name],$N159),CHOOSE(MIN(MAX($O159,0),7)+1,"","TOTAL","","Total Customers: "&amp;PC_Count,"Total Recovered: "&amp;CFG_CurrencySymbol&amp;" "&amp;TEXT(PC_TotalPaid,"#,##0"),"","Collector Signature: ____________",""))</f>
        <v/>
      </c>
      <c r="D159" s="53">
        <f>IF($N159&lt;&gt;"",INDEX(tblBilling[Full Address],$N159),CHOOSE(MIN(MAX($O159,0),7)+1,"","","","Total Billing: "&amp;CFG_CurrencySymbol&amp;" "&amp;TEXT(PC_TotalFee,"#,##0"),"Total Pending: "&amp;CFG_CurrencySymbol&amp;" "&amp;TEXT(PC_TotalBalance,"#,##0"),"","Office Verification: ____________",""))</f>
        <v/>
      </c>
      <c r="E159" s="53">
        <f>IF($N159&lt;&gt;"",INDEX(tblBilling[VLAN ID],$N159),"")</f>
        <v/>
      </c>
      <c r="F159" s="52">
        <f>IF($N159&lt;&gt;"",INDEX(tblBilling[Due Date],$N159),"")</f>
        <v/>
      </c>
      <c r="G159" s="54">
        <f>IF($N159&lt;&gt;"",INDEX(tblBilling[Monthly Fee],$N159),IF($O159=1,PC_TotalFee,""))</f>
        <v/>
      </c>
      <c r="H159" s="54">
        <f>IF($N159&lt;&gt;"",INDEX(tblBilling[Amount Paid],$N159),IF($O159=1,PC_TotalPaid,""))</f>
        <v/>
      </c>
      <c r="I159" s="54">
        <f>IF($N159&lt;&gt;"",INDEX(tblBilling[Balance],$N159),IF($O159=1,PC_TotalBalance,""))</f>
        <v/>
      </c>
      <c r="J159" s="53">
        <f>IF($N159&lt;&gt;"",INDEX(tblBilling[Payment Status],$N159),"")</f>
        <v/>
      </c>
      <c r="K159" s="55">
        <f>IF($N159&lt;&gt;"",IF(INDEX(tblBilling[Last Payment Date],$N159)="","",INDEX(tblBilling[Last Payment Date],$N159)),"")</f>
        <v/>
      </c>
      <c r="L159" s="53">
        <f>IF($N159&lt;&gt;"",INDEX(tblBilling[Collector Name],$N159),"")</f>
        <v/>
      </c>
      <c r="N159">
        <f>IF(N158="","",IFERROR(N158+MATCH(1,INDEX(tblBilling[Print Match],N158+1):INDEX(tblBilling[Print Match],ROWS(tblBilling[Print Match])),0),""))</f>
        <v/>
      </c>
      <c r="O159">
        <f>ROW()-9-MIN(PC_Count,500)</f>
        <v/>
      </c>
    </row>
    <row r="160" ht="20" customHeight="1">
      <c r="A160" s="52">
        <f>IF($N160="","",ROW()-9)</f>
        <v/>
      </c>
      <c r="B160" s="53">
        <f>IF($N160&lt;&gt;"",INDEX(tblBilling[Customer ID],$N160),"")</f>
        <v/>
      </c>
      <c r="C160" s="53">
        <f>IF($N160&lt;&gt;"",INDEX(tblBilling[Customer Name],$N160),CHOOSE(MIN(MAX($O160,0),7)+1,"","TOTAL","","Total Customers: "&amp;PC_Count,"Total Recovered: "&amp;CFG_CurrencySymbol&amp;" "&amp;TEXT(PC_TotalPaid,"#,##0"),"","Collector Signature: ____________",""))</f>
        <v/>
      </c>
      <c r="D160" s="53">
        <f>IF($N160&lt;&gt;"",INDEX(tblBilling[Full Address],$N160),CHOOSE(MIN(MAX($O160,0),7)+1,"","","","Total Billing: "&amp;CFG_CurrencySymbol&amp;" "&amp;TEXT(PC_TotalFee,"#,##0"),"Total Pending: "&amp;CFG_CurrencySymbol&amp;" "&amp;TEXT(PC_TotalBalance,"#,##0"),"","Office Verification: ____________",""))</f>
        <v/>
      </c>
      <c r="E160" s="53">
        <f>IF($N160&lt;&gt;"",INDEX(tblBilling[VLAN ID],$N160),"")</f>
        <v/>
      </c>
      <c r="F160" s="52">
        <f>IF($N160&lt;&gt;"",INDEX(tblBilling[Due Date],$N160),"")</f>
        <v/>
      </c>
      <c r="G160" s="54">
        <f>IF($N160&lt;&gt;"",INDEX(tblBilling[Monthly Fee],$N160),IF($O160=1,PC_TotalFee,""))</f>
        <v/>
      </c>
      <c r="H160" s="54">
        <f>IF($N160&lt;&gt;"",INDEX(tblBilling[Amount Paid],$N160),IF($O160=1,PC_TotalPaid,""))</f>
        <v/>
      </c>
      <c r="I160" s="54">
        <f>IF($N160&lt;&gt;"",INDEX(tblBilling[Balance],$N160),IF($O160=1,PC_TotalBalance,""))</f>
        <v/>
      </c>
      <c r="J160" s="53">
        <f>IF($N160&lt;&gt;"",INDEX(tblBilling[Payment Status],$N160),"")</f>
        <v/>
      </c>
      <c r="K160" s="55">
        <f>IF($N160&lt;&gt;"",IF(INDEX(tblBilling[Last Payment Date],$N160)="","",INDEX(tblBilling[Last Payment Date],$N160)),"")</f>
        <v/>
      </c>
      <c r="L160" s="53">
        <f>IF($N160&lt;&gt;"",INDEX(tblBilling[Collector Name],$N160),"")</f>
        <v/>
      </c>
      <c r="N160">
        <f>IF(N159="","",IFERROR(N159+MATCH(1,INDEX(tblBilling[Print Match],N159+1):INDEX(tblBilling[Print Match],ROWS(tblBilling[Print Match])),0),""))</f>
        <v/>
      </c>
      <c r="O160">
        <f>ROW()-9-MIN(PC_Count,500)</f>
        <v/>
      </c>
    </row>
    <row r="161" ht="20" customHeight="1">
      <c r="A161" s="52">
        <f>IF($N161="","",ROW()-9)</f>
        <v/>
      </c>
      <c r="B161" s="53">
        <f>IF($N161&lt;&gt;"",INDEX(tblBilling[Customer ID],$N161),"")</f>
        <v/>
      </c>
      <c r="C161" s="53">
        <f>IF($N161&lt;&gt;"",INDEX(tblBilling[Customer Name],$N161),CHOOSE(MIN(MAX($O161,0),7)+1,"","TOTAL","","Total Customers: "&amp;PC_Count,"Total Recovered: "&amp;CFG_CurrencySymbol&amp;" "&amp;TEXT(PC_TotalPaid,"#,##0"),"","Collector Signature: ____________",""))</f>
        <v/>
      </c>
      <c r="D161" s="53">
        <f>IF($N161&lt;&gt;"",INDEX(tblBilling[Full Address],$N161),CHOOSE(MIN(MAX($O161,0),7)+1,"","","","Total Billing: "&amp;CFG_CurrencySymbol&amp;" "&amp;TEXT(PC_TotalFee,"#,##0"),"Total Pending: "&amp;CFG_CurrencySymbol&amp;" "&amp;TEXT(PC_TotalBalance,"#,##0"),"","Office Verification: ____________",""))</f>
        <v/>
      </c>
      <c r="E161" s="53">
        <f>IF($N161&lt;&gt;"",INDEX(tblBilling[VLAN ID],$N161),"")</f>
        <v/>
      </c>
      <c r="F161" s="52">
        <f>IF($N161&lt;&gt;"",INDEX(tblBilling[Due Date],$N161),"")</f>
        <v/>
      </c>
      <c r="G161" s="54">
        <f>IF($N161&lt;&gt;"",INDEX(tblBilling[Monthly Fee],$N161),IF($O161=1,PC_TotalFee,""))</f>
        <v/>
      </c>
      <c r="H161" s="54">
        <f>IF($N161&lt;&gt;"",INDEX(tblBilling[Amount Paid],$N161),IF($O161=1,PC_TotalPaid,""))</f>
        <v/>
      </c>
      <c r="I161" s="54">
        <f>IF($N161&lt;&gt;"",INDEX(tblBilling[Balance],$N161),IF($O161=1,PC_TotalBalance,""))</f>
        <v/>
      </c>
      <c r="J161" s="53">
        <f>IF($N161&lt;&gt;"",INDEX(tblBilling[Payment Status],$N161),"")</f>
        <v/>
      </c>
      <c r="K161" s="55">
        <f>IF($N161&lt;&gt;"",IF(INDEX(tblBilling[Last Payment Date],$N161)="","",INDEX(tblBilling[Last Payment Date],$N161)),"")</f>
        <v/>
      </c>
      <c r="L161" s="53">
        <f>IF($N161&lt;&gt;"",INDEX(tblBilling[Collector Name],$N161),"")</f>
        <v/>
      </c>
      <c r="N161">
        <f>IF(N160="","",IFERROR(N160+MATCH(1,INDEX(tblBilling[Print Match],N160+1):INDEX(tblBilling[Print Match],ROWS(tblBilling[Print Match])),0),""))</f>
        <v/>
      </c>
      <c r="O161">
        <f>ROW()-9-MIN(PC_Count,500)</f>
        <v/>
      </c>
    </row>
    <row r="162" ht="20" customHeight="1">
      <c r="A162" s="52">
        <f>IF($N162="","",ROW()-9)</f>
        <v/>
      </c>
      <c r="B162" s="53">
        <f>IF($N162&lt;&gt;"",INDEX(tblBilling[Customer ID],$N162),"")</f>
        <v/>
      </c>
      <c r="C162" s="53">
        <f>IF($N162&lt;&gt;"",INDEX(tblBilling[Customer Name],$N162),CHOOSE(MIN(MAX($O162,0),7)+1,"","TOTAL","","Total Customers: "&amp;PC_Count,"Total Recovered: "&amp;CFG_CurrencySymbol&amp;" "&amp;TEXT(PC_TotalPaid,"#,##0"),"","Collector Signature: ____________",""))</f>
        <v/>
      </c>
      <c r="D162" s="53">
        <f>IF($N162&lt;&gt;"",INDEX(tblBilling[Full Address],$N162),CHOOSE(MIN(MAX($O162,0),7)+1,"","","","Total Billing: "&amp;CFG_CurrencySymbol&amp;" "&amp;TEXT(PC_TotalFee,"#,##0"),"Total Pending: "&amp;CFG_CurrencySymbol&amp;" "&amp;TEXT(PC_TotalBalance,"#,##0"),"","Office Verification: ____________",""))</f>
        <v/>
      </c>
      <c r="E162" s="53">
        <f>IF($N162&lt;&gt;"",INDEX(tblBilling[VLAN ID],$N162),"")</f>
        <v/>
      </c>
      <c r="F162" s="52">
        <f>IF($N162&lt;&gt;"",INDEX(tblBilling[Due Date],$N162),"")</f>
        <v/>
      </c>
      <c r="G162" s="54">
        <f>IF($N162&lt;&gt;"",INDEX(tblBilling[Monthly Fee],$N162),IF($O162=1,PC_TotalFee,""))</f>
        <v/>
      </c>
      <c r="H162" s="54">
        <f>IF($N162&lt;&gt;"",INDEX(tblBilling[Amount Paid],$N162),IF($O162=1,PC_TotalPaid,""))</f>
        <v/>
      </c>
      <c r="I162" s="54">
        <f>IF($N162&lt;&gt;"",INDEX(tblBilling[Balance],$N162),IF($O162=1,PC_TotalBalance,""))</f>
        <v/>
      </c>
      <c r="J162" s="53">
        <f>IF($N162&lt;&gt;"",INDEX(tblBilling[Payment Status],$N162),"")</f>
        <v/>
      </c>
      <c r="K162" s="55">
        <f>IF($N162&lt;&gt;"",IF(INDEX(tblBilling[Last Payment Date],$N162)="","",INDEX(tblBilling[Last Payment Date],$N162)),"")</f>
        <v/>
      </c>
      <c r="L162" s="53">
        <f>IF($N162&lt;&gt;"",INDEX(tblBilling[Collector Name],$N162),"")</f>
        <v/>
      </c>
      <c r="N162">
        <f>IF(N161="","",IFERROR(N161+MATCH(1,INDEX(tblBilling[Print Match],N161+1):INDEX(tblBilling[Print Match],ROWS(tblBilling[Print Match])),0),""))</f>
        <v/>
      </c>
      <c r="O162">
        <f>ROW()-9-MIN(PC_Count,500)</f>
        <v/>
      </c>
    </row>
    <row r="163" ht="20" customHeight="1">
      <c r="A163" s="52">
        <f>IF($N163="","",ROW()-9)</f>
        <v/>
      </c>
      <c r="B163" s="53">
        <f>IF($N163&lt;&gt;"",INDEX(tblBilling[Customer ID],$N163),"")</f>
        <v/>
      </c>
      <c r="C163" s="53">
        <f>IF($N163&lt;&gt;"",INDEX(tblBilling[Customer Name],$N163),CHOOSE(MIN(MAX($O163,0),7)+1,"","TOTAL","","Total Customers: "&amp;PC_Count,"Total Recovered: "&amp;CFG_CurrencySymbol&amp;" "&amp;TEXT(PC_TotalPaid,"#,##0"),"","Collector Signature: ____________",""))</f>
        <v/>
      </c>
      <c r="D163" s="53">
        <f>IF($N163&lt;&gt;"",INDEX(tblBilling[Full Address],$N163),CHOOSE(MIN(MAX($O163,0),7)+1,"","","","Total Billing: "&amp;CFG_CurrencySymbol&amp;" "&amp;TEXT(PC_TotalFee,"#,##0"),"Total Pending: "&amp;CFG_CurrencySymbol&amp;" "&amp;TEXT(PC_TotalBalance,"#,##0"),"","Office Verification: ____________",""))</f>
        <v/>
      </c>
      <c r="E163" s="53">
        <f>IF($N163&lt;&gt;"",INDEX(tblBilling[VLAN ID],$N163),"")</f>
        <v/>
      </c>
      <c r="F163" s="52">
        <f>IF($N163&lt;&gt;"",INDEX(tblBilling[Due Date],$N163),"")</f>
        <v/>
      </c>
      <c r="G163" s="54">
        <f>IF($N163&lt;&gt;"",INDEX(tblBilling[Monthly Fee],$N163),IF($O163=1,PC_TotalFee,""))</f>
        <v/>
      </c>
      <c r="H163" s="54">
        <f>IF($N163&lt;&gt;"",INDEX(tblBilling[Amount Paid],$N163),IF($O163=1,PC_TotalPaid,""))</f>
        <v/>
      </c>
      <c r="I163" s="54">
        <f>IF($N163&lt;&gt;"",INDEX(tblBilling[Balance],$N163),IF($O163=1,PC_TotalBalance,""))</f>
        <v/>
      </c>
      <c r="J163" s="53">
        <f>IF($N163&lt;&gt;"",INDEX(tblBilling[Payment Status],$N163),"")</f>
        <v/>
      </c>
      <c r="K163" s="55">
        <f>IF($N163&lt;&gt;"",IF(INDEX(tblBilling[Last Payment Date],$N163)="","",INDEX(tblBilling[Last Payment Date],$N163)),"")</f>
        <v/>
      </c>
      <c r="L163" s="53">
        <f>IF($N163&lt;&gt;"",INDEX(tblBilling[Collector Name],$N163),"")</f>
        <v/>
      </c>
      <c r="N163">
        <f>IF(N162="","",IFERROR(N162+MATCH(1,INDEX(tblBilling[Print Match],N162+1):INDEX(tblBilling[Print Match],ROWS(tblBilling[Print Match])),0),""))</f>
        <v/>
      </c>
      <c r="O163">
        <f>ROW()-9-MIN(PC_Count,500)</f>
        <v/>
      </c>
    </row>
    <row r="164" ht="20" customHeight="1">
      <c r="A164" s="52">
        <f>IF($N164="","",ROW()-9)</f>
        <v/>
      </c>
      <c r="B164" s="53">
        <f>IF($N164&lt;&gt;"",INDEX(tblBilling[Customer ID],$N164),"")</f>
        <v/>
      </c>
      <c r="C164" s="53">
        <f>IF($N164&lt;&gt;"",INDEX(tblBilling[Customer Name],$N164),CHOOSE(MIN(MAX($O164,0),7)+1,"","TOTAL","","Total Customers: "&amp;PC_Count,"Total Recovered: "&amp;CFG_CurrencySymbol&amp;" "&amp;TEXT(PC_TotalPaid,"#,##0"),"","Collector Signature: ____________",""))</f>
        <v/>
      </c>
      <c r="D164" s="53">
        <f>IF($N164&lt;&gt;"",INDEX(tblBilling[Full Address],$N164),CHOOSE(MIN(MAX($O164,0),7)+1,"","","","Total Billing: "&amp;CFG_CurrencySymbol&amp;" "&amp;TEXT(PC_TotalFee,"#,##0"),"Total Pending: "&amp;CFG_CurrencySymbol&amp;" "&amp;TEXT(PC_TotalBalance,"#,##0"),"","Office Verification: ____________",""))</f>
        <v/>
      </c>
      <c r="E164" s="53">
        <f>IF($N164&lt;&gt;"",INDEX(tblBilling[VLAN ID],$N164),"")</f>
        <v/>
      </c>
      <c r="F164" s="52">
        <f>IF($N164&lt;&gt;"",INDEX(tblBilling[Due Date],$N164),"")</f>
        <v/>
      </c>
      <c r="G164" s="54">
        <f>IF($N164&lt;&gt;"",INDEX(tblBilling[Monthly Fee],$N164),IF($O164=1,PC_TotalFee,""))</f>
        <v/>
      </c>
      <c r="H164" s="54">
        <f>IF($N164&lt;&gt;"",INDEX(tblBilling[Amount Paid],$N164),IF($O164=1,PC_TotalPaid,""))</f>
        <v/>
      </c>
      <c r="I164" s="54">
        <f>IF($N164&lt;&gt;"",INDEX(tblBilling[Balance],$N164),IF($O164=1,PC_TotalBalance,""))</f>
        <v/>
      </c>
      <c r="J164" s="53">
        <f>IF($N164&lt;&gt;"",INDEX(tblBilling[Payment Status],$N164),"")</f>
        <v/>
      </c>
      <c r="K164" s="55">
        <f>IF($N164&lt;&gt;"",IF(INDEX(tblBilling[Last Payment Date],$N164)="","",INDEX(tblBilling[Last Payment Date],$N164)),"")</f>
        <v/>
      </c>
      <c r="L164" s="53">
        <f>IF($N164&lt;&gt;"",INDEX(tblBilling[Collector Name],$N164),"")</f>
        <v/>
      </c>
      <c r="N164">
        <f>IF(N163="","",IFERROR(N163+MATCH(1,INDEX(tblBilling[Print Match],N163+1):INDEX(tblBilling[Print Match],ROWS(tblBilling[Print Match])),0),""))</f>
        <v/>
      </c>
      <c r="O164">
        <f>ROW()-9-MIN(PC_Count,500)</f>
        <v/>
      </c>
    </row>
    <row r="165" ht="20" customHeight="1">
      <c r="A165" s="52">
        <f>IF($N165="","",ROW()-9)</f>
        <v/>
      </c>
      <c r="B165" s="53">
        <f>IF($N165&lt;&gt;"",INDEX(tblBilling[Customer ID],$N165),"")</f>
        <v/>
      </c>
      <c r="C165" s="53">
        <f>IF($N165&lt;&gt;"",INDEX(tblBilling[Customer Name],$N165),CHOOSE(MIN(MAX($O165,0),7)+1,"","TOTAL","","Total Customers: "&amp;PC_Count,"Total Recovered: "&amp;CFG_CurrencySymbol&amp;" "&amp;TEXT(PC_TotalPaid,"#,##0"),"","Collector Signature: ____________",""))</f>
        <v/>
      </c>
      <c r="D165" s="53">
        <f>IF($N165&lt;&gt;"",INDEX(tblBilling[Full Address],$N165),CHOOSE(MIN(MAX($O165,0),7)+1,"","","","Total Billing: "&amp;CFG_CurrencySymbol&amp;" "&amp;TEXT(PC_TotalFee,"#,##0"),"Total Pending: "&amp;CFG_CurrencySymbol&amp;" "&amp;TEXT(PC_TotalBalance,"#,##0"),"","Office Verification: ____________",""))</f>
        <v/>
      </c>
      <c r="E165" s="53">
        <f>IF($N165&lt;&gt;"",INDEX(tblBilling[VLAN ID],$N165),"")</f>
        <v/>
      </c>
      <c r="F165" s="52">
        <f>IF($N165&lt;&gt;"",INDEX(tblBilling[Due Date],$N165),"")</f>
        <v/>
      </c>
      <c r="G165" s="54">
        <f>IF($N165&lt;&gt;"",INDEX(tblBilling[Monthly Fee],$N165),IF($O165=1,PC_TotalFee,""))</f>
        <v/>
      </c>
      <c r="H165" s="54">
        <f>IF($N165&lt;&gt;"",INDEX(tblBilling[Amount Paid],$N165),IF($O165=1,PC_TotalPaid,""))</f>
        <v/>
      </c>
      <c r="I165" s="54">
        <f>IF($N165&lt;&gt;"",INDEX(tblBilling[Balance],$N165),IF($O165=1,PC_TotalBalance,""))</f>
        <v/>
      </c>
      <c r="J165" s="53">
        <f>IF($N165&lt;&gt;"",INDEX(tblBilling[Payment Status],$N165),"")</f>
        <v/>
      </c>
      <c r="K165" s="55">
        <f>IF($N165&lt;&gt;"",IF(INDEX(tblBilling[Last Payment Date],$N165)="","",INDEX(tblBilling[Last Payment Date],$N165)),"")</f>
        <v/>
      </c>
      <c r="L165" s="53">
        <f>IF($N165&lt;&gt;"",INDEX(tblBilling[Collector Name],$N165),"")</f>
        <v/>
      </c>
      <c r="N165">
        <f>IF(N164="","",IFERROR(N164+MATCH(1,INDEX(tblBilling[Print Match],N164+1):INDEX(tblBilling[Print Match],ROWS(tblBilling[Print Match])),0),""))</f>
        <v/>
      </c>
      <c r="O165">
        <f>ROW()-9-MIN(PC_Count,500)</f>
        <v/>
      </c>
    </row>
    <row r="166" ht="20" customHeight="1">
      <c r="A166" s="52">
        <f>IF($N166="","",ROW()-9)</f>
        <v/>
      </c>
      <c r="B166" s="53">
        <f>IF($N166&lt;&gt;"",INDEX(tblBilling[Customer ID],$N166),"")</f>
        <v/>
      </c>
      <c r="C166" s="53">
        <f>IF($N166&lt;&gt;"",INDEX(tblBilling[Customer Name],$N166),CHOOSE(MIN(MAX($O166,0),7)+1,"","TOTAL","","Total Customers: "&amp;PC_Count,"Total Recovered: "&amp;CFG_CurrencySymbol&amp;" "&amp;TEXT(PC_TotalPaid,"#,##0"),"","Collector Signature: ____________",""))</f>
        <v/>
      </c>
      <c r="D166" s="53">
        <f>IF($N166&lt;&gt;"",INDEX(tblBilling[Full Address],$N166),CHOOSE(MIN(MAX($O166,0),7)+1,"","","","Total Billing: "&amp;CFG_CurrencySymbol&amp;" "&amp;TEXT(PC_TotalFee,"#,##0"),"Total Pending: "&amp;CFG_CurrencySymbol&amp;" "&amp;TEXT(PC_TotalBalance,"#,##0"),"","Office Verification: ____________",""))</f>
        <v/>
      </c>
      <c r="E166" s="53">
        <f>IF($N166&lt;&gt;"",INDEX(tblBilling[VLAN ID],$N166),"")</f>
        <v/>
      </c>
      <c r="F166" s="52">
        <f>IF($N166&lt;&gt;"",INDEX(tblBilling[Due Date],$N166),"")</f>
        <v/>
      </c>
      <c r="G166" s="54">
        <f>IF($N166&lt;&gt;"",INDEX(tblBilling[Monthly Fee],$N166),IF($O166=1,PC_TotalFee,""))</f>
        <v/>
      </c>
      <c r="H166" s="54">
        <f>IF($N166&lt;&gt;"",INDEX(tblBilling[Amount Paid],$N166),IF($O166=1,PC_TotalPaid,""))</f>
        <v/>
      </c>
      <c r="I166" s="54">
        <f>IF($N166&lt;&gt;"",INDEX(tblBilling[Balance],$N166),IF($O166=1,PC_TotalBalance,""))</f>
        <v/>
      </c>
      <c r="J166" s="53">
        <f>IF($N166&lt;&gt;"",INDEX(tblBilling[Payment Status],$N166),"")</f>
        <v/>
      </c>
      <c r="K166" s="55">
        <f>IF($N166&lt;&gt;"",IF(INDEX(tblBilling[Last Payment Date],$N166)="","",INDEX(tblBilling[Last Payment Date],$N166)),"")</f>
        <v/>
      </c>
      <c r="L166" s="53">
        <f>IF($N166&lt;&gt;"",INDEX(tblBilling[Collector Name],$N166),"")</f>
        <v/>
      </c>
      <c r="N166">
        <f>IF(N165="","",IFERROR(N165+MATCH(1,INDEX(tblBilling[Print Match],N165+1):INDEX(tblBilling[Print Match],ROWS(tblBilling[Print Match])),0),""))</f>
        <v/>
      </c>
      <c r="O166">
        <f>ROW()-9-MIN(PC_Count,500)</f>
        <v/>
      </c>
    </row>
    <row r="167" ht="20" customHeight="1">
      <c r="A167" s="52">
        <f>IF($N167="","",ROW()-9)</f>
        <v/>
      </c>
      <c r="B167" s="53">
        <f>IF($N167&lt;&gt;"",INDEX(tblBilling[Customer ID],$N167),"")</f>
        <v/>
      </c>
      <c r="C167" s="53">
        <f>IF($N167&lt;&gt;"",INDEX(tblBilling[Customer Name],$N167),CHOOSE(MIN(MAX($O167,0),7)+1,"","TOTAL","","Total Customers: "&amp;PC_Count,"Total Recovered: "&amp;CFG_CurrencySymbol&amp;" "&amp;TEXT(PC_TotalPaid,"#,##0"),"","Collector Signature: ____________",""))</f>
        <v/>
      </c>
      <c r="D167" s="53">
        <f>IF($N167&lt;&gt;"",INDEX(tblBilling[Full Address],$N167),CHOOSE(MIN(MAX($O167,0),7)+1,"","","","Total Billing: "&amp;CFG_CurrencySymbol&amp;" "&amp;TEXT(PC_TotalFee,"#,##0"),"Total Pending: "&amp;CFG_CurrencySymbol&amp;" "&amp;TEXT(PC_TotalBalance,"#,##0"),"","Office Verification: ____________",""))</f>
        <v/>
      </c>
      <c r="E167" s="53">
        <f>IF($N167&lt;&gt;"",INDEX(tblBilling[VLAN ID],$N167),"")</f>
        <v/>
      </c>
      <c r="F167" s="52">
        <f>IF($N167&lt;&gt;"",INDEX(tblBilling[Due Date],$N167),"")</f>
        <v/>
      </c>
      <c r="G167" s="54">
        <f>IF($N167&lt;&gt;"",INDEX(tblBilling[Monthly Fee],$N167),IF($O167=1,PC_TotalFee,""))</f>
        <v/>
      </c>
      <c r="H167" s="54">
        <f>IF($N167&lt;&gt;"",INDEX(tblBilling[Amount Paid],$N167),IF($O167=1,PC_TotalPaid,""))</f>
        <v/>
      </c>
      <c r="I167" s="54">
        <f>IF($N167&lt;&gt;"",INDEX(tblBilling[Balance],$N167),IF($O167=1,PC_TotalBalance,""))</f>
        <v/>
      </c>
      <c r="J167" s="53">
        <f>IF($N167&lt;&gt;"",INDEX(tblBilling[Payment Status],$N167),"")</f>
        <v/>
      </c>
      <c r="K167" s="55">
        <f>IF($N167&lt;&gt;"",IF(INDEX(tblBilling[Last Payment Date],$N167)="","",INDEX(tblBilling[Last Payment Date],$N167)),"")</f>
        <v/>
      </c>
      <c r="L167" s="53">
        <f>IF($N167&lt;&gt;"",INDEX(tblBilling[Collector Name],$N167),"")</f>
        <v/>
      </c>
      <c r="N167">
        <f>IF(N166="","",IFERROR(N166+MATCH(1,INDEX(tblBilling[Print Match],N166+1):INDEX(tblBilling[Print Match],ROWS(tblBilling[Print Match])),0),""))</f>
        <v/>
      </c>
      <c r="O167">
        <f>ROW()-9-MIN(PC_Count,500)</f>
        <v/>
      </c>
    </row>
    <row r="168" ht="20" customHeight="1">
      <c r="A168" s="52">
        <f>IF($N168="","",ROW()-9)</f>
        <v/>
      </c>
      <c r="B168" s="53">
        <f>IF($N168&lt;&gt;"",INDEX(tblBilling[Customer ID],$N168),"")</f>
        <v/>
      </c>
      <c r="C168" s="53">
        <f>IF($N168&lt;&gt;"",INDEX(tblBilling[Customer Name],$N168),CHOOSE(MIN(MAX($O168,0),7)+1,"","TOTAL","","Total Customers: "&amp;PC_Count,"Total Recovered: "&amp;CFG_CurrencySymbol&amp;" "&amp;TEXT(PC_TotalPaid,"#,##0"),"","Collector Signature: ____________",""))</f>
        <v/>
      </c>
      <c r="D168" s="53">
        <f>IF($N168&lt;&gt;"",INDEX(tblBilling[Full Address],$N168),CHOOSE(MIN(MAX($O168,0),7)+1,"","","","Total Billing: "&amp;CFG_CurrencySymbol&amp;" "&amp;TEXT(PC_TotalFee,"#,##0"),"Total Pending: "&amp;CFG_CurrencySymbol&amp;" "&amp;TEXT(PC_TotalBalance,"#,##0"),"","Office Verification: ____________",""))</f>
        <v/>
      </c>
      <c r="E168" s="53">
        <f>IF($N168&lt;&gt;"",INDEX(tblBilling[VLAN ID],$N168),"")</f>
        <v/>
      </c>
      <c r="F168" s="52">
        <f>IF($N168&lt;&gt;"",INDEX(tblBilling[Due Date],$N168),"")</f>
        <v/>
      </c>
      <c r="G168" s="54">
        <f>IF($N168&lt;&gt;"",INDEX(tblBilling[Monthly Fee],$N168),IF($O168=1,PC_TotalFee,""))</f>
        <v/>
      </c>
      <c r="H168" s="54">
        <f>IF($N168&lt;&gt;"",INDEX(tblBilling[Amount Paid],$N168),IF($O168=1,PC_TotalPaid,""))</f>
        <v/>
      </c>
      <c r="I168" s="54">
        <f>IF($N168&lt;&gt;"",INDEX(tblBilling[Balance],$N168),IF($O168=1,PC_TotalBalance,""))</f>
        <v/>
      </c>
      <c r="J168" s="53">
        <f>IF($N168&lt;&gt;"",INDEX(tblBilling[Payment Status],$N168),"")</f>
        <v/>
      </c>
      <c r="K168" s="55">
        <f>IF($N168&lt;&gt;"",IF(INDEX(tblBilling[Last Payment Date],$N168)="","",INDEX(tblBilling[Last Payment Date],$N168)),"")</f>
        <v/>
      </c>
      <c r="L168" s="53">
        <f>IF($N168&lt;&gt;"",INDEX(tblBilling[Collector Name],$N168),"")</f>
        <v/>
      </c>
      <c r="N168">
        <f>IF(N167="","",IFERROR(N167+MATCH(1,INDEX(tblBilling[Print Match],N167+1):INDEX(tblBilling[Print Match],ROWS(tblBilling[Print Match])),0),""))</f>
        <v/>
      </c>
      <c r="O168">
        <f>ROW()-9-MIN(PC_Count,500)</f>
        <v/>
      </c>
    </row>
    <row r="169" ht="20" customHeight="1">
      <c r="A169" s="52">
        <f>IF($N169="","",ROW()-9)</f>
        <v/>
      </c>
      <c r="B169" s="53">
        <f>IF($N169&lt;&gt;"",INDEX(tblBilling[Customer ID],$N169),"")</f>
        <v/>
      </c>
      <c r="C169" s="53">
        <f>IF($N169&lt;&gt;"",INDEX(tblBilling[Customer Name],$N169),CHOOSE(MIN(MAX($O169,0),7)+1,"","TOTAL","","Total Customers: "&amp;PC_Count,"Total Recovered: "&amp;CFG_CurrencySymbol&amp;" "&amp;TEXT(PC_TotalPaid,"#,##0"),"","Collector Signature: ____________",""))</f>
        <v/>
      </c>
      <c r="D169" s="53">
        <f>IF($N169&lt;&gt;"",INDEX(tblBilling[Full Address],$N169),CHOOSE(MIN(MAX($O169,0),7)+1,"","","","Total Billing: "&amp;CFG_CurrencySymbol&amp;" "&amp;TEXT(PC_TotalFee,"#,##0"),"Total Pending: "&amp;CFG_CurrencySymbol&amp;" "&amp;TEXT(PC_TotalBalance,"#,##0"),"","Office Verification: ____________",""))</f>
        <v/>
      </c>
      <c r="E169" s="53">
        <f>IF($N169&lt;&gt;"",INDEX(tblBilling[VLAN ID],$N169),"")</f>
        <v/>
      </c>
      <c r="F169" s="52">
        <f>IF($N169&lt;&gt;"",INDEX(tblBilling[Due Date],$N169),"")</f>
        <v/>
      </c>
      <c r="G169" s="54">
        <f>IF($N169&lt;&gt;"",INDEX(tblBilling[Monthly Fee],$N169),IF($O169=1,PC_TotalFee,""))</f>
        <v/>
      </c>
      <c r="H169" s="54">
        <f>IF($N169&lt;&gt;"",INDEX(tblBilling[Amount Paid],$N169),IF($O169=1,PC_TotalPaid,""))</f>
        <v/>
      </c>
      <c r="I169" s="54">
        <f>IF($N169&lt;&gt;"",INDEX(tblBilling[Balance],$N169),IF($O169=1,PC_TotalBalance,""))</f>
        <v/>
      </c>
      <c r="J169" s="53">
        <f>IF($N169&lt;&gt;"",INDEX(tblBilling[Payment Status],$N169),"")</f>
        <v/>
      </c>
      <c r="K169" s="55">
        <f>IF($N169&lt;&gt;"",IF(INDEX(tblBilling[Last Payment Date],$N169)="","",INDEX(tblBilling[Last Payment Date],$N169)),"")</f>
        <v/>
      </c>
      <c r="L169" s="53">
        <f>IF($N169&lt;&gt;"",INDEX(tblBilling[Collector Name],$N169),"")</f>
        <v/>
      </c>
      <c r="N169">
        <f>IF(N168="","",IFERROR(N168+MATCH(1,INDEX(tblBilling[Print Match],N168+1):INDEX(tblBilling[Print Match],ROWS(tblBilling[Print Match])),0),""))</f>
        <v/>
      </c>
      <c r="O169">
        <f>ROW()-9-MIN(PC_Count,500)</f>
        <v/>
      </c>
    </row>
    <row r="170" ht="20" customHeight="1">
      <c r="A170" s="52">
        <f>IF($N170="","",ROW()-9)</f>
        <v/>
      </c>
      <c r="B170" s="53">
        <f>IF($N170&lt;&gt;"",INDEX(tblBilling[Customer ID],$N170),"")</f>
        <v/>
      </c>
      <c r="C170" s="53">
        <f>IF($N170&lt;&gt;"",INDEX(tblBilling[Customer Name],$N170),CHOOSE(MIN(MAX($O170,0),7)+1,"","TOTAL","","Total Customers: "&amp;PC_Count,"Total Recovered: "&amp;CFG_CurrencySymbol&amp;" "&amp;TEXT(PC_TotalPaid,"#,##0"),"","Collector Signature: ____________",""))</f>
        <v/>
      </c>
      <c r="D170" s="53">
        <f>IF($N170&lt;&gt;"",INDEX(tblBilling[Full Address],$N170),CHOOSE(MIN(MAX($O170,0),7)+1,"","","","Total Billing: "&amp;CFG_CurrencySymbol&amp;" "&amp;TEXT(PC_TotalFee,"#,##0"),"Total Pending: "&amp;CFG_CurrencySymbol&amp;" "&amp;TEXT(PC_TotalBalance,"#,##0"),"","Office Verification: ____________",""))</f>
        <v/>
      </c>
      <c r="E170" s="53">
        <f>IF($N170&lt;&gt;"",INDEX(tblBilling[VLAN ID],$N170),"")</f>
        <v/>
      </c>
      <c r="F170" s="52">
        <f>IF($N170&lt;&gt;"",INDEX(tblBilling[Due Date],$N170),"")</f>
        <v/>
      </c>
      <c r="G170" s="54">
        <f>IF($N170&lt;&gt;"",INDEX(tblBilling[Monthly Fee],$N170),IF($O170=1,PC_TotalFee,""))</f>
        <v/>
      </c>
      <c r="H170" s="54">
        <f>IF($N170&lt;&gt;"",INDEX(tblBilling[Amount Paid],$N170),IF($O170=1,PC_TotalPaid,""))</f>
        <v/>
      </c>
      <c r="I170" s="54">
        <f>IF($N170&lt;&gt;"",INDEX(tblBilling[Balance],$N170),IF($O170=1,PC_TotalBalance,""))</f>
        <v/>
      </c>
      <c r="J170" s="53">
        <f>IF($N170&lt;&gt;"",INDEX(tblBilling[Payment Status],$N170),"")</f>
        <v/>
      </c>
      <c r="K170" s="55">
        <f>IF($N170&lt;&gt;"",IF(INDEX(tblBilling[Last Payment Date],$N170)="","",INDEX(tblBilling[Last Payment Date],$N170)),"")</f>
        <v/>
      </c>
      <c r="L170" s="53">
        <f>IF($N170&lt;&gt;"",INDEX(tblBilling[Collector Name],$N170),"")</f>
        <v/>
      </c>
      <c r="N170">
        <f>IF(N169="","",IFERROR(N169+MATCH(1,INDEX(tblBilling[Print Match],N169+1):INDEX(tblBilling[Print Match],ROWS(tblBilling[Print Match])),0),""))</f>
        <v/>
      </c>
      <c r="O170">
        <f>ROW()-9-MIN(PC_Count,500)</f>
        <v/>
      </c>
    </row>
    <row r="171" ht="20" customHeight="1">
      <c r="A171" s="52">
        <f>IF($N171="","",ROW()-9)</f>
        <v/>
      </c>
      <c r="B171" s="53">
        <f>IF($N171&lt;&gt;"",INDEX(tblBilling[Customer ID],$N171),"")</f>
        <v/>
      </c>
      <c r="C171" s="53">
        <f>IF($N171&lt;&gt;"",INDEX(tblBilling[Customer Name],$N171),CHOOSE(MIN(MAX($O171,0),7)+1,"","TOTAL","","Total Customers: "&amp;PC_Count,"Total Recovered: "&amp;CFG_CurrencySymbol&amp;" "&amp;TEXT(PC_TotalPaid,"#,##0"),"","Collector Signature: ____________",""))</f>
        <v/>
      </c>
      <c r="D171" s="53">
        <f>IF($N171&lt;&gt;"",INDEX(tblBilling[Full Address],$N171),CHOOSE(MIN(MAX($O171,0),7)+1,"","","","Total Billing: "&amp;CFG_CurrencySymbol&amp;" "&amp;TEXT(PC_TotalFee,"#,##0"),"Total Pending: "&amp;CFG_CurrencySymbol&amp;" "&amp;TEXT(PC_TotalBalance,"#,##0"),"","Office Verification: ____________",""))</f>
        <v/>
      </c>
      <c r="E171" s="53">
        <f>IF($N171&lt;&gt;"",INDEX(tblBilling[VLAN ID],$N171),"")</f>
        <v/>
      </c>
      <c r="F171" s="52">
        <f>IF($N171&lt;&gt;"",INDEX(tblBilling[Due Date],$N171),"")</f>
        <v/>
      </c>
      <c r="G171" s="54">
        <f>IF($N171&lt;&gt;"",INDEX(tblBilling[Monthly Fee],$N171),IF($O171=1,PC_TotalFee,""))</f>
        <v/>
      </c>
      <c r="H171" s="54">
        <f>IF($N171&lt;&gt;"",INDEX(tblBilling[Amount Paid],$N171),IF($O171=1,PC_TotalPaid,""))</f>
        <v/>
      </c>
      <c r="I171" s="54">
        <f>IF($N171&lt;&gt;"",INDEX(tblBilling[Balance],$N171),IF($O171=1,PC_TotalBalance,""))</f>
        <v/>
      </c>
      <c r="J171" s="53">
        <f>IF($N171&lt;&gt;"",INDEX(tblBilling[Payment Status],$N171),"")</f>
        <v/>
      </c>
      <c r="K171" s="55">
        <f>IF($N171&lt;&gt;"",IF(INDEX(tblBilling[Last Payment Date],$N171)="","",INDEX(tblBilling[Last Payment Date],$N171)),"")</f>
        <v/>
      </c>
      <c r="L171" s="53">
        <f>IF($N171&lt;&gt;"",INDEX(tblBilling[Collector Name],$N171),"")</f>
        <v/>
      </c>
      <c r="N171">
        <f>IF(N170="","",IFERROR(N170+MATCH(1,INDEX(tblBilling[Print Match],N170+1):INDEX(tblBilling[Print Match],ROWS(tblBilling[Print Match])),0),""))</f>
        <v/>
      </c>
      <c r="O171">
        <f>ROW()-9-MIN(PC_Count,500)</f>
        <v/>
      </c>
    </row>
    <row r="172" ht="20" customHeight="1">
      <c r="A172" s="52">
        <f>IF($N172="","",ROW()-9)</f>
        <v/>
      </c>
      <c r="B172" s="53">
        <f>IF($N172&lt;&gt;"",INDEX(tblBilling[Customer ID],$N172),"")</f>
        <v/>
      </c>
      <c r="C172" s="53">
        <f>IF($N172&lt;&gt;"",INDEX(tblBilling[Customer Name],$N172),CHOOSE(MIN(MAX($O172,0),7)+1,"","TOTAL","","Total Customers: "&amp;PC_Count,"Total Recovered: "&amp;CFG_CurrencySymbol&amp;" "&amp;TEXT(PC_TotalPaid,"#,##0"),"","Collector Signature: ____________",""))</f>
        <v/>
      </c>
      <c r="D172" s="53">
        <f>IF($N172&lt;&gt;"",INDEX(tblBilling[Full Address],$N172),CHOOSE(MIN(MAX($O172,0),7)+1,"","","","Total Billing: "&amp;CFG_CurrencySymbol&amp;" "&amp;TEXT(PC_TotalFee,"#,##0"),"Total Pending: "&amp;CFG_CurrencySymbol&amp;" "&amp;TEXT(PC_TotalBalance,"#,##0"),"","Office Verification: ____________",""))</f>
        <v/>
      </c>
      <c r="E172" s="53">
        <f>IF($N172&lt;&gt;"",INDEX(tblBilling[VLAN ID],$N172),"")</f>
        <v/>
      </c>
      <c r="F172" s="52">
        <f>IF($N172&lt;&gt;"",INDEX(tblBilling[Due Date],$N172),"")</f>
        <v/>
      </c>
      <c r="G172" s="54">
        <f>IF($N172&lt;&gt;"",INDEX(tblBilling[Monthly Fee],$N172),IF($O172=1,PC_TotalFee,""))</f>
        <v/>
      </c>
      <c r="H172" s="54">
        <f>IF($N172&lt;&gt;"",INDEX(tblBilling[Amount Paid],$N172),IF($O172=1,PC_TotalPaid,""))</f>
        <v/>
      </c>
      <c r="I172" s="54">
        <f>IF($N172&lt;&gt;"",INDEX(tblBilling[Balance],$N172),IF($O172=1,PC_TotalBalance,""))</f>
        <v/>
      </c>
      <c r="J172" s="53">
        <f>IF($N172&lt;&gt;"",INDEX(tblBilling[Payment Status],$N172),"")</f>
        <v/>
      </c>
      <c r="K172" s="55">
        <f>IF($N172&lt;&gt;"",IF(INDEX(tblBilling[Last Payment Date],$N172)="","",INDEX(tblBilling[Last Payment Date],$N172)),"")</f>
        <v/>
      </c>
      <c r="L172" s="53">
        <f>IF($N172&lt;&gt;"",INDEX(tblBilling[Collector Name],$N172),"")</f>
        <v/>
      </c>
      <c r="N172">
        <f>IF(N171="","",IFERROR(N171+MATCH(1,INDEX(tblBilling[Print Match],N171+1):INDEX(tblBilling[Print Match],ROWS(tblBilling[Print Match])),0),""))</f>
        <v/>
      </c>
      <c r="O172">
        <f>ROW()-9-MIN(PC_Count,500)</f>
        <v/>
      </c>
    </row>
    <row r="173" ht="20" customHeight="1">
      <c r="A173" s="52">
        <f>IF($N173="","",ROW()-9)</f>
        <v/>
      </c>
      <c r="B173" s="53">
        <f>IF($N173&lt;&gt;"",INDEX(tblBilling[Customer ID],$N173),"")</f>
        <v/>
      </c>
      <c r="C173" s="53">
        <f>IF($N173&lt;&gt;"",INDEX(tblBilling[Customer Name],$N173),CHOOSE(MIN(MAX($O173,0),7)+1,"","TOTAL","","Total Customers: "&amp;PC_Count,"Total Recovered: "&amp;CFG_CurrencySymbol&amp;" "&amp;TEXT(PC_TotalPaid,"#,##0"),"","Collector Signature: ____________",""))</f>
        <v/>
      </c>
      <c r="D173" s="53">
        <f>IF($N173&lt;&gt;"",INDEX(tblBilling[Full Address],$N173),CHOOSE(MIN(MAX($O173,0),7)+1,"","","","Total Billing: "&amp;CFG_CurrencySymbol&amp;" "&amp;TEXT(PC_TotalFee,"#,##0"),"Total Pending: "&amp;CFG_CurrencySymbol&amp;" "&amp;TEXT(PC_TotalBalance,"#,##0"),"","Office Verification: ____________",""))</f>
        <v/>
      </c>
      <c r="E173" s="53">
        <f>IF($N173&lt;&gt;"",INDEX(tblBilling[VLAN ID],$N173),"")</f>
        <v/>
      </c>
      <c r="F173" s="52">
        <f>IF($N173&lt;&gt;"",INDEX(tblBilling[Due Date],$N173),"")</f>
        <v/>
      </c>
      <c r="G173" s="54">
        <f>IF($N173&lt;&gt;"",INDEX(tblBilling[Monthly Fee],$N173),IF($O173=1,PC_TotalFee,""))</f>
        <v/>
      </c>
      <c r="H173" s="54">
        <f>IF($N173&lt;&gt;"",INDEX(tblBilling[Amount Paid],$N173),IF($O173=1,PC_TotalPaid,""))</f>
        <v/>
      </c>
      <c r="I173" s="54">
        <f>IF($N173&lt;&gt;"",INDEX(tblBilling[Balance],$N173),IF($O173=1,PC_TotalBalance,""))</f>
        <v/>
      </c>
      <c r="J173" s="53">
        <f>IF($N173&lt;&gt;"",INDEX(tblBilling[Payment Status],$N173),"")</f>
        <v/>
      </c>
      <c r="K173" s="55">
        <f>IF($N173&lt;&gt;"",IF(INDEX(tblBilling[Last Payment Date],$N173)="","",INDEX(tblBilling[Last Payment Date],$N173)),"")</f>
        <v/>
      </c>
      <c r="L173" s="53">
        <f>IF($N173&lt;&gt;"",INDEX(tblBilling[Collector Name],$N173),"")</f>
        <v/>
      </c>
      <c r="N173">
        <f>IF(N172="","",IFERROR(N172+MATCH(1,INDEX(tblBilling[Print Match],N172+1):INDEX(tblBilling[Print Match],ROWS(tblBilling[Print Match])),0),""))</f>
        <v/>
      </c>
      <c r="O173">
        <f>ROW()-9-MIN(PC_Count,500)</f>
        <v/>
      </c>
    </row>
    <row r="174" ht="20" customHeight="1">
      <c r="A174" s="52">
        <f>IF($N174="","",ROW()-9)</f>
        <v/>
      </c>
      <c r="B174" s="53">
        <f>IF($N174&lt;&gt;"",INDEX(tblBilling[Customer ID],$N174),"")</f>
        <v/>
      </c>
      <c r="C174" s="53">
        <f>IF($N174&lt;&gt;"",INDEX(tblBilling[Customer Name],$N174),CHOOSE(MIN(MAX($O174,0),7)+1,"","TOTAL","","Total Customers: "&amp;PC_Count,"Total Recovered: "&amp;CFG_CurrencySymbol&amp;" "&amp;TEXT(PC_TotalPaid,"#,##0"),"","Collector Signature: ____________",""))</f>
        <v/>
      </c>
      <c r="D174" s="53">
        <f>IF($N174&lt;&gt;"",INDEX(tblBilling[Full Address],$N174),CHOOSE(MIN(MAX($O174,0),7)+1,"","","","Total Billing: "&amp;CFG_CurrencySymbol&amp;" "&amp;TEXT(PC_TotalFee,"#,##0"),"Total Pending: "&amp;CFG_CurrencySymbol&amp;" "&amp;TEXT(PC_TotalBalance,"#,##0"),"","Office Verification: ____________",""))</f>
        <v/>
      </c>
      <c r="E174" s="53">
        <f>IF($N174&lt;&gt;"",INDEX(tblBilling[VLAN ID],$N174),"")</f>
        <v/>
      </c>
      <c r="F174" s="52">
        <f>IF($N174&lt;&gt;"",INDEX(tblBilling[Due Date],$N174),"")</f>
        <v/>
      </c>
      <c r="G174" s="54">
        <f>IF($N174&lt;&gt;"",INDEX(tblBilling[Monthly Fee],$N174),IF($O174=1,PC_TotalFee,""))</f>
        <v/>
      </c>
      <c r="H174" s="54">
        <f>IF($N174&lt;&gt;"",INDEX(tblBilling[Amount Paid],$N174),IF($O174=1,PC_TotalPaid,""))</f>
        <v/>
      </c>
      <c r="I174" s="54">
        <f>IF($N174&lt;&gt;"",INDEX(tblBilling[Balance],$N174),IF($O174=1,PC_TotalBalance,""))</f>
        <v/>
      </c>
      <c r="J174" s="53">
        <f>IF($N174&lt;&gt;"",INDEX(tblBilling[Payment Status],$N174),"")</f>
        <v/>
      </c>
      <c r="K174" s="55">
        <f>IF($N174&lt;&gt;"",IF(INDEX(tblBilling[Last Payment Date],$N174)="","",INDEX(tblBilling[Last Payment Date],$N174)),"")</f>
        <v/>
      </c>
      <c r="L174" s="53">
        <f>IF($N174&lt;&gt;"",INDEX(tblBilling[Collector Name],$N174),"")</f>
        <v/>
      </c>
      <c r="N174">
        <f>IF(N173="","",IFERROR(N173+MATCH(1,INDEX(tblBilling[Print Match],N173+1):INDEX(tblBilling[Print Match],ROWS(tblBilling[Print Match])),0),""))</f>
        <v/>
      </c>
      <c r="O174">
        <f>ROW()-9-MIN(PC_Count,500)</f>
        <v/>
      </c>
    </row>
    <row r="175" ht="20" customHeight="1">
      <c r="A175" s="52">
        <f>IF($N175="","",ROW()-9)</f>
        <v/>
      </c>
      <c r="B175" s="53">
        <f>IF($N175&lt;&gt;"",INDEX(tblBilling[Customer ID],$N175),"")</f>
        <v/>
      </c>
      <c r="C175" s="53">
        <f>IF($N175&lt;&gt;"",INDEX(tblBilling[Customer Name],$N175),CHOOSE(MIN(MAX($O175,0),7)+1,"","TOTAL","","Total Customers: "&amp;PC_Count,"Total Recovered: "&amp;CFG_CurrencySymbol&amp;" "&amp;TEXT(PC_TotalPaid,"#,##0"),"","Collector Signature: ____________",""))</f>
        <v/>
      </c>
      <c r="D175" s="53">
        <f>IF($N175&lt;&gt;"",INDEX(tblBilling[Full Address],$N175),CHOOSE(MIN(MAX($O175,0),7)+1,"","","","Total Billing: "&amp;CFG_CurrencySymbol&amp;" "&amp;TEXT(PC_TotalFee,"#,##0"),"Total Pending: "&amp;CFG_CurrencySymbol&amp;" "&amp;TEXT(PC_TotalBalance,"#,##0"),"","Office Verification: ____________",""))</f>
        <v/>
      </c>
      <c r="E175" s="53">
        <f>IF($N175&lt;&gt;"",INDEX(tblBilling[VLAN ID],$N175),"")</f>
        <v/>
      </c>
      <c r="F175" s="52">
        <f>IF($N175&lt;&gt;"",INDEX(tblBilling[Due Date],$N175),"")</f>
        <v/>
      </c>
      <c r="G175" s="54">
        <f>IF($N175&lt;&gt;"",INDEX(tblBilling[Monthly Fee],$N175),IF($O175=1,PC_TotalFee,""))</f>
        <v/>
      </c>
      <c r="H175" s="54">
        <f>IF($N175&lt;&gt;"",INDEX(tblBilling[Amount Paid],$N175),IF($O175=1,PC_TotalPaid,""))</f>
        <v/>
      </c>
      <c r="I175" s="54">
        <f>IF($N175&lt;&gt;"",INDEX(tblBilling[Balance],$N175),IF($O175=1,PC_TotalBalance,""))</f>
        <v/>
      </c>
      <c r="J175" s="53">
        <f>IF($N175&lt;&gt;"",INDEX(tblBilling[Payment Status],$N175),"")</f>
        <v/>
      </c>
      <c r="K175" s="55">
        <f>IF($N175&lt;&gt;"",IF(INDEX(tblBilling[Last Payment Date],$N175)="","",INDEX(tblBilling[Last Payment Date],$N175)),"")</f>
        <v/>
      </c>
      <c r="L175" s="53">
        <f>IF($N175&lt;&gt;"",INDEX(tblBilling[Collector Name],$N175),"")</f>
        <v/>
      </c>
      <c r="N175">
        <f>IF(N174="","",IFERROR(N174+MATCH(1,INDEX(tblBilling[Print Match],N174+1):INDEX(tblBilling[Print Match],ROWS(tblBilling[Print Match])),0),""))</f>
        <v/>
      </c>
      <c r="O175">
        <f>ROW()-9-MIN(PC_Count,500)</f>
        <v/>
      </c>
    </row>
    <row r="176" ht="20" customHeight="1">
      <c r="A176" s="52">
        <f>IF($N176="","",ROW()-9)</f>
        <v/>
      </c>
      <c r="B176" s="53">
        <f>IF($N176&lt;&gt;"",INDEX(tblBilling[Customer ID],$N176),"")</f>
        <v/>
      </c>
      <c r="C176" s="53">
        <f>IF($N176&lt;&gt;"",INDEX(tblBilling[Customer Name],$N176),CHOOSE(MIN(MAX($O176,0),7)+1,"","TOTAL","","Total Customers: "&amp;PC_Count,"Total Recovered: "&amp;CFG_CurrencySymbol&amp;" "&amp;TEXT(PC_TotalPaid,"#,##0"),"","Collector Signature: ____________",""))</f>
        <v/>
      </c>
      <c r="D176" s="53">
        <f>IF($N176&lt;&gt;"",INDEX(tblBilling[Full Address],$N176),CHOOSE(MIN(MAX($O176,0),7)+1,"","","","Total Billing: "&amp;CFG_CurrencySymbol&amp;" "&amp;TEXT(PC_TotalFee,"#,##0"),"Total Pending: "&amp;CFG_CurrencySymbol&amp;" "&amp;TEXT(PC_TotalBalance,"#,##0"),"","Office Verification: ____________",""))</f>
        <v/>
      </c>
      <c r="E176" s="53">
        <f>IF($N176&lt;&gt;"",INDEX(tblBilling[VLAN ID],$N176),"")</f>
        <v/>
      </c>
      <c r="F176" s="52">
        <f>IF($N176&lt;&gt;"",INDEX(tblBilling[Due Date],$N176),"")</f>
        <v/>
      </c>
      <c r="G176" s="54">
        <f>IF($N176&lt;&gt;"",INDEX(tblBilling[Monthly Fee],$N176),IF($O176=1,PC_TotalFee,""))</f>
        <v/>
      </c>
      <c r="H176" s="54">
        <f>IF($N176&lt;&gt;"",INDEX(tblBilling[Amount Paid],$N176),IF($O176=1,PC_TotalPaid,""))</f>
        <v/>
      </c>
      <c r="I176" s="54">
        <f>IF($N176&lt;&gt;"",INDEX(tblBilling[Balance],$N176),IF($O176=1,PC_TotalBalance,""))</f>
        <v/>
      </c>
      <c r="J176" s="53">
        <f>IF($N176&lt;&gt;"",INDEX(tblBilling[Payment Status],$N176),"")</f>
        <v/>
      </c>
      <c r="K176" s="55">
        <f>IF($N176&lt;&gt;"",IF(INDEX(tblBilling[Last Payment Date],$N176)="","",INDEX(tblBilling[Last Payment Date],$N176)),"")</f>
        <v/>
      </c>
      <c r="L176" s="53">
        <f>IF($N176&lt;&gt;"",INDEX(tblBilling[Collector Name],$N176),"")</f>
        <v/>
      </c>
      <c r="N176">
        <f>IF(N175="","",IFERROR(N175+MATCH(1,INDEX(tblBilling[Print Match],N175+1):INDEX(tblBilling[Print Match],ROWS(tblBilling[Print Match])),0),""))</f>
        <v/>
      </c>
      <c r="O176">
        <f>ROW()-9-MIN(PC_Count,500)</f>
        <v/>
      </c>
    </row>
    <row r="177" ht="20" customHeight="1">
      <c r="A177" s="52">
        <f>IF($N177="","",ROW()-9)</f>
        <v/>
      </c>
      <c r="B177" s="53">
        <f>IF($N177&lt;&gt;"",INDEX(tblBilling[Customer ID],$N177),"")</f>
        <v/>
      </c>
      <c r="C177" s="53">
        <f>IF($N177&lt;&gt;"",INDEX(tblBilling[Customer Name],$N177),CHOOSE(MIN(MAX($O177,0),7)+1,"","TOTAL","","Total Customers: "&amp;PC_Count,"Total Recovered: "&amp;CFG_CurrencySymbol&amp;" "&amp;TEXT(PC_TotalPaid,"#,##0"),"","Collector Signature: ____________",""))</f>
        <v/>
      </c>
      <c r="D177" s="53">
        <f>IF($N177&lt;&gt;"",INDEX(tblBilling[Full Address],$N177),CHOOSE(MIN(MAX($O177,0),7)+1,"","","","Total Billing: "&amp;CFG_CurrencySymbol&amp;" "&amp;TEXT(PC_TotalFee,"#,##0"),"Total Pending: "&amp;CFG_CurrencySymbol&amp;" "&amp;TEXT(PC_TotalBalance,"#,##0"),"","Office Verification: ____________",""))</f>
        <v/>
      </c>
      <c r="E177" s="53">
        <f>IF($N177&lt;&gt;"",INDEX(tblBilling[VLAN ID],$N177),"")</f>
        <v/>
      </c>
      <c r="F177" s="52">
        <f>IF($N177&lt;&gt;"",INDEX(tblBilling[Due Date],$N177),"")</f>
        <v/>
      </c>
      <c r="G177" s="54">
        <f>IF($N177&lt;&gt;"",INDEX(tblBilling[Monthly Fee],$N177),IF($O177=1,PC_TotalFee,""))</f>
        <v/>
      </c>
      <c r="H177" s="54">
        <f>IF($N177&lt;&gt;"",INDEX(tblBilling[Amount Paid],$N177),IF($O177=1,PC_TotalPaid,""))</f>
        <v/>
      </c>
      <c r="I177" s="54">
        <f>IF($N177&lt;&gt;"",INDEX(tblBilling[Balance],$N177),IF($O177=1,PC_TotalBalance,""))</f>
        <v/>
      </c>
      <c r="J177" s="53">
        <f>IF($N177&lt;&gt;"",INDEX(tblBilling[Payment Status],$N177),"")</f>
        <v/>
      </c>
      <c r="K177" s="55">
        <f>IF($N177&lt;&gt;"",IF(INDEX(tblBilling[Last Payment Date],$N177)="","",INDEX(tblBilling[Last Payment Date],$N177)),"")</f>
        <v/>
      </c>
      <c r="L177" s="53">
        <f>IF($N177&lt;&gt;"",INDEX(tblBilling[Collector Name],$N177),"")</f>
        <v/>
      </c>
      <c r="N177">
        <f>IF(N176="","",IFERROR(N176+MATCH(1,INDEX(tblBilling[Print Match],N176+1):INDEX(tblBilling[Print Match],ROWS(tblBilling[Print Match])),0),""))</f>
        <v/>
      </c>
      <c r="O177">
        <f>ROW()-9-MIN(PC_Count,500)</f>
        <v/>
      </c>
    </row>
    <row r="178" ht="20" customHeight="1">
      <c r="A178" s="52">
        <f>IF($N178="","",ROW()-9)</f>
        <v/>
      </c>
      <c r="B178" s="53">
        <f>IF($N178&lt;&gt;"",INDEX(tblBilling[Customer ID],$N178),"")</f>
        <v/>
      </c>
      <c r="C178" s="53">
        <f>IF($N178&lt;&gt;"",INDEX(tblBilling[Customer Name],$N178),CHOOSE(MIN(MAX($O178,0),7)+1,"","TOTAL","","Total Customers: "&amp;PC_Count,"Total Recovered: "&amp;CFG_CurrencySymbol&amp;" "&amp;TEXT(PC_TotalPaid,"#,##0"),"","Collector Signature: ____________",""))</f>
        <v/>
      </c>
      <c r="D178" s="53">
        <f>IF($N178&lt;&gt;"",INDEX(tblBilling[Full Address],$N178),CHOOSE(MIN(MAX($O178,0),7)+1,"","","","Total Billing: "&amp;CFG_CurrencySymbol&amp;" "&amp;TEXT(PC_TotalFee,"#,##0"),"Total Pending: "&amp;CFG_CurrencySymbol&amp;" "&amp;TEXT(PC_TotalBalance,"#,##0"),"","Office Verification: ____________",""))</f>
        <v/>
      </c>
      <c r="E178" s="53">
        <f>IF($N178&lt;&gt;"",INDEX(tblBilling[VLAN ID],$N178),"")</f>
        <v/>
      </c>
      <c r="F178" s="52">
        <f>IF($N178&lt;&gt;"",INDEX(tblBilling[Due Date],$N178),"")</f>
        <v/>
      </c>
      <c r="G178" s="54">
        <f>IF($N178&lt;&gt;"",INDEX(tblBilling[Monthly Fee],$N178),IF($O178=1,PC_TotalFee,""))</f>
        <v/>
      </c>
      <c r="H178" s="54">
        <f>IF($N178&lt;&gt;"",INDEX(tblBilling[Amount Paid],$N178),IF($O178=1,PC_TotalPaid,""))</f>
        <v/>
      </c>
      <c r="I178" s="54">
        <f>IF($N178&lt;&gt;"",INDEX(tblBilling[Balance],$N178),IF($O178=1,PC_TotalBalance,""))</f>
        <v/>
      </c>
      <c r="J178" s="53">
        <f>IF($N178&lt;&gt;"",INDEX(tblBilling[Payment Status],$N178),"")</f>
        <v/>
      </c>
      <c r="K178" s="55">
        <f>IF($N178&lt;&gt;"",IF(INDEX(tblBilling[Last Payment Date],$N178)="","",INDEX(tblBilling[Last Payment Date],$N178)),"")</f>
        <v/>
      </c>
      <c r="L178" s="53">
        <f>IF($N178&lt;&gt;"",INDEX(tblBilling[Collector Name],$N178),"")</f>
        <v/>
      </c>
      <c r="N178">
        <f>IF(N177="","",IFERROR(N177+MATCH(1,INDEX(tblBilling[Print Match],N177+1):INDEX(tblBilling[Print Match],ROWS(tblBilling[Print Match])),0),""))</f>
        <v/>
      </c>
      <c r="O178">
        <f>ROW()-9-MIN(PC_Count,500)</f>
        <v/>
      </c>
    </row>
    <row r="179" ht="20" customHeight="1">
      <c r="A179" s="52">
        <f>IF($N179="","",ROW()-9)</f>
        <v/>
      </c>
      <c r="B179" s="53">
        <f>IF($N179&lt;&gt;"",INDEX(tblBilling[Customer ID],$N179),"")</f>
        <v/>
      </c>
      <c r="C179" s="53">
        <f>IF($N179&lt;&gt;"",INDEX(tblBilling[Customer Name],$N179),CHOOSE(MIN(MAX($O179,0),7)+1,"","TOTAL","","Total Customers: "&amp;PC_Count,"Total Recovered: "&amp;CFG_CurrencySymbol&amp;" "&amp;TEXT(PC_TotalPaid,"#,##0"),"","Collector Signature: ____________",""))</f>
        <v/>
      </c>
      <c r="D179" s="53">
        <f>IF($N179&lt;&gt;"",INDEX(tblBilling[Full Address],$N179),CHOOSE(MIN(MAX($O179,0),7)+1,"","","","Total Billing: "&amp;CFG_CurrencySymbol&amp;" "&amp;TEXT(PC_TotalFee,"#,##0"),"Total Pending: "&amp;CFG_CurrencySymbol&amp;" "&amp;TEXT(PC_TotalBalance,"#,##0"),"","Office Verification: ____________",""))</f>
        <v/>
      </c>
      <c r="E179" s="53">
        <f>IF($N179&lt;&gt;"",INDEX(tblBilling[VLAN ID],$N179),"")</f>
        <v/>
      </c>
      <c r="F179" s="52">
        <f>IF($N179&lt;&gt;"",INDEX(tblBilling[Due Date],$N179),"")</f>
        <v/>
      </c>
      <c r="G179" s="54">
        <f>IF($N179&lt;&gt;"",INDEX(tblBilling[Monthly Fee],$N179),IF($O179=1,PC_TotalFee,""))</f>
        <v/>
      </c>
      <c r="H179" s="54">
        <f>IF($N179&lt;&gt;"",INDEX(tblBilling[Amount Paid],$N179),IF($O179=1,PC_TotalPaid,""))</f>
        <v/>
      </c>
      <c r="I179" s="54">
        <f>IF($N179&lt;&gt;"",INDEX(tblBilling[Balance],$N179),IF($O179=1,PC_TotalBalance,""))</f>
        <v/>
      </c>
      <c r="J179" s="53">
        <f>IF($N179&lt;&gt;"",INDEX(tblBilling[Payment Status],$N179),"")</f>
        <v/>
      </c>
      <c r="K179" s="55">
        <f>IF($N179&lt;&gt;"",IF(INDEX(tblBilling[Last Payment Date],$N179)="","",INDEX(tblBilling[Last Payment Date],$N179)),"")</f>
        <v/>
      </c>
      <c r="L179" s="53">
        <f>IF($N179&lt;&gt;"",INDEX(tblBilling[Collector Name],$N179),"")</f>
        <v/>
      </c>
      <c r="N179">
        <f>IF(N178="","",IFERROR(N178+MATCH(1,INDEX(tblBilling[Print Match],N178+1):INDEX(tblBilling[Print Match],ROWS(tblBilling[Print Match])),0),""))</f>
        <v/>
      </c>
      <c r="O179">
        <f>ROW()-9-MIN(PC_Count,500)</f>
        <v/>
      </c>
    </row>
    <row r="180" ht="20" customHeight="1">
      <c r="A180" s="52">
        <f>IF($N180="","",ROW()-9)</f>
        <v/>
      </c>
      <c r="B180" s="53">
        <f>IF($N180&lt;&gt;"",INDEX(tblBilling[Customer ID],$N180),"")</f>
        <v/>
      </c>
      <c r="C180" s="53">
        <f>IF($N180&lt;&gt;"",INDEX(tblBilling[Customer Name],$N180),CHOOSE(MIN(MAX($O180,0),7)+1,"","TOTAL","","Total Customers: "&amp;PC_Count,"Total Recovered: "&amp;CFG_CurrencySymbol&amp;" "&amp;TEXT(PC_TotalPaid,"#,##0"),"","Collector Signature: ____________",""))</f>
        <v/>
      </c>
      <c r="D180" s="53">
        <f>IF($N180&lt;&gt;"",INDEX(tblBilling[Full Address],$N180),CHOOSE(MIN(MAX($O180,0),7)+1,"","","","Total Billing: "&amp;CFG_CurrencySymbol&amp;" "&amp;TEXT(PC_TotalFee,"#,##0"),"Total Pending: "&amp;CFG_CurrencySymbol&amp;" "&amp;TEXT(PC_TotalBalance,"#,##0"),"","Office Verification: ____________",""))</f>
        <v/>
      </c>
      <c r="E180" s="53">
        <f>IF($N180&lt;&gt;"",INDEX(tblBilling[VLAN ID],$N180),"")</f>
        <v/>
      </c>
      <c r="F180" s="52">
        <f>IF($N180&lt;&gt;"",INDEX(tblBilling[Due Date],$N180),"")</f>
        <v/>
      </c>
      <c r="G180" s="54">
        <f>IF($N180&lt;&gt;"",INDEX(tblBilling[Monthly Fee],$N180),IF($O180=1,PC_TotalFee,""))</f>
        <v/>
      </c>
      <c r="H180" s="54">
        <f>IF($N180&lt;&gt;"",INDEX(tblBilling[Amount Paid],$N180),IF($O180=1,PC_TotalPaid,""))</f>
        <v/>
      </c>
      <c r="I180" s="54">
        <f>IF($N180&lt;&gt;"",INDEX(tblBilling[Balance],$N180),IF($O180=1,PC_TotalBalance,""))</f>
        <v/>
      </c>
      <c r="J180" s="53">
        <f>IF($N180&lt;&gt;"",INDEX(tblBilling[Payment Status],$N180),"")</f>
        <v/>
      </c>
      <c r="K180" s="55">
        <f>IF($N180&lt;&gt;"",IF(INDEX(tblBilling[Last Payment Date],$N180)="","",INDEX(tblBilling[Last Payment Date],$N180)),"")</f>
        <v/>
      </c>
      <c r="L180" s="53">
        <f>IF($N180&lt;&gt;"",INDEX(tblBilling[Collector Name],$N180),"")</f>
        <v/>
      </c>
      <c r="N180">
        <f>IF(N179="","",IFERROR(N179+MATCH(1,INDEX(tblBilling[Print Match],N179+1):INDEX(tblBilling[Print Match],ROWS(tblBilling[Print Match])),0),""))</f>
        <v/>
      </c>
      <c r="O180">
        <f>ROW()-9-MIN(PC_Count,500)</f>
        <v/>
      </c>
    </row>
    <row r="181" ht="20" customHeight="1">
      <c r="A181" s="52">
        <f>IF($N181="","",ROW()-9)</f>
        <v/>
      </c>
      <c r="B181" s="53">
        <f>IF($N181&lt;&gt;"",INDEX(tblBilling[Customer ID],$N181),"")</f>
        <v/>
      </c>
      <c r="C181" s="53">
        <f>IF($N181&lt;&gt;"",INDEX(tblBilling[Customer Name],$N181),CHOOSE(MIN(MAX($O181,0),7)+1,"","TOTAL","","Total Customers: "&amp;PC_Count,"Total Recovered: "&amp;CFG_CurrencySymbol&amp;" "&amp;TEXT(PC_TotalPaid,"#,##0"),"","Collector Signature: ____________",""))</f>
        <v/>
      </c>
      <c r="D181" s="53">
        <f>IF($N181&lt;&gt;"",INDEX(tblBilling[Full Address],$N181),CHOOSE(MIN(MAX($O181,0),7)+1,"","","","Total Billing: "&amp;CFG_CurrencySymbol&amp;" "&amp;TEXT(PC_TotalFee,"#,##0"),"Total Pending: "&amp;CFG_CurrencySymbol&amp;" "&amp;TEXT(PC_TotalBalance,"#,##0"),"","Office Verification: ____________",""))</f>
        <v/>
      </c>
      <c r="E181" s="53">
        <f>IF($N181&lt;&gt;"",INDEX(tblBilling[VLAN ID],$N181),"")</f>
        <v/>
      </c>
      <c r="F181" s="52">
        <f>IF($N181&lt;&gt;"",INDEX(tblBilling[Due Date],$N181),"")</f>
        <v/>
      </c>
      <c r="G181" s="54">
        <f>IF($N181&lt;&gt;"",INDEX(tblBilling[Monthly Fee],$N181),IF($O181=1,PC_TotalFee,""))</f>
        <v/>
      </c>
      <c r="H181" s="54">
        <f>IF($N181&lt;&gt;"",INDEX(tblBilling[Amount Paid],$N181),IF($O181=1,PC_TotalPaid,""))</f>
        <v/>
      </c>
      <c r="I181" s="54">
        <f>IF($N181&lt;&gt;"",INDEX(tblBilling[Balance],$N181),IF($O181=1,PC_TotalBalance,""))</f>
        <v/>
      </c>
      <c r="J181" s="53">
        <f>IF($N181&lt;&gt;"",INDEX(tblBilling[Payment Status],$N181),"")</f>
        <v/>
      </c>
      <c r="K181" s="55">
        <f>IF($N181&lt;&gt;"",IF(INDEX(tblBilling[Last Payment Date],$N181)="","",INDEX(tblBilling[Last Payment Date],$N181)),"")</f>
        <v/>
      </c>
      <c r="L181" s="53">
        <f>IF($N181&lt;&gt;"",INDEX(tblBilling[Collector Name],$N181),"")</f>
        <v/>
      </c>
      <c r="N181">
        <f>IF(N180="","",IFERROR(N180+MATCH(1,INDEX(tblBilling[Print Match],N180+1):INDEX(tblBilling[Print Match],ROWS(tblBilling[Print Match])),0),""))</f>
        <v/>
      </c>
      <c r="O181">
        <f>ROW()-9-MIN(PC_Count,500)</f>
        <v/>
      </c>
    </row>
    <row r="182" ht="20" customHeight="1">
      <c r="A182" s="52">
        <f>IF($N182="","",ROW()-9)</f>
        <v/>
      </c>
      <c r="B182" s="53">
        <f>IF($N182&lt;&gt;"",INDEX(tblBilling[Customer ID],$N182),"")</f>
        <v/>
      </c>
      <c r="C182" s="53">
        <f>IF($N182&lt;&gt;"",INDEX(tblBilling[Customer Name],$N182),CHOOSE(MIN(MAX($O182,0),7)+1,"","TOTAL","","Total Customers: "&amp;PC_Count,"Total Recovered: "&amp;CFG_CurrencySymbol&amp;" "&amp;TEXT(PC_TotalPaid,"#,##0"),"","Collector Signature: ____________",""))</f>
        <v/>
      </c>
      <c r="D182" s="53">
        <f>IF($N182&lt;&gt;"",INDEX(tblBilling[Full Address],$N182),CHOOSE(MIN(MAX($O182,0),7)+1,"","","","Total Billing: "&amp;CFG_CurrencySymbol&amp;" "&amp;TEXT(PC_TotalFee,"#,##0"),"Total Pending: "&amp;CFG_CurrencySymbol&amp;" "&amp;TEXT(PC_TotalBalance,"#,##0"),"","Office Verification: ____________",""))</f>
        <v/>
      </c>
      <c r="E182" s="53">
        <f>IF($N182&lt;&gt;"",INDEX(tblBilling[VLAN ID],$N182),"")</f>
        <v/>
      </c>
      <c r="F182" s="52">
        <f>IF($N182&lt;&gt;"",INDEX(tblBilling[Due Date],$N182),"")</f>
        <v/>
      </c>
      <c r="G182" s="54">
        <f>IF($N182&lt;&gt;"",INDEX(tblBilling[Monthly Fee],$N182),IF($O182=1,PC_TotalFee,""))</f>
        <v/>
      </c>
      <c r="H182" s="54">
        <f>IF($N182&lt;&gt;"",INDEX(tblBilling[Amount Paid],$N182),IF($O182=1,PC_TotalPaid,""))</f>
        <v/>
      </c>
      <c r="I182" s="54">
        <f>IF($N182&lt;&gt;"",INDEX(tblBilling[Balance],$N182),IF($O182=1,PC_TotalBalance,""))</f>
        <v/>
      </c>
      <c r="J182" s="53">
        <f>IF($N182&lt;&gt;"",INDEX(tblBilling[Payment Status],$N182),"")</f>
        <v/>
      </c>
      <c r="K182" s="55">
        <f>IF($N182&lt;&gt;"",IF(INDEX(tblBilling[Last Payment Date],$N182)="","",INDEX(tblBilling[Last Payment Date],$N182)),"")</f>
        <v/>
      </c>
      <c r="L182" s="53">
        <f>IF($N182&lt;&gt;"",INDEX(tblBilling[Collector Name],$N182),"")</f>
        <v/>
      </c>
      <c r="N182">
        <f>IF(N181="","",IFERROR(N181+MATCH(1,INDEX(tblBilling[Print Match],N181+1):INDEX(tblBilling[Print Match],ROWS(tblBilling[Print Match])),0),""))</f>
        <v/>
      </c>
      <c r="O182">
        <f>ROW()-9-MIN(PC_Count,500)</f>
        <v/>
      </c>
    </row>
    <row r="183" ht="20" customHeight="1">
      <c r="A183" s="52">
        <f>IF($N183="","",ROW()-9)</f>
        <v/>
      </c>
      <c r="B183" s="53">
        <f>IF($N183&lt;&gt;"",INDEX(tblBilling[Customer ID],$N183),"")</f>
        <v/>
      </c>
      <c r="C183" s="53">
        <f>IF($N183&lt;&gt;"",INDEX(tblBilling[Customer Name],$N183),CHOOSE(MIN(MAX($O183,0),7)+1,"","TOTAL","","Total Customers: "&amp;PC_Count,"Total Recovered: "&amp;CFG_CurrencySymbol&amp;" "&amp;TEXT(PC_TotalPaid,"#,##0"),"","Collector Signature: ____________",""))</f>
        <v/>
      </c>
      <c r="D183" s="53">
        <f>IF($N183&lt;&gt;"",INDEX(tblBilling[Full Address],$N183),CHOOSE(MIN(MAX($O183,0),7)+1,"","","","Total Billing: "&amp;CFG_CurrencySymbol&amp;" "&amp;TEXT(PC_TotalFee,"#,##0"),"Total Pending: "&amp;CFG_CurrencySymbol&amp;" "&amp;TEXT(PC_TotalBalance,"#,##0"),"","Office Verification: ____________",""))</f>
        <v/>
      </c>
      <c r="E183" s="53">
        <f>IF($N183&lt;&gt;"",INDEX(tblBilling[VLAN ID],$N183),"")</f>
        <v/>
      </c>
      <c r="F183" s="52">
        <f>IF($N183&lt;&gt;"",INDEX(tblBilling[Due Date],$N183),"")</f>
        <v/>
      </c>
      <c r="G183" s="54">
        <f>IF($N183&lt;&gt;"",INDEX(tblBilling[Monthly Fee],$N183),IF($O183=1,PC_TotalFee,""))</f>
        <v/>
      </c>
      <c r="H183" s="54">
        <f>IF($N183&lt;&gt;"",INDEX(tblBilling[Amount Paid],$N183),IF($O183=1,PC_TotalPaid,""))</f>
        <v/>
      </c>
      <c r="I183" s="54">
        <f>IF($N183&lt;&gt;"",INDEX(tblBilling[Balance],$N183),IF($O183=1,PC_TotalBalance,""))</f>
        <v/>
      </c>
      <c r="J183" s="53">
        <f>IF($N183&lt;&gt;"",INDEX(tblBilling[Payment Status],$N183),"")</f>
        <v/>
      </c>
      <c r="K183" s="55">
        <f>IF($N183&lt;&gt;"",IF(INDEX(tblBilling[Last Payment Date],$N183)="","",INDEX(tblBilling[Last Payment Date],$N183)),"")</f>
        <v/>
      </c>
      <c r="L183" s="53">
        <f>IF($N183&lt;&gt;"",INDEX(tblBilling[Collector Name],$N183),"")</f>
        <v/>
      </c>
      <c r="N183">
        <f>IF(N182="","",IFERROR(N182+MATCH(1,INDEX(tblBilling[Print Match],N182+1):INDEX(tblBilling[Print Match],ROWS(tblBilling[Print Match])),0),""))</f>
        <v/>
      </c>
      <c r="O183">
        <f>ROW()-9-MIN(PC_Count,500)</f>
        <v/>
      </c>
    </row>
    <row r="184" ht="20" customHeight="1">
      <c r="A184" s="52">
        <f>IF($N184="","",ROW()-9)</f>
        <v/>
      </c>
      <c r="B184" s="53">
        <f>IF($N184&lt;&gt;"",INDEX(tblBilling[Customer ID],$N184),"")</f>
        <v/>
      </c>
      <c r="C184" s="53">
        <f>IF($N184&lt;&gt;"",INDEX(tblBilling[Customer Name],$N184),CHOOSE(MIN(MAX($O184,0),7)+1,"","TOTAL","","Total Customers: "&amp;PC_Count,"Total Recovered: "&amp;CFG_CurrencySymbol&amp;" "&amp;TEXT(PC_TotalPaid,"#,##0"),"","Collector Signature: ____________",""))</f>
        <v/>
      </c>
      <c r="D184" s="53">
        <f>IF($N184&lt;&gt;"",INDEX(tblBilling[Full Address],$N184),CHOOSE(MIN(MAX($O184,0),7)+1,"","","","Total Billing: "&amp;CFG_CurrencySymbol&amp;" "&amp;TEXT(PC_TotalFee,"#,##0"),"Total Pending: "&amp;CFG_CurrencySymbol&amp;" "&amp;TEXT(PC_TotalBalance,"#,##0"),"","Office Verification: ____________",""))</f>
        <v/>
      </c>
      <c r="E184" s="53">
        <f>IF($N184&lt;&gt;"",INDEX(tblBilling[VLAN ID],$N184),"")</f>
        <v/>
      </c>
      <c r="F184" s="52">
        <f>IF($N184&lt;&gt;"",INDEX(tblBilling[Due Date],$N184),"")</f>
        <v/>
      </c>
      <c r="G184" s="54">
        <f>IF($N184&lt;&gt;"",INDEX(tblBilling[Monthly Fee],$N184),IF($O184=1,PC_TotalFee,""))</f>
        <v/>
      </c>
      <c r="H184" s="54">
        <f>IF($N184&lt;&gt;"",INDEX(tblBilling[Amount Paid],$N184),IF($O184=1,PC_TotalPaid,""))</f>
        <v/>
      </c>
      <c r="I184" s="54">
        <f>IF($N184&lt;&gt;"",INDEX(tblBilling[Balance],$N184),IF($O184=1,PC_TotalBalance,""))</f>
        <v/>
      </c>
      <c r="J184" s="53">
        <f>IF($N184&lt;&gt;"",INDEX(tblBilling[Payment Status],$N184),"")</f>
        <v/>
      </c>
      <c r="K184" s="55">
        <f>IF($N184&lt;&gt;"",IF(INDEX(tblBilling[Last Payment Date],$N184)="","",INDEX(tblBilling[Last Payment Date],$N184)),"")</f>
        <v/>
      </c>
      <c r="L184" s="53">
        <f>IF($N184&lt;&gt;"",INDEX(tblBilling[Collector Name],$N184),"")</f>
        <v/>
      </c>
      <c r="N184">
        <f>IF(N183="","",IFERROR(N183+MATCH(1,INDEX(tblBilling[Print Match],N183+1):INDEX(tblBilling[Print Match],ROWS(tblBilling[Print Match])),0),""))</f>
        <v/>
      </c>
      <c r="O184">
        <f>ROW()-9-MIN(PC_Count,500)</f>
        <v/>
      </c>
    </row>
    <row r="185" ht="20" customHeight="1">
      <c r="A185" s="52">
        <f>IF($N185="","",ROW()-9)</f>
        <v/>
      </c>
      <c r="B185" s="53">
        <f>IF($N185&lt;&gt;"",INDEX(tblBilling[Customer ID],$N185),"")</f>
        <v/>
      </c>
      <c r="C185" s="53">
        <f>IF($N185&lt;&gt;"",INDEX(tblBilling[Customer Name],$N185),CHOOSE(MIN(MAX($O185,0),7)+1,"","TOTAL","","Total Customers: "&amp;PC_Count,"Total Recovered: "&amp;CFG_CurrencySymbol&amp;" "&amp;TEXT(PC_TotalPaid,"#,##0"),"","Collector Signature: ____________",""))</f>
        <v/>
      </c>
      <c r="D185" s="53">
        <f>IF($N185&lt;&gt;"",INDEX(tblBilling[Full Address],$N185),CHOOSE(MIN(MAX($O185,0),7)+1,"","","","Total Billing: "&amp;CFG_CurrencySymbol&amp;" "&amp;TEXT(PC_TotalFee,"#,##0"),"Total Pending: "&amp;CFG_CurrencySymbol&amp;" "&amp;TEXT(PC_TotalBalance,"#,##0"),"","Office Verification: ____________",""))</f>
        <v/>
      </c>
      <c r="E185" s="53">
        <f>IF($N185&lt;&gt;"",INDEX(tblBilling[VLAN ID],$N185),"")</f>
        <v/>
      </c>
      <c r="F185" s="52">
        <f>IF($N185&lt;&gt;"",INDEX(tblBilling[Due Date],$N185),"")</f>
        <v/>
      </c>
      <c r="G185" s="54">
        <f>IF($N185&lt;&gt;"",INDEX(tblBilling[Monthly Fee],$N185),IF($O185=1,PC_TotalFee,""))</f>
        <v/>
      </c>
      <c r="H185" s="54">
        <f>IF($N185&lt;&gt;"",INDEX(tblBilling[Amount Paid],$N185),IF($O185=1,PC_TotalPaid,""))</f>
        <v/>
      </c>
      <c r="I185" s="54">
        <f>IF($N185&lt;&gt;"",INDEX(tblBilling[Balance],$N185),IF($O185=1,PC_TotalBalance,""))</f>
        <v/>
      </c>
      <c r="J185" s="53">
        <f>IF($N185&lt;&gt;"",INDEX(tblBilling[Payment Status],$N185),"")</f>
        <v/>
      </c>
      <c r="K185" s="55">
        <f>IF($N185&lt;&gt;"",IF(INDEX(tblBilling[Last Payment Date],$N185)="","",INDEX(tblBilling[Last Payment Date],$N185)),"")</f>
        <v/>
      </c>
      <c r="L185" s="53">
        <f>IF($N185&lt;&gt;"",INDEX(tblBilling[Collector Name],$N185),"")</f>
        <v/>
      </c>
      <c r="N185">
        <f>IF(N184="","",IFERROR(N184+MATCH(1,INDEX(tblBilling[Print Match],N184+1):INDEX(tblBilling[Print Match],ROWS(tblBilling[Print Match])),0),""))</f>
        <v/>
      </c>
      <c r="O185">
        <f>ROW()-9-MIN(PC_Count,500)</f>
        <v/>
      </c>
    </row>
    <row r="186" ht="20" customHeight="1">
      <c r="A186" s="52">
        <f>IF($N186="","",ROW()-9)</f>
        <v/>
      </c>
      <c r="B186" s="53">
        <f>IF($N186&lt;&gt;"",INDEX(tblBilling[Customer ID],$N186),"")</f>
        <v/>
      </c>
      <c r="C186" s="53">
        <f>IF($N186&lt;&gt;"",INDEX(tblBilling[Customer Name],$N186),CHOOSE(MIN(MAX($O186,0),7)+1,"","TOTAL","","Total Customers: "&amp;PC_Count,"Total Recovered: "&amp;CFG_CurrencySymbol&amp;" "&amp;TEXT(PC_TotalPaid,"#,##0"),"","Collector Signature: ____________",""))</f>
        <v/>
      </c>
      <c r="D186" s="53">
        <f>IF($N186&lt;&gt;"",INDEX(tblBilling[Full Address],$N186),CHOOSE(MIN(MAX($O186,0),7)+1,"","","","Total Billing: "&amp;CFG_CurrencySymbol&amp;" "&amp;TEXT(PC_TotalFee,"#,##0"),"Total Pending: "&amp;CFG_CurrencySymbol&amp;" "&amp;TEXT(PC_TotalBalance,"#,##0"),"","Office Verification: ____________",""))</f>
        <v/>
      </c>
      <c r="E186" s="53">
        <f>IF($N186&lt;&gt;"",INDEX(tblBilling[VLAN ID],$N186),"")</f>
        <v/>
      </c>
      <c r="F186" s="52">
        <f>IF($N186&lt;&gt;"",INDEX(tblBilling[Due Date],$N186),"")</f>
        <v/>
      </c>
      <c r="G186" s="54">
        <f>IF($N186&lt;&gt;"",INDEX(tblBilling[Monthly Fee],$N186),IF($O186=1,PC_TotalFee,""))</f>
        <v/>
      </c>
      <c r="H186" s="54">
        <f>IF($N186&lt;&gt;"",INDEX(tblBilling[Amount Paid],$N186),IF($O186=1,PC_TotalPaid,""))</f>
        <v/>
      </c>
      <c r="I186" s="54">
        <f>IF($N186&lt;&gt;"",INDEX(tblBilling[Balance],$N186),IF($O186=1,PC_TotalBalance,""))</f>
        <v/>
      </c>
      <c r="J186" s="53">
        <f>IF($N186&lt;&gt;"",INDEX(tblBilling[Payment Status],$N186),"")</f>
        <v/>
      </c>
      <c r="K186" s="55">
        <f>IF($N186&lt;&gt;"",IF(INDEX(tblBilling[Last Payment Date],$N186)="","",INDEX(tblBilling[Last Payment Date],$N186)),"")</f>
        <v/>
      </c>
      <c r="L186" s="53">
        <f>IF($N186&lt;&gt;"",INDEX(tblBilling[Collector Name],$N186),"")</f>
        <v/>
      </c>
      <c r="N186">
        <f>IF(N185="","",IFERROR(N185+MATCH(1,INDEX(tblBilling[Print Match],N185+1):INDEX(tblBilling[Print Match],ROWS(tblBilling[Print Match])),0),""))</f>
        <v/>
      </c>
      <c r="O186">
        <f>ROW()-9-MIN(PC_Count,500)</f>
        <v/>
      </c>
    </row>
    <row r="187" ht="20" customHeight="1">
      <c r="A187" s="52">
        <f>IF($N187="","",ROW()-9)</f>
        <v/>
      </c>
      <c r="B187" s="53">
        <f>IF($N187&lt;&gt;"",INDEX(tblBilling[Customer ID],$N187),"")</f>
        <v/>
      </c>
      <c r="C187" s="53">
        <f>IF($N187&lt;&gt;"",INDEX(tblBilling[Customer Name],$N187),CHOOSE(MIN(MAX($O187,0),7)+1,"","TOTAL","","Total Customers: "&amp;PC_Count,"Total Recovered: "&amp;CFG_CurrencySymbol&amp;" "&amp;TEXT(PC_TotalPaid,"#,##0"),"","Collector Signature: ____________",""))</f>
        <v/>
      </c>
      <c r="D187" s="53">
        <f>IF($N187&lt;&gt;"",INDEX(tblBilling[Full Address],$N187),CHOOSE(MIN(MAX($O187,0),7)+1,"","","","Total Billing: "&amp;CFG_CurrencySymbol&amp;" "&amp;TEXT(PC_TotalFee,"#,##0"),"Total Pending: "&amp;CFG_CurrencySymbol&amp;" "&amp;TEXT(PC_TotalBalance,"#,##0"),"","Office Verification: ____________",""))</f>
        <v/>
      </c>
      <c r="E187" s="53">
        <f>IF($N187&lt;&gt;"",INDEX(tblBilling[VLAN ID],$N187),"")</f>
        <v/>
      </c>
      <c r="F187" s="52">
        <f>IF($N187&lt;&gt;"",INDEX(tblBilling[Due Date],$N187),"")</f>
        <v/>
      </c>
      <c r="G187" s="54">
        <f>IF($N187&lt;&gt;"",INDEX(tblBilling[Monthly Fee],$N187),IF($O187=1,PC_TotalFee,""))</f>
        <v/>
      </c>
      <c r="H187" s="54">
        <f>IF($N187&lt;&gt;"",INDEX(tblBilling[Amount Paid],$N187),IF($O187=1,PC_TotalPaid,""))</f>
        <v/>
      </c>
      <c r="I187" s="54">
        <f>IF($N187&lt;&gt;"",INDEX(tblBilling[Balance],$N187),IF($O187=1,PC_TotalBalance,""))</f>
        <v/>
      </c>
      <c r="J187" s="53">
        <f>IF($N187&lt;&gt;"",INDEX(tblBilling[Payment Status],$N187),"")</f>
        <v/>
      </c>
      <c r="K187" s="55">
        <f>IF($N187&lt;&gt;"",IF(INDEX(tblBilling[Last Payment Date],$N187)="","",INDEX(tblBilling[Last Payment Date],$N187)),"")</f>
        <v/>
      </c>
      <c r="L187" s="53">
        <f>IF($N187&lt;&gt;"",INDEX(tblBilling[Collector Name],$N187),"")</f>
        <v/>
      </c>
      <c r="N187">
        <f>IF(N186="","",IFERROR(N186+MATCH(1,INDEX(tblBilling[Print Match],N186+1):INDEX(tblBilling[Print Match],ROWS(tblBilling[Print Match])),0),""))</f>
        <v/>
      </c>
      <c r="O187">
        <f>ROW()-9-MIN(PC_Count,500)</f>
        <v/>
      </c>
    </row>
    <row r="188" ht="20" customHeight="1">
      <c r="A188" s="52">
        <f>IF($N188="","",ROW()-9)</f>
        <v/>
      </c>
      <c r="B188" s="53">
        <f>IF($N188&lt;&gt;"",INDEX(tblBilling[Customer ID],$N188),"")</f>
        <v/>
      </c>
      <c r="C188" s="53">
        <f>IF($N188&lt;&gt;"",INDEX(tblBilling[Customer Name],$N188),CHOOSE(MIN(MAX($O188,0),7)+1,"","TOTAL","","Total Customers: "&amp;PC_Count,"Total Recovered: "&amp;CFG_CurrencySymbol&amp;" "&amp;TEXT(PC_TotalPaid,"#,##0"),"","Collector Signature: ____________",""))</f>
        <v/>
      </c>
      <c r="D188" s="53">
        <f>IF($N188&lt;&gt;"",INDEX(tblBilling[Full Address],$N188),CHOOSE(MIN(MAX($O188,0),7)+1,"","","","Total Billing: "&amp;CFG_CurrencySymbol&amp;" "&amp;TEXT(PC_TotalFee,"#,##0"),"Total Pending: "&amp;CFG_CurrencySymbol&amp;" "&amp;TEXT(PC_TotalBalance,"#,##0"),"","Office Verification: ____________",""))</f>
        <v/>
      </c>
      <c r="E188" s="53">
        <f>IF($N188&lt;&gt;"",INDEX(tblBilling[VLAN ID],$N188),"")</f>
        <v/>
      </c>
      <c r="F188" s="52">
        <f>IF($N188&lt;&gt;"",INDEX(tblBilling[Due Date],$N188),"")</f>
        <v/>
      </c>
      <c r="G188" s="54">
        <f>IF($N188&lt;&gt;"",INDEX(tblBilling[Monthly Fee],$N188),IF($O188=1,PC_TotalFee,""))</f>
        <v/>
      </c>
      <c r="H188" s="54">
        <f>IF($N188&lt;&gt;"",INDEX(tblBilling[Amount Paid],$N188),IF($O188=1,PC_TotalPaid,""))</f>
        <v/>
      </c>
      <c r="I188" s="54">
        <f>IF($N188&lt;&gt;"",INDEX(tblBilling[Balance],$N188),IF($O188=1,PC_TotalBalance,""))</f>
        <v/>
      </c>
      <c r="J188" s="53">
        <f>IF($N188&lt;&gt;"",INDEX(tblBilling[Payment Status],$N188),"")</f>
        <v/>
      </c>
      <c r="K188" s="55">
        <f>IF($N188&lt;&gt;"",IF(INDEX(tblBilling[Last Payment Date],$N188)="","",INDEX(tblBilling[Last Payment Date],$N188)),"")</f>
        <v/>
      </c>
      <c r="L188" s="53">
        <f>IF($N188&lt;&gt;"",INDEX(tblBilling[Collector Name],$N188),"")</f>
        <v/>
      </c>
      <c r="N188">
        <f>IF(N187="","",IFERROR(N187+MATCH(1,INDEX(tblBilling[Print Match],N187+1):INDEX(tblBilling[Print Match],ROWS(tblBilling[Print Match])),0),""))</f>
        <v/>
      </c>
      <c r="O188">
        <f>ROW()-9-MIN(PC_Count,500)</f>
        <v/>
      </c>
    </row>
    <row r="189" ht="20" customHeight="1">
      <c r="A189" s="52">
        <f>IF($N189="","",ROW()-9)</f>
        <v/>
      </c>
      <c r="B189" s="53">
        <f>IF($N189&lt;&gt;"",INDEX(tblBilling[Customer ID],$N189),"")</f>
        <v/>
      </c>
      <c r="C189" s="53">
        <f>IF($N189&lt;&gt;"",INDEX(tblBilling[Customer Name],$N189),CHOOSE(MIN(MAX($O189,0),7)+1,"","TOTAL","","Total Customers: "&amp;PC_Count,"Total Recovered: "&amp;CFG_CurrencySymbol&amp;" "&amp;TEXT(PC_TotalPaid,"#,##0"),"","Collector Signature: ____________",""))</f>
        <v/>
      </c>
      <c r="D189" s="53">
        <f>IF($N189&lt;&gt;"",INDEX(tblBilling[Full Address],$N189),CHOOSE(MIN(MAX($O189,0),7)+1,"","","","Total Billing: "&amp;CFG_CurrencySymbol&amp;" "&amp;TEXT(PC_TotalFee,"#,##0"),"Total Pending: "&amp;CFG_CurrencySymbol&amp;" "&amp;TEXT(PC_TotalBalance,"#,##0"),"","Office Verification: ____________",""))</f>
        <v/>
      </c>
      <c r="E189" s="53">
        <f>IF($N189&lt;&gt;"",INDEX(tblBilling[VLAN ID],$N189),"")</f>
        <v/>
      </c>
      <c r="F189" s="52">
        <f>IF($N189&lt;&gt;"",INDEX(tblBilling[Due Date],$N189),"")</f>
        <v/>
      </c>
      <c r="G189" s="54">
        <f>IF($N189&lt;&gt;"",INDEX(tblBilling[Monthly Fee],$N189),IF($O189=1,PC_TotalFee,""))</f>
        <v/>
      </c>
      <c r="H189" s="54">
        <f>IF($N189&lt;&gt;"",INDEX(tblBilling[Amount Paid],$N189),IF($O189=1,PC_TotalPaid,""))</f>
        <v/>
      </c>
      <c r="I189" s="54">
        <f>IF($N189&lt;&gt;"",INDEX(tblBilling[Balance],$N189),IF($O189=1,PC_TotalBalance,""))</f>
        <v/>
      </c>
      <c r="J189" s="53">
        <f>IF($N189&lt;&gt;"",INDEX(tblBilling[Payment Status],$N189),"")</f>
        <v/>
      </c>
      <c r="K189" s="55">
        <f>IF($N189&lt;&gt;"",IF(INDEX(tblBilling[Last Payment Date],$N189)="","",INDEX(tblBilling[Last Payment Date],$N189)),"")</f>
        <v/>
      </c>
      <c r="L189" s="53">
        <f>IF($N189&lt;&gt;"",INDEX(tblBilling[Collector Name],$N189),"")</f>
        <v/>
      </c>
      <c r="N189">
        <f>IF(N188="","",IFERROR(N188+MATCH(1,INDEX(tblBilling[Print Match],N188+1):INDEX(tblBilling[Print Match],ROWS(tblBilling[Print Match])),0),""))</f>
        <v/>
      </c>
      <c r="O189">
        <f>ROW()-9-MIN(PC_Count,500)</f>
        <v/>
      </c>
    </row>
    <row r="190" ht="20" customHeight="1">
      <c r="A190" s="52">
        <f>IF($N190="","",ROW()-9)</f>
        <v/>
      </c>
      <c r="B190" s="53">
        <f>IF($N190&lt;&gt;"",INDEX(tblBilling[Customer ID],$N190),"")</f>
        <v/>
      </c>
      <c r="C190" s="53">
        <f>IF($N190&lt;&gt;"",INDEX(tblBilling[Customer Name],$N190),CHOOSE(MIN(MAX($O190,0),7)+1,"","TOTAL","","Total Customers: "&amp;PC_Count,"Total Recovered: "&amp;CFG_CurrencySymbol&amp;" "&amp;TEXT(PC_TotalPaid,"#,##0"),"","Collector Signature: ____________",""))</f>
        <v/>
      </c>
      <c r="D190" s="53">
        <f>IF($N190&lt;&gt;"",INDEX(tblBilling[Full Address],$N190),CHOOSE(MIN(MAX($O190,0),7)+1,"","","","Total Billing: "&amp;CFG_CurrencySymbol&amp;" "&amp;TEXT(PC_TotalFee,"#,##0"),"Total Pending: "&amp;CFG_CurrencySymbol&amp;" "&amp;TEXT(PC_TotalBalance,"#,##0"),"","Office Verification: ____________",""))</f>
        <v/>
      </c>
      <c r="E190" s="53">
        <f>IF($N190&lt;&gt;"",INDEX(tblBilling[VLAN ID],$N190),"")</f>
        <v/>
      </c>
      <c r="F190" s="52">
        <f>IF($N190&lt;&gt;"",INDEX(tblBilling[Due Date],$N190),"")</f>
        <v/>
      </c>
      <c r="G190" s="54">
        <f>IF($N190&lt;&gt;"",INDEX(tblBilling[Monthly Fee],$N190),IF($O190=1,PC_TotalFee,""))</f>
        <v/>
      </c>
      <c r="H190" s="54">
        <f>IF($N190&lt;&gt;"",INDEX(tblBilling[Amount Paid],$N190),IF($O190=1,PC_TotalPaid,""))</f>
        <v/>
      </c>
      <c r="I190" s="54">
        <f>IF($N190&lt;&gt;"",INDEX(tblBilling[Balance],$N190),IF($O190=1,PC_TotalBalance,""))</f>
        <v/>
      </c>
      <c r="J190" s="53">
        <f>IF($N190&lt;&gt;"",INDEX(tblBilling[Payment Status],$N190),"")</f>
        <v/>
      </c>
      <c r="K190" s="55">
        <f>IF($N190&lt;&gt;"",IF(INDEX(tblBilling[Last Payment Date],$N190)="","",INDEX(tblBilling[Last Payment Date],$N190)),"")</f>
        <v/>
      </c>
      <c r="L190" s="53">
        <f>IF($N190&lt;&gt;"",INDEX(tblBilling[Collector Name],$N190),"")</f>
        <v/>
      </c>
      <c r="N190">
        <f>IF(N189="","",IFERROR(N189+MATCH(1,INDEX(tblBilling[Print Match],N189+1):INDEX(tblBilling[Print Match],ROWS(tblBilling[Print Match])),0),""))</f>
        <v/>
      </c>
      <c r="O190">
        <f>ROW()-9-MIN(PC_Count,500)</f>
        <v/>
      </c>
    </row>
    <row r="191" ht="20" customHeight="1">
      <c r="A191" s="52">
        <f>IF($N191="","",ROW()-9)</f>
        <v/>
      </c>
      <c r="B191" s="53">
        <f>IF($N191&lt;&gt;"",INDEX(tblBilling[Customer ID],$N191),"")</f>
        <v/>
      </c>
      <c r="C191" s="53">
        <f>IF($N191&lt;&gt;"",INDEX(tblBilling[Customer Name],$N191),CHOOSE(MIN(MAX($O191,0),7)+1,"","TOTAL","","Total Customers: "&amp;PC_Count,"Total Recovered: "&amp;CFG_CurrencySymbol&amp;" "&amp;TEXT(PC_TotalPaid,"#,##0"),"","Collector Signature: ____________",""))</f>
        <v/>
      </c>
      <c r="D191" s="53">
        <f>IF($N191&lt;&gt;"",INDEX(tblBilling[Full Address],$N191),CHOOSE(MIN(MAX($O191,0),7)+1,"","","","Total Billing: "&amp;CFG_CurrencySymbol&amp;" "&amp;TEXT(PC_TotalFee,"#,##0"),"Total Pending: "&amp;CFG_CurrencySymbol&amp;" "&amp;TEXT(PC_TotalBalance,"#,##0"),"","Office Verification: ____________",""))</f>
        <v/>
      </c>
      <c r="E191" s="53">
        <f>IF($N191&lt;&gt;"",INDEX(tblBilling[VLAN ID],$N191),"")</f>
        <v/>
      </c>
      <c r="F191" s="52">
        <f>IF($N191&lt;&gt;"",INDEX(tblBilling[Due Date],$N191),"")</f>
        <v/>
      </c>
      <c r="G191" s="54">
        <f>IF($N191&lt;&gt;"",INDEX(tblBilling[Monthly Fee],$N191),IF($O191=1,PC_TotalFee,""))</f>
        <v/>
      </c>
      <c r="H191" s="54">
        <f>IF($N191&lt;&gt;"",INDEX(tblBilling[Amount Paid],$N191),IF($O191=1,PC_TotalPaid,""))</f>
        <v/>
      </c>
      <c r="I191" s="54">
        <f>IF($N191&lt;&gt;"",INDEX(tblBilling[Balance],$N191),IF($O191=1,PC_TotalBalance,""))</f>
        <v/>
      </c>
      <c r="J191" s="53">
        <f>IF($N191&lt;&gt;"",INDEX(tblBilling[Payment Status],$N191),"")</f>
        <v/>
      </c>
      <c r="K191" s="55">
        <f>IF($N191&lt;&gt;"",IF(INDEX(tblBilling[Last Payment Date],$N191)="","",INDEX(tblBilling[Last Payment Date],$N191)),"")</f>
        <v/>
      </c>
      <c r="L191" s="53">
        <f>IF($N191&lt;&gt;"",INDEX(tblBilling[Collector Name],$N191),"")</f>
        <v/>
      </c>
      <c r="N191">
        <f>IF(N190="","",IFERROR(N190+MATCH(1,INDEX(tblBilling[Print Match],N190+1):INDEX(tblBilling[Print Match],ROWS(tblBilling[Print Match])),0),""))</f>
        <v/>
      </c>
      <c r="O191">
        <f>ROW()-9-MIN(PC_Count,500)</f>
        <v/>
      </c>
    </row>
    <row r="192" ht="20" customHeight="1">
      <c r="A192" s="52">
        <f>IF($N192="","",ROW()-9)</f>
        <v/>
      </c>
      <c r="B192" s="53">
        <f>IF($N192&lt;&gt;"",INDEX(tblBilling[Customer ID],$N192),"")</f>
        <v/>
      </c>
      <c r="C192" s="53">
        <f>IF($N192&lt;&gt;"",INDEX(tblBilling[Customer Name],$N192),CHOOSE(MIN(MAX($O192,0),7)+1,"","TOTAL","","Total Customers: "&amp;PC_Count,"Total Recovered: "&amp;CFG_CurrencySymbol&amp;" "&amp;TEXT(PC_TotalPaid,"#,##0"),"","Collector Signature: ____________",""))</f>
        <v/>
      </c>
      <c r="D192" s="53">
        <f>IF($N192&lt;&gt;"",INDEX(tblBilling[Full Address],$N192),CHOOSE(MIN(MAX($O192,0),7)+1,"","","","Total Billing: "&amp;CFG_CurrencySymbol&amp;" "&amp;TEXT(PC_TotalFee,"#,##0"),"Total Pending: "&amp;CFG_CurrencySymbol&amp;" "&amp;TEXT(PC_TotalBalance,"#,##0"),"","Office Verification: ____________",""))</f>
        <v/>
      </c>
      <c r="E192" s="53">
        <f>IF($N192&lt;&gt;"",INDEX(tblBilling[VLAN ID],$N192),"")</f>
        <v/>
      </c>
      <c r="F192" s="52">
        <f>IF($N192&lt;&gt;"",INDEX(tblBilling[Due Date],$N192),"")</f>
        <v/>
      </c>
      <c r="G192" s="54">
        <f>IF($N192&lt;&gt;"",INDEX(tblBilling[Monthly Fee],$N192),IF($O192=1,PC_TotalFee,""))</f>
        <v/>
      </c>
      <c r="H192" s="54">
        <f>IF($N192&lt;&gt;"",INDEX(tblBilling[Amount Paid],$N192),IF($O192=1,PC_TotalPaid,""))</f>
        <v/>
      </c>
      <c r="I192" s="54">
        <f>IF($N192&lt;&gt;"",INDEX(tblBilling[Balance],$N192),IF($O192=1,PC_TotalBalance,""))</f>
        <v/>
      </c>
      <c r="J192" s="53">
        <f>IF($N192&lt;&gt;"",INDEX(tblBilling[Payment Status],$N192),"")</f>
        <v/>
      </c>
      <c r="K192" s="55">
        <f>IF($N192&lt;&gt;"",IF(INDEX(tblBilling[Last Payment Date],$N192)="","",INDEX(tblBilling[Last Payment Date],$N192)),"")</f>
        <v/>
      </c>
      <c r="L192" s="53">
        <f>IF($N192&lt;&gt;"",INDEX(tblBilling[Collector Name],$N192),"")</f>
        <v/>
      </c>
      <c r="N192">
        <f>IF(N191="","",IFERROR(N191+MATCH(1,INDEX(tblBilling[Print Match],N191+1):INDEX(tblBilling[Print Match],ROWS(tblBilling[Print Match])),0),""))</f>
        <v/>
      </c>
      <c r="O192">
        <f>ROW()-9-MIN(PC_Count,500)</f>
        <v/>
      </c>
    </row>
    <row r="193" ht="20" customHeight="1">
      <c r="A193" s="52">
        <f>IF($N193="","",ROW()-9)</f>
        <v/>
      </c>
      <c r="B193" s="53">
        <f>IF($N193&lt;&gt;"",INDEX(tblBilling[Customer ID],$N193),"")</f>
        <v/>
      </c>
      <c r="C193" s="53">
        <f>IF($N193&lt;&gt;"",INDEX(tblBilling[Customer Name],$N193),CHOOSE(MIN(MAX($O193,0),7)+1,"","TOTAL","","Total Customers: "&amp;PC_Count,"Total Recovered: "&amp;CFG_CurrencySymbol&amp;" "&amp;TEXT(PC_TotalPaid,"#,##0"),"","Collector Signature: ____________",""))</f>
        <v/>
      </c>
      <c r="D193" s="53">
        <f>IF($N193&lt;&gt;"",INDEX(tblBilling[Full Address],$N193),CHOOSE(MIN(MAX($O193,0),7)+1,"","","","Total Billing: "&amp;CFG_CurrencySymbol&amp;" "&amp;TEXT(PC_TotalFee,"#,##0"),"Total Pending: "&amp;CFG_CurrencySymbol&amp;" "&amp;TEXT(PC_TotalBalance,"#,##0"),"","Office Verification: ____________",""))</f>
        <v/>
      </c>
      <c r="E193" s="53">
        <f>IF($N193&lt;&gt;"",INDEX(tblBilling[VLAN ID],$N193),"")</f>
        <v/>
      </c>
      <c r="F193" s="52">
        <f>IF($N193&lt;&gt;"",INDEX(tblBilling[Due Date],$N193),"")</f>
        <v/>
      </c>
      <c r="G193" s="54">
        <f>IF($N193&lt;&gt;"",INDEX(tblBilling[Monthly Fee],$N193),IF($O193=1,PC_TotalFee,""))</f>
        <v/>
      </c>
      <c r="H193" s="54">
        <f>IF($N193&lt;&gt;"",INDEX(tblBilling[Amount Paid],$N193),IF($O193=1,PC_TotalPaid,""))</f>
        <v/>
      </c>
      <c r="I193" s="54">
        <f>IF($N193&lt;&gt;"",INDEX(tblBilling[Balance],$N193),IF($O193=1,PC_TotalBalance,""))</f>
        <v/>
      </c>
      <c r="J193" s="53">
        <f>IF($N193&lt;&gt;"",INDEX(tblBilling[Payment Status],$N193),"")</f>
        <v/>
      </c>
      <c r="K193" s="55">
        <f>IF($N193&lt;&gt;"",IF(INDEX(tblBilling[Last Payment Date],$N193)="","",INDEX(tblBilling[Last Payment Date],$N193)),"")</f>
        <v/>
      </c>
      <c r="L193" s="53">
        <f>IF($N193&lt;&gt;"",INDEX(tblBilling[Collector Name],$N193),"")</f>
        <v/>
      </c>
      <c r="N193">
        <f>IF(N192="","",IFERROR(N192+MATCH(1,INDEX(tblBilling[Print Match],N192+1):INDEX(tblBilling[Print Match],ROWS(tblBilling[Print Match])),0),""))</f>
        <v/>
      </c>
      <c r="O193">
        <f>ROW()-9-MIN(PC_Count,500)</f>
        <v/>
      </c>
    </row>
    <row r="194" ht="20" customHeight="1">
      <c r="A194" s="52">
        <f>IF($N194="","",ROW()-9)</f>
        <v/>
      </c>
      <c r="B194" s="53">
        <f>IF($N194&lt;&gt;"",INDEX(tblBilling[Customer ID],$N194),"")</f>
        <v/>
      </c>
      <c r="C194" s="53">
        <f>IF($N194&lt;&gt;"",INDEX(tblBilling[Customer Name],$N194),CHOOSE(MIN(MAX($O194,0),7)+1,"","TOTAL","","Total Customers: "&amp;PC_Count,"Total Recovered: "&amp;CFG_CurrencySymbol&amp;" "&amp;TEXT(PC_TotalPaid,"#,##0"),"","Collector Signature: ____________",""))</f>
        <v/>
      </c>
      <c r="D194" s="53">
        <f>IF($N194&lt;&gt;"",INDEX(tblBilling[Full Address],$N194),CHOOSE(MIN(MAX($O194,0),7)+1,"","","","Total Billing: "&amp;CFG_CurrencySymbol&amp;" "&amp;TEXT(PC_TotalFee,"#,##0"),"Total Pending: "&amp;CFG_CurrencySymbol&amp;" "&amp;TEXT(PC_TotalBalance,"#,##0"),"","Office Verification: ____________",""))</f>
        <v/>
      </c>
      <c r="E194" s="53">
        <f>IF($N194&lt;&gt;"",INDEX(tblBilling[VLAN ID],$N194),"")</f>
        <v/>
      </c>
      <c r="F194" s="52">
        <f>IF($N194&lt;&gt;"",INDEX(tblBilling[Due Date],$N194),"")</f>
        <v/>
      </c>
      <c r="G194" s="54">
        <f>IF($N194&lt;&gt;"",INDEX(tblBilling[Monthly Fee],$N194),IF($O194=1,PC_TotalFee,""))</f>
        <v/>
      </c>
      <c r="H194" s="54">
        <f>IF($N194&lt;&gt;"",INDEX(tblBilling[Amount Paid],$N194),IF($O194=1,PC_TotalPaid,""))</f>
        <v/>
      </c>
      <c r="I194" s="54">
        <f>IF($N194&lt;&gt;"",INDEX(tblBilling[Balance],$N194),IF($O194=1,PC_TotalBalance,""))</f>
        <v/>
      </c>
      <c r="J194" s="53">
        <f>IF($N194&lt;&gt;"",INDEX(tblBilling[Payment Status],$N194),"")</f>
        <v/>
      </c>
      <c r="K194" s="55">
        <f>IF($N194&lt;&gt;"",IF(INDEX(tblBilling[Last Payment Date],$N194)="","",INDEX(tblBilling[Last Payment Date],$N194)),"")</f>
        <v/>
      </c>
      <c r="L194" s="53">
        <f>IF($N194&lt;&gt;"",INDEX(tblBilling[Collector Name],$N194),"")</f>
        <v/>
      </c>
      <c r="N194">
        <f>IF(N193="","",IFERROR(N193+MATCH(1,INDEX(tblBilling[Print Match],N193+1):INDEX(tblBilling[Print Match],ROWS(tblBilling[Print Match])),0),""))</f>
        <v/>
      </c>
      <c r="O194">
        <f>ROW()-9-MIN(PC_Count,500)</f>
        <v/>
      </c>
    </row>
    <row r="195" ht="20" customHeight="1">
      <c r="A195" s="52">
        <f>IF($N195="","",ROW()-9)</f>
        <v/>
      </c>
      <c r="B195" s="53">
        <f>IF($N195&lt;&gt;"",INDEX(tblBilling[Customer ID],$N195),"")</f>
        <v/>
      </c>
      <c r="C195" s="53">
        <f>IF($N195&lt;&gt;"",INDEX(tblBilling[Customer Name],$N195),CHOOSE(MIN(MAX($O195,0),7)+1,"","TOTAL","","Total Customers: "&amp;PC_Count,"Total Recovered: "&amp;CFG_CurrencySymbol&amp;" "&amp;TEXT(PC_TotalPaid,"#,##0"),"","Collector Signature: ____________",""))</f>
        <v/>
      </c>
      <c r="D195" s="53">
        <f>IF($N195&lt;&gt;"",INDEX(tblBilling[Full Address],$N195),CHOOSE(MIN(MAX($O195,0),7)+1,"","","","Total Billing: "&amp;CFG_CurrencySymbol&amp;" "&amp;TEXT(PC_TotalFee,"#,##0"),"Total Pending: "&amp;CFG_CurrencySymbol&amp;" "&amp;TEXT(PC_TotalBalance,"#,##0"),"","Office Verification: ____________",""))</f>
        <v/>
      </c>
      <c r="E195" s="53">
        <f>IF($N195&lt;&gt;"",INDEX(tblBilling[VLAN ID],$N195),"")</f>
        <v/>
      </c>
      <c r="F195" s="52">
        <f>IF($N195&lt;&gt;"",INDEX(tblBilling[Due Date],$N195),"")</f>
        <v/>
      </c>
      <c r="G195" s="54">
        <f>IF($N195&lt;&gt;"",INDEX(tblBilling[Monthly Fee],$N195),IF($O195=1,PC_TotalFee,""))</f>
        <v/>
      </c>
      <c r="H195" s="54">
        <f>IF($N195&lt;&gt;"",INDEX(tblBilling[Amount Paid],$N195),IF($O195=1,PC_TotalPaid,""))</f>
        <v/>
      </c>
      <c r="I195" s="54">
        <f>IF($N195&lt;&gt;"",INDEX(tblBilling[Balance],$N195),IF($O195=1,PC_TotalBalance,""))</f>
        <v/>
      </c>
      <c r="J195" s="53">
        <f>IF($N195&lt;&gt;"",INDEX(tblBilling[Payment Status],$N195),"")</f>
        <v/>
      </c>
      <c r="K195" s="55">
        <f>IF($N195&lt;&gt;"",IF(INDEX(tblBilling[Last Payment Date],$N195)="","",INDEX(tblBilling[Last Payment Date],$N195)),"")</f>
        <v/>
      </c>
      <c r="L195" s="53">
        <f>IF($N195&lt;&gt;"",INDEX(tblBilling[Collector Name],$N195),"")</f>
        <v/>
      </c>
      <c r="N195">
        <f>IF(N194="","",IFERROR(N194+MATCH(1,INDEX(tblBilling[Print Match],N194+1):INDEX(tblBilling[Print Match],ROWS(tblBilling[Print Match])),0),""))</f>
        <v/>
      </c>
      <c r="O195">
        <f>ROW()-9-MIN(PC_Count,500)</f>
        <v/>
      </c>
    </row>
    <row r="196" ht="20" customHeight="1">
      <c r="A196" s="52">
        <f>IF($N196="","",ROW()-9)</f>
        <v/>
      </c>
      <c r="B196" s="53">
        <f>IF($N196&lt;&gt;"",INDEX(tblBilling[Customer ID],$N196),"")</f>
        <v/>
      </c>
      <c r="C196" s="53">
        <f>IF($N196&lt;&gt;"",INDEX(tblBilling[Customer Name],$N196),CHOOSE(MIN(MAX($O196,0),7)+1,"","TOTAL","","Total Customers: "&amp;PC_Count,"Total Recovered: "&amp;CFG_CurrencySymbol&amp;" "&amp;TEXT(PC_TotalPaid,"#,##0"),"","Collector Signature: ____________",""))</f>
        <v/>
      </c>
      <c r="D196" s="53">
        <f>IF($N196&lt;&gt;"",INDEX(tblBilling[Full Address],$N196),CHOOSE(MIN(MAX($O196,0),7)+1,"","","","Total Billing: "&amp;CFG_CurrencySymbol&amp;" "&amp;TEXT(PC_TotalFee,"#,##0"),"Total Pending: "&amp;CFG_CurrencySymbol&amp;" "&amp;TEXT(PC_TotalBalance,"#,##0"),"","Office Verification: ____________",""))</f>
        <v/>
      </c>
      <c r="E196" s="53">
        <f>IF($N196&lt;&gt;"",INDEX(tblBilling[VLAN ID],$N196),"")</f>
        <v/>
      </c>
      <c r="F196" s="52">
        <f>IF($N196&lt;&gt;"",INDEX(tblBilling[Due Date],$N196),"")</f>
        <v/>
      </c>
      <c r="G196" s="54">
        <f>IF($N196&lt;&gt;"",INDEX(tblBilling[Monthly Fee],$N196),IF($O196=1,PC_TotalFee,""))</f>
        <v/>
      </c>
      <c r="H196" s="54">
        <f>IF($N196&lt;&gt;"",INDEX(tblBilling[Amount Paid],$N196),IF($O196=1,PC_TotalPaid,""))</f>
        <v/>
      </c>
      <c r="I196" s="54">
        <f>IF($N196&lt;&gt;"",INDEX(tblBilling[Balance],$N196),IF($O196=1,PC_TotalBalance,""))</f>
        <v/>
      </c>
      <c r="J196" s="53">
        <f>IF($N196&lt;&gt;"",INDEX(tblBilling[Payment Status],$N196),"")</f>
        <v/>
      </c>
      <c r="K196" s="55">
        <f>IF($N196&lt;&gt;"",IF(INDEX(tblBilling[Last Payment Date],$N196)="","",INDEX(tblBilling[Last Payment Date],$N196)),"")</f>
        <v/>
      </c>
      <c r="L196" s="53">
        <f>IF($N196&lt;&gt;"",INDEX(tblBilling[Collector Name],$N196),"")</f>
        <v/>
      </c>
      <c r="N196">
        <f>IF(N195="","",IFERROR(N195+MATCH(1,INDEX(tblBilling[Print Match],N195+1):INDEX(tblBilling[Print Match],ROWS(tblBilling[Print Match])),0),""))</f>
        <v/>
      </c>
      <c r="O196">
        <f>ROW()-9-MIN(PC_Count,500)</f>
        <v/>
      </c>
    </row>
    <row r="197" ht="20" customHeight="1">
      <c r="A197" s="52">
        <f>IF($N197="","",ROW()-9)</f>
        <v/>
      </c>
      <c r="B197" s="53">
        <f>IF($N197&lt;&gt;"",INDEX(tblBilling[Customer ID],$N197),"")</f>
        <v/>
      </c>
      <c r="C197" s="53">
        <f>IF($N197&lt;&gt;"",INDEX(tblBilling[Customer Name],$N197),CHOOSE(MIN(MAX($O197,0),7)+1,"","TOTAL","","Total Customers: "&amp;PC_Count,"Total Recovered: "&amp;CFG_CurrencySymbol&amp;" "&amp;TEXT(PC_TotalPaid,"#,##0"),"","Collector Signature: ____________",""))</f>
        <v/>
      </c>
      <c r="D197" s="53">
        <f>IF($N197&lt;&gt;"",INDEX(tblBilling[Full Address],$N197),CHOOSE(MIN(MAX($O197,0),7)+1,"","","","Total Billing: "&amp;CFG_CurrencySymbol&amp;" "&amp;TEXT(PC_TotalFee,"#,##0"),"Total Pending: "&amp;CFG_CurrencySymbol&amp;" "&amp;TEXT(PC_TotalBalance,"#,##0"),"","Office Verification: ____________",""))</f>
        <v/>
      </c>
      <c r="E197" s="53">
        <f>IF($N197&lt;&gt;"",INDEX(tblBilling[VLAN ID],$N197),"")</f>
        <v/>
      </c>
      <c r="F197" s="52">
        <f>IF($N197&lt;&gt;"",INDEX(tblBilling[Due Date],$N197),"")</f>
        <v/>
      </c>
      <c r="G197" s="54">
        <f>IF($N197&lt;&gt;"",INDEX(tblBilling[Monthly Fee],$N197),IF($O197=1,PC_TotalFee,""))</f>
        <v/>
      </c>
      <c r="H197" s="54">
        <f>IF($N197&lt;&gt;"",INDEX(tblBilling[Amount Paid],$N197),IF($O197=1,PC_TotalPaid,""))</f>
        <v/>
      </c>
      <c r="I197" s="54">
        <f>IF($N197&lt;&gt;"",INDEX(tblBilling[Balance],$N197),IF($O197=1,PC_TotalBalance,""))</f>
        <v/>
      </c>
      <c r="J197" s="53">
        <f>IF($N197&lt;&gt;"",INDEX(tblBilling[Payment Status],$N197),"")</f>
        <v/>
      </c>
      <c r="K197" s="55">
        <f>IF($N197&lt;&gt;"",IF(INDEX(tblBilling[Last Payment Date],$N197)="","",INDEX(tblBilling[Last Payment Date],$N197)),"")</f>
        <v/>
      </c>
      <c r="L197" s="53">
        <f>IF($N197&lt;&gt;"",INDEX(tblBilling[Collector Name],$N197),"")</f>
        <v/>
      </c>
      <c r="N197">
        <f>IF(N196="","",IFERROR(N196+MATCH(1,INDEX(tblBilling[Print Match],N196+1):INDEX(tblBilling[Print Match],ROWS(tblBilling[Print Match])),0),""))</f>
        <v/>
      </c>
      <c r="O197">
        <f>ROW()-9-MIN(PC_Count,500)</f>
        <v/>
      </c>
    </row>
    <row r="198" ht="20" customHeight="1">
      <c r="A198" s="52">
        <f>IF($N198="","",ROW()-9)</f>
        <v/>
      </c>
      <c r="B198" s="53">
        <f>IF($N198&lt;&gt;"",INDEX(tblBilling[Customer ID],$N198),"")</f>
        <v/>
      </c>
      <c r="C198" s="53">
        <f>IF($N198&lt;&gt;"",INDEX(tblBilling[Customer Name],$N198),CHOOSE(MIN(MAX($O198,0),7)+1,"","TOTAL","","Total Customers: "&amp;PC_Count,"Total Recovered: "&amp;CFG_CurrencySymbol&amp;" "&amp;TEXT(PC_TotalPaid,"#,##0"),"","Collector Signature: ____________",""))</f>
        <v/>
      </c>
      <c r="D198" s="53">
        <f>IF($N198&lt;&gt;"",INDEX(tblBilling[Full Address],$N198),CHOOSE(MIN(MAX($O198,0),7)+1,"","","","Total Billing: "&amp;CFG_CurrencySymbol&amp;" "&amp;TEXT(PC_TotalFee,"#,##0"),"Total Pending: "&amp;CFG_CurrencySymbol&amp;" "&amp;TEXT(PC_TotalBalance,"#,##0"),"","Office Verification: ____________",""))</f>
        <v/>
      </c>
      <c r="E198" s="53">
        <f>IF($N198&lt;&gt;"",INDEX(tblBilling[VLAN ID],$N198),"")</f>
        <v/>
      </c>
      <c r="F198" s="52">
        <f>IF($N198&lt;&gt;"",INDEX(tblBilling[Due Date],$N198),"")</f>
        <v/>
      </c>
      <c r="G198" s="54">
        <f>IF($N198&lt;&gt;"",INDEX(tblBilling[Monthly Fee],$N198),IF($O198=1,PC_TotalFee,""))</f>
        <v/>
      </c>
      <c r="H198" s="54">
        <f>IF($N198&lt;&gt;"",INDEX(tblBilling[Amount Paid],$N198),IF($O198=1,PC_TotalPaid,""))</f>
        <v/>
      </c>
      <c r="I198" s="54">
        <f>IF($N198&lt;&gt;"",INDEX(tblBilling[Balance],$N198),IF($O198=1,PC_TotalBalance,""))</f>
        <v/>
      </c>
      <c r="J198" s="53">
        <f>IF($N198&lt;&gt;"",INDEX(tblBilling[Payment Status],$N198),"")</f>
        <v/>
      </c>
      <c r="K198" s="55">
        <f>IF($N198&lt;&gt;"",IF(INDEX(tblBilling[Last Payment Date],$N198)="","",INDEX(tblBilling[Last Payment Date],$N198)),"")</f>
        <v/>
      </c>
      <c r="L198" s="53">
        <f>IF($N198&lt;&gt;"",INDEX(tblBilling[Collector Name],$N198),"")</f>
        <v/>
      </c>
      <c r="N198">
        <f>IF(N197="","",IFERROR(N197+MATCH(1,INDEX(tblBilling[Print Match],N197+1):INDEX(tblBilling[Print Match],ROWS(tblBilling[Print Match])),0),""))</f>
        <v/>
      </c>
      <c r="O198">
        <f>ROW()-9-MIN(PC_Count,500)</f>
        <v/>
      </c>
    </row>
    <row r="199" ht="20" customHeight="1">
      <c r="A199" s="52">
        <f>IF($N199="","",ROW()-9)</f>
        <v/>
      </c>
      <c r="B199" s="53">
        <f>IF($N199&lt;&gt;"",INDEX(tblBilling[Customer ID],$N199),"")</f>
        <v/>
      </c>
      <c r="C199" s="53">
        <f>IF($N199&lt;&gt;"",INDEX(tblBilling[Customer Name],$N199),CHOOSE(MIN(MAX($O199,0),7)+1,"","TOTAL","","Total Customers: "&amp;PC_Count,"Total Recovered: "&amp;CFG_CurrencySymbol&amp;" "&amp;TEXT(PC_TotalPaid,"#,##0"),"","Collector Signature: ____________",""))</f>
        <v/>
      </c>
      <c r="D199" s="53">
        <f>IF($N199&lt;&gt;"",INDEX(tblBilling[Full Address],$N199),CHOOSE(MIN(MAX($O199,0),7)+1,"","","","Total Billing: "&amp;CFG_CurrencySymbol&amp;" "&amp;TEXT(PC_TotalFee,"#,##0"),"Total Pending: "&amp;CFG_CurrencySymbol&amp;" "&amp;TEXT(PC_TotalBalance,"#,##0"),"","Office Verification: ____________",""))</f>
        <v/>
      </c>
      <c r="E199" s="53">
        <f>IF($N199&lt;&gt;"",INDEX(tblBilling[VLAN ID],$N199),"")</f>
        <v/>
      </c>
      <c r="F199" s="52">
        <f>IF($N199&lt;&gt;"",INDEX(tblBilling[Due Date],$N199),"")</f>
        <v/>
      </c>
      <c r="G199" s="54">
        <f>IF($N199&lt;&gt;"",INDEX(tblBilling[Monthly Fee],$N199),IF($O199=1,PC_TotalFee,""))</f>
        <v/>
      </c>
      <c r="H199" s="54">
        <f>IF($N199&lt;&gt;"",INDEX(tblBilling[Amount Paid],$N199),IF($O199=1,PC_TotalPaid,""))</f>
        <v/>
      </c>
      <c r="I199" s="54">
        <f>IF($N199&lt;&gt;"",INDEX(tblBilling[Balance],$N199),IF($O199=1,PC_TotalBalance,""))</f>
        <v/>
      </c>
      <c r="J199" s="53">
        <f>IF($N199&lt;&gt;"",INDEX(tblBilling[Payment Status],$N199),"")</f>
        <v/>
      </c>
      <c r="K199" s="55">
        <f>IF($N199&lt;&gt;"",IF(INDEX(tblBilling[Last Payment Date],$N199)="","",INDEX(tblBilling[Last Payment Date],$N199)),"")</f>
        <v/>
      </c>
      <c r="L199" s="53">
        <f>IF($N199&lt;&gt;"",INDEX(tblBilling[Collector Name],$N199),"")</f>
        <v/>
      </c>
      <c r="N199">
        <f>IF(N198="","",IFERROR(N198+MATCH(1,INDEX(tblBilling[Print Match],N198+1):INDEX(tblBilling[Print Match],ROWS(tblBilling[Print Match])),0),""))</f>
        <v/>
      </c>
      <c r="O199">
        <f>ROW()-9-MIN(PC_Count,500)</f>
        <v/>
      </c>
    </row>
    <row r="200" ht="20" customHeight="1">
      <c r="A200" s="52">
        <f>IF($N200="","",ROW()-9)</f>
        <v/>
      </c>
      <c r="B200" s="53">
        <f>IF($N200&lt;&gt;"",INDEX(tblBilling[Customer ID],$N200),"")</f>
        <v/>
      </c>
      <c r="C200" s="53">
        <f>IF($N200&lt;&gt;"",INDEX(tblBilling[Customer Name],$N200),CHOOSE(MIN(MAX($O200,0),7)+1,"","TOTAL","","Total Customers: "&amp;PC_Count,"Total Recovered: "&amp;CFG_CurrencySymbol&amp;" "&amp;TEXT(PC_TotalPaid,"#,##0"),"","Collector Signature: ____________",""))</f>
        <v/>
      </c>
      <c r="D200" s="53">
        <f>IF($N200&lt;&gt;"",INDEX(tblBilling[Full Address],$N200),CHOOSE(MIN(MAX($O200,0),7)+1,"","","","Total Billing: "&amp;CFG_CurrencySymbol&amp;" "&amp;TEXT(PC_TotalFee,"#,##0"),"Total Pending: "&amp;CFG_CurrencySymbol&amp;" "&amp;TEXT(PC_TotalBalance,"#,##0"),"","Office Verification: ____________",""))</f>
        <v/>
      </c>
      <c r="E200" s="53">
        <f>IF($N200&lt;&gt;"",INDEX(tblBilling[VLAN ID],$N200),"")</f>
        <v/>
      </c>
      <c r="F200" s="52">
        <f>IF($N200&lt;&gt;"",INDEX(tblBilling[Due Date],$N200),"")</f>
        <v/>
      </c>
      <c r="G200" s="54">
        <f>IF($N200&lt;&gt;"",INDEX(tblBilling[Monthly Fee],$N200),IF($O200=1,PC_TotalFee,""))</f>
        <v/>
      </c>
      <c r="H200" s="54">
        <f>IF($N200&lt;&gt;"",INDEX(tblBilling[Amount Paid],$N200),IF($O200=1,PC_TotalPaid,""))</f>
        <v/>
      </c>
      <c r="I200" s="54">
        <f>IF($N200&lt;&gt;"",INDEX(tblBilling[Balance],$N200),IF($O200=1,PC_TotalBalance,""))</f>
        <v/>
      </c>
      <c r="J200" s="53">
        <f>IF($N200&lt;&gt;"",INDEX(tblBilling[Payment Status],$N200),"")</f>
        <v/>
      </c>
      <c r="K200" s="55">
        <f>IF($N200&lt;&gt;"",IF(INDEX(tblBilling[Last Payment Date],$N200)="","",INDEX(tblBilling[Last Payment Date],$N200)),"")</f>
        <v/>
      </c>
      <c r="L200" s="53">
        <f>IF($N200&lt;&gt;"",INDEX(tblBilling[Collector Name],$N200),"")</f>
        <v/>
      </c>
      <c r="N200">
        <f>IF(N199="","",IFERROR(N199+MATCH(1,INDEX(tblBilling[Print Match],N199+1):INDEX(tblBilling[Print Match],ROWS(tblBilling[Print Match])),0),""))</f>
        <v/>
      </c>
      <c r="O200">
        <f>ROW()-9-MIN(PC_Count,500)</f>
        <v/>
      </c>
    </row>
    <row r="201" ht="20" customHeight="1">
      <c r="A201" s="52">
        <f>IF($N201="","",ROW()-9)</f>
        <v/>
      </c>
      <c r="B201" s="53">
        <f>IF($N201&lt;&gt;"",INDEX(tblBilling[Customer ID],$N201),"")</f>
        <v/>
      </c>
      <c r="C201" s="53">
        <f>IF($N201&lt;&gt;"",INDEX(tblBilling[Customer Name],$N201),CHOOSE(MIN(MAX($O201,0),7)+1,"","TOTAL","","Total Customers: "&amp;PC_Count,"Total Recovered: "&amp;CFG_CurrencySymbol&amp;" "&amp;TEXT(PC_TotalPaid,"#,##0"),"","Collector Signature: ____________",""))</f>
        <v/>
      </c>
      <c r="D201" s="53">
        <f>IF($N201&lt;&gt;"",INDEX(tblBilling[Full Address],$N201),CHOOSE(MIN(MAX($O201,0),7)+1,"","","","Total Billing: "&amp;CFG_CurrencySymbol&amp;" "&amp;TEXT(PC_TotalFee,"#,##0"),"Total Pending: "&amp;CFG_CurrencySymbol&amp;" "&amp;TEXT(PC_TotalBalance,"#,##0"),"","Office Verification: ____________",""))</f>
        <v/>
      </c>
      <c r="E201" s="53">
        <f>IF($N201&lt;&gt;"",INDEX(tblBilling[VLAN ID],$N201),"")</f>
        <v/>
      </c>
      <c r="F201" s="52">
        <f>IF($N201&lt;&gt;"",INDEX(tblBilling[Due Date],$N201),"")</f>
        <v/>
      </c>
      <c r="G201" s="54">
        <f>IF($N201&lt;&gt;"",INDEX(tblBilling[Monthly Fee],$N201),IF($O201=1,PC_TotalFee,""))</f>
        <v/>
      </c>
      <c r="H201" s="54">
        <f>IF($N201&lt;&gt;"",INDEX(tblBilling[Amount Paid],$N201),IF($O201=1,PC_TotalPaid,""))</f>
        <v/>
      </c>
      <c r="I201" s="54">
        <f>IF($N201&lt;&gt;"",INDEX(tblBilling[Balance],$N201),IF($O201=1,PC_TotalBalance,""))</f>
        <v/>
      </c>
      <c r="J201" s="53">
        <f>IF($N201&lt;&gt;"",INDEX(tblBilling[Payment Status],$N201),"")</f>
        <v/>
      </c>
      <c r="K201" s="55">
        <f>IF($N201&lt;&gt;"",IF(INDEX(tblBilling[Last Payment Date],$N201)="","",INDEX(tblBilling[Last Payment Date],$N201)),"")</f>
        <v/>
      </c>
      <c r="L201" s="53">
        <f>IF($N201&lt;&gt;"",INDEX(tblBilling[Collector Name],$N201),"")</f>
        <v/>
      </c>
      <c r="N201">
        <f>IF(N200="","",IFERROR(N200+MATCH(1,INDEX(tblBilling[Print Match],N200+1):INDEX(tblBilling[Print Match],ROWS(tblBilling[Print Match])),0),""))</f>
        <v/>
      </c>
      <c r="O201">
        <f>ROW()-9-MIN(PC_Count,500)</f>
        <v/>
      </c>
    </row>
    <row r="202" ht="20" customHeight="1">
      <c r="A202" s="52">
        <f>IF($N202="","",ROW()-9)</f>
        <v/>
      </c>
      <c r="B202" s="53">
        <f>IF($N202&lt;&gt;"",INDEX(tblBilling[Customer ID],$N202),"")</f>
        <v/>
      </c>
      <c r="C202" s="53">
        <f>IF($N202&lt;&gt;"",INDEX(tblBilling[Customer Name],$N202),CHOOSE(MIN(MAX($O202,0),7)+1,"","TOTAL","","Total Customers: "&amp;PC_Count,"Total Recovered: "&amp;CFG_CurrencySymbol&amp;" "&amp;TEXT(PC_TotalPaid,"#,##0"),"","Collector Signature: ____________",""))</f>
        <v/>
      </c>
      <c r="D202" s="53">
        <f>IF($N202&lt;&gt;"",INDEX(tblBilling[Full Address],$N202),CHOOSE(MIN(MAX($O202,0),7)+1,"","","","Total Billing: "&amp;CFG_CurrencySymbol&amp;" "&amp;TEXT(PC_TotalFee,"#,##0"),"Total Pending: "&amp;CFG_CurrencySymbol&amp;" "&amp;TEXT(PC_TotalBalance,"#,##0"),"","Office Verification: ____________",""))</f>
        <v/>
      </c>
      <c r="E202" s="53">
        <f>IF($N202&lt;&gt;"",INDEX(tblBilling[VLAN ID],$N202),"")</f>
        <v/>
      </c>
      <c r="F202" s="52">
        <f>IF($N202&lt;&gt;"",INDEX(tblBilling[Due Date],$N202),"")</f>
        <v/>
      </c>
      <c r="G202" s="54">
        <f>IF($N202&lt;&gt;"",INDEX(tblBilling[Monthly Fee],$N202),IF($O202=1,PC_TotalFee,""))</f>
        <v/>
      </c>
      <c r="H202" s="54">
        <f>IF($N202&lt;&gt;"",INDEX(tblBilling[Amount Paid],$N202),IF($O202=1,PC_TotalPaid,""))</f>
        <v/>
      </c>
      <c r="I202" s="54">
        <f>IF($N202&lt;&gt;"",INDEX(tblBilling[Balance],$N202),IF($O202=1,PC_TotalBalance,""))</f>
        <v/>
      </c>
      <c r="J202" s="53">
        <f>IF($N202&lt;&gt;"",INDEX(tblBilling[Payment Status],$N202),"")</f>
        <v/>
      </c>
      <c r="K202" s="55">
        <f>IF($N202&lt;&gt;"",IF(INDEX(tblBilling[Last Payment Date],$N202)="","",INDEX(tblBilling[Last Payment Date],$N202)),"")</f>
        <v/>
      </c>
      <c r="L202" s="53">
        <f>IF($N202&lt;&gt;"",INDEX(tblBilling[Collector Name],$N202),"")</f>
        <v/>
      </c>
      <c r="N202">
        <f>IF(N201="","",IFERROR(N201+MATCH(1,INDEX(tblBilling[Print Match],N201+1):INDEX(tblBilling[Print Match],ROWS(tblBilling[Print Match])),0),""))</f>
        <v/>
      </c>
      <c r="O202">
        <f>ROW()-9-MIN(PC_Count,500)</f>
        <v/>
      </c>
    </row>
    <row r="203" ht="20" customHeight="1">
      <c r="A203" s="52">
        <f>IF($N203="","",ROW()-9)</f>
        <v/>
      </c>
      <c r="B203" s="53">
        <f>IF($N203&lt;&gt;"",INDEX(tblBilling[Customer ID],$N203),"")</f>
        <v/>
      </c>
      <c r="C203" s="53">
        <f>IF($N203&lt;&gt;"",INDEX(tblBilling[Customer Name],$N203),CHOOSE(MIN(MAX($O203,0),7)+1,"","TOTAL","","Total Customers: "&amp;PC_Count,"Total Recovered: "&amp;CFG_CurrencySymbol&amp;" "&amp;TEXT(PC_TotalPaid,"#,##0"),"","Collector Signature: ____________",""))</f>
        <v/>
      </c>
      <c r="D203" s="53">
        <f>IF($N203&lt;&gt;"",INDEX(tblBilling[Full Address],$N203),CHOOSE(MIN(MAX($O203,0),7)+1,"","","","Total Billing: "&amp;CFG_CurrencySymbol&amp;" "&amp;TEXT(PC_TotalFee,"#,##0"),"Total Pending: "&amp;CFG_CurrencySymbol&amp;" "&amp;TEXT(PC_TotalBalance,"#,##0"),"","Office Verification: ____________",""))</f>
        <v/>
      </c>
      <c r="E203" s="53">
        <f>IF($N203&lt;&gt;"",INDEX(tblBilling[VLAN ID],$N203),"")</f>
        <v/>
      </c>
      <c r="F203" s="52">
        <f>IF($N203&lt;&gt;"",INDEX(tblBilling[Due Date],$N203),"")</f>
        <v/>
      </c>
      <c r="G203" s="54">
        <f>IF($N203&lt;&gt;"",INDEX(tblBilling[Monthly Fee],$N203),IF($O203=1,PC_TotalFee,""))</f>
        <v/>
      </c>
      <c r="H203" s="54">
        <f>IF($N203&lt;&gt;"",INDEX(tblBilling[Amount Paid],$N203),IF($O203=1,PC_TotalPaid,""))</f>
        <v/>
      </c>
      <c r="I203" s="54">
        <f>IF($N203&lt;&gt;"",INDEX(tblBilling[Balance],$N203),IF($O203=1,PC_TotalBalance,""))</f>
        <v/>
      </c>
      <c r="J203" s="53">
        <f>IF($N203&lt;&gt;"",INDEX(tblBilling[Payment Status],$N203),"")</f>
        <v/>
      </c>
      <c r="K203" s="55">
        <f>IF($N203&lt;&gt;"",IF(INDEX(tblBilling[Last Payment Date],$N203)="","",INDEX(tblBilling[Last Payment Date],$N203)),"")</f>
        <v/>
      </c>
      <c r="L203" s="53">
        <f>IF($N203&lt;&gt;"",INDEX(tblBilling[Collector Name],$N203),"")</f>
        <v/>
      </c>
      <c r="N203">
        <f>IF(N202="","",IFERROR(N202+MATCH(1,INDEX(tblBilling[Print Match],N202+1):INDEX(tblBilling[Print Match],ROWS(tblBilling[Print Match])),0),""))</f>
        <v/>
      </c>
      <c r="O203">
        <f>ROW()-9-MIN(PC_Count,500)</f>
        <v/>
      </c>
    </row>
    <row r="204" ht="20" customHeight="1">
      <c r="A204" s="52">
        <f>IF($N204="","",ROW()-9)</f>
        <v/>
      </c>
      <c r="B204" s="53">
        <f>IF($N204&lt;&gt;"",INDEX(tblBilling[Customer ID],$N204),"")</f>
        <v/>
      </c>
      <c r="C204" s="53">
        <f>IF($N204&lt;&gt;"",INDEX(tblBilling[Customer Name],$N204),CHOOSE(MIN(MAX($O204,0),7)+1,"","TOTAL","","Total Customers: "&amp;PC_Count,"Total Recovered: "&amp;CFG_CurrencySymbol&amp;" "&amp;TEXT(PC_TotalPaid,"#,##0"),"","Collector Signature: ____________",""))</f>
        <v/>
      </c>
      <c r="D204" s="53">
        <f>IF($N204&lt;&gt;"",INDEX(tblBilling[Full Address],$N204),CHOOSE(MIN(MAX($O204,0),7)+1,"","","","Total Billing: "&amp;CFG_CurrencySymbol&amp;" "&amp;TEXT(PC_TotalFee,"#,##0"),"Total Pending: "&amp;CFG_CurrencySymbol&amp;" "&amp;TEXT(PC_TotalBalance,"#,##0"),"","Office Verification: ____________",""))</f>
        <v/>
      </c>
      <c r="E204" s="53">
        <f>IF($N204&lt;&gt;"",INDEX(tblBilling[VLAN ID],$N204),"")</f>
        <v/>
      </c>
      <c r="F204" s="52">
        <f>IF($N204&lt;&gt;"",INDEX(tblBilling[Due Date],$N204),"")</f>
        <v/>
      </c>
      <c r="G204" s="54">
        <f>IF($N204&lt;&gt;"",INDEX(tblBilling[Monthly Fee],$N204),IF($O204=1,PC_TotalFee,""))</f>
        <v/>
      </c>
      <c r="H204" s="54">
        <f>IF($N204&lt;&gt;"",INDEX(tblBilling[Amount Paid],$N204),IF($O204=1,PC_TotalPaid,""))</f>
        <v/>
      </c>
      <c r="I204" s="54">
        <f>IF($N204&lt;&gt;"",INDEX(tblBilling[Balance],$N204),IF($O204=1,PC_TotalBalance,""))</f>
        <v/>
      </c>
      <c r="J204" s="53">
        <f>IF($N204&lt;&gt;"",INDEX(tblBilling[Payment Status],$N204),"")</f>
        <v/>
      </c>
      <c r="K204" s="55">
        <f>IF($N204&lt;&gt;"",IF(INDEX(tblBilling[Last Payment Date],$N204)="","",INDEX(tblBilling[Last Payment Date],$N204)),"")</f>
        <v/>
      </c>
      <c r="L204" s="53">
        <f>IF($N204&lt;&gt;"",INDEX(tblBilling[Collector Name],$N204),"")</f>
        <v/>
      </c>
      <c r="N204">
        <f>IF(N203="","",IFERROR(N203+MATCH(1,INDEX(tblBilling[Print Match],N203+1):INDEX(tblBilling[Print Match],ROWS(tblBilling[Print Match])),0),""))</f>
        <v/>
      </c>
      <c r="O204">
        <f>ROW()-9-MIN(PC_Count,500)</f>
        <v/>
      </c>
    </row>
    <row r="205" ht="20" customHeight="1">
      <c r="A205" s="52">
        <f>IF($N205="","",ROW()-9)</f>
        <v/>
      </c>
      <c r="B205" s="53">
        <f>IF($N205&lt;&gt;"",INDEX(tblBilling[Customer ID],$N205),"")</f>
        <v/>
      </c>
      <c r="C205" s="53">
        <f>IF($N205&lt;&gt;"",INDEX(tblBilling[Customer Name],$N205),CHOOSE(MIN(MAX($O205,0),7)+1,"","TOTAL","","Total Customers: "&amp;PC_Count,"Total Recovered: "&amp;CFG_CurrencySymbol&amp;" "&amp;TEXT(PC_TotalPaid,"#,##0"),"","Collector Signature: ____________",""))</f>
        <v/>
      </c>
      <c r="D205" s="53">
        <f>IF($N205&lt;&gt;"",INDEX(tblBilling[Full Address],$N205),CHOOSE(MIN(MAX($O205,0),7)+1,"","","","Total Billing: "&amp;CFG_CurrencySymbol&amp;" "&amp;TEXT(PC_TotalFee,"#,##0"),"Total Pending: "&amp;CFG_CurrencySymbol&amp;" "&amp;TEXT(PC_TotalBalance,"#,##0"),"","Office Verification: ____________",""))</f>
        <v/>
      </c>
      <c r="E205" s="53">
        <f>IF($N205&lt;&gt;"",INDEX(tblBilling[VLAN ID],$N205),"")</f>
        <v/>
      </c>
      <c r="F205" s="52">
        <f>IF($N205&lt;&gt;"",INDEX(tblBilling[Due Date],$N205),"")</f>
        <v/>
      </c>
      <c r="G205" s="54">
        <f>IF($N205&lt;&gt;"",INDEX(tblBilling[Monthly Fee],$N205),IF($O205=1,PC_TotalFee,""))</f>
        <v/>
      </c>
      <c r="H205" s="54">
        <f>IF($N205&lt;&gt;"",INDEX(tblBilling[Amount Paid],$N205),IF($O205=1,PC_TotalPaid,""))</f>
        <v/>
      </c>
      <c r="I205" s="54">
        <f>IF($N205&lt;&gt;"",INDEX(tblBilling[Balance],$N205),IF($O205=1,PC_TotalBalance,""))</f>
        <v/>
      </c>
      <c r="J205" s="53">
        <f>IF($N205&lt;&gt;"",INDEX(tblBilling[Payment Status],$N205),"")</f>
        <v/>
      </c>
      <c r="K205" s="55">
        <f>IF($N205&lt;&gt;"",IF(INDEX(tblBilling[Last Payment Date],$N205)="","",INDEX(tblBilling[Last Payment Date],$N205)),"")</f>
        <v/>
      </c>
      <c r="L205" s="53">
        <f>IF($N205&lt;&gt;"",INDEX(tblBilling[Collector Name],$N205),"")</f>
        <v/>
      </c>
      <c r="N205">
        <f>IF(N204="","",IFERROR(N204+MATCH(1,INDEX(tblBilling[Print Match],N204+1):INDEX(tblBilling[Print Match],ROWS(tblBilling[Print Match])),0),""))</f>
        <v/>
      </c>
      <c r="O205">
        <f>ROW()-9-MIN(PC_Count,500)</f>
        <v/>
      </c>
    </row>
    <row r="206" ht="20" customHeight="1">
      <c r="A206" s="52">
        <f>IF($N206="","",ROW()-9)</f>
        <v/>
      </c>
      <c r="B206" s="53">
        <f>IF($N206&lt;&gt;"",INDEX(tblBilling[Customer ID],$N206),"")</f>
        <v/>
      </c>
      <c r="C206" s="53">
        <f>IF($N206&lt;&gt;"",INDEX(tblBilling[Customer Name],$N206),CHOOSE(MIN(MAX($O206,0),7)+1,"","TOTAL","","Total Customers: "&amp;PC_Count,"Total Recovered: "&amp;CFG_CurrencySymbol&amp;" "&amp;TEXT(PC_TotalPaid,"#,##0"),"","Collector Signature: ____________",""))</f>
        <v/>
      </c>
      <c r="D206" s="53">
        <f>IF($N206&lt;&gt;"",INDEX(tblBilling[Full Address],$N206),CHOOSE(MIN(MAX($O206,0),7)+1,"","","","Total Billing: "&amp;CFG_CurrencySymbol&amp;" "&amp;TEXT(PC_TotalFee,"#,##0"),"Total Pending: "&amp;CFG_CurrencySymbol&amp;" "&amp;TEXT(PC_TotalBalance,"#,##0"),"","Office Verification: ____________",""))</f>
        <v/>
      </c>
      <c r="E206" s="53">
        <f>IF($N206&lt;&gt;"",INDEX(tblBilling[VLAN ID],$N206),"")</f>
        <v/>
      </c>
      <c r="F206" s="52">
        <f>IF($N206&lt;&gt;"",INDEX(tblBilling[Due Date],$N206),"")</f>
        <v/>
      </c>
      <c r="G206" s="54">
        <f>IF($N206&lt;&gt;"",INDEX(tblBilling[Monthly Fee],$N206),IF($O206=1,PC_TotalFee,""))</f>
        <v/>
      </c>
      <c r="H206" s="54">
        <f>IF($N206&lt;&gt;"",INDEX(tblBilling[Amount Paid],$N206),IF($O206=1,PC_TotalPaid,""))</f>
        <v/>
      </c>
      <c r="I206" s="54">
        <f>IF($N206&lt;&gt;"",INDEX(tblBilling[Balance],$N206),IF($O206=1,PC_TotalBalance,""))</f>
        <v/>
      </c>
      <c r="J206" s="53">
        <f>IF($N206&lt;&gt;"",INDEX(tblBilling[Payment Status],$N206),"")</f>
        <v/>
      </c>
      <c r="K206" s="55">
        <f>IF($N206&lt;&gt;"",IF(INDEX(tblBilling[Last Payment Date],$N206)="","",INDEX(tblBilling[Last Payment Date],$N206)),"")</f>
        <v/>
      </c>
      <c r="L206" s="53">
        <f>IF($N206&lt;&gt;"",INDEX(tblBilling[Collector Name],$N206),"")</f>
        <v/>
      </c>
      <c r="N206">
        <f>IF(N205="","",IFERROR(N205+MATCH(1,INDEX(tblBilling[Print Match],N205+1):INDEX(tblBilling[Print Match],ROWS(tblBilling[Print Match])),0),""))</f>
        <v/>
      </c>
      <c r="O206">
        <f>ROW()-9-MIN(PC_Count,500)</f>
        <v/>
      </c>
    </row>
    <row r="207" ht="20" customHeight="1">
      <c r="A207" s="52">
        <f>IF($N207="","",ROW()-9)</f>
        <v/>
      </c>
      <c r="B207" s="53">
        <f>IF($N207&lt;&gt;"",INDEX(tblBilling[Customer ID],$N207),"")</f>
        <v/>
      </c>
      <c r="C207" s="53">
        <f>IF($N207&lt;&gt;"",INDEX(tblBilling[Customer Name],$N207),CHOOSE(MIN(MAX($O207,0),7)+1,"","TOTAL","","Total Customers: "&amp;PC_Count,"Total Recovered: "&amp;CFG_CurrencySymbol&amp;" "&amp;TEXT(PC_TotalPaid,"#,##0"),"","Collector Signature: ____________",""))</f>
        <v/>
      </c>
      <c r="D207" s="53">
        <f>IF($N207&lt;&gt;"",INDEX(tblBilling[Full Address],$N207),CHOOSE(MIN(MAX($O207,0),7)+1,"","","","Total Billing: "&amp;CFG_CurrencySymbol&amp;" "&amp;TEXT(PC_TotalFee,"#,##0"),"Total Pending: "&amp;CFG_CurrencySymbol&amp;" "&amp;TEXT(PC_TotalBalance,"#,##0"),"","Office Verification: ____________",""))</f>
        <v/>
      </c>
      <c r="E207" s="53">
        <f>IF($N207&lt;&gt;"",INDEX(tblBilling[VLAN ID],$N207),"")</f>
        <v/>
      </c>
      <c r="F207" s="52">
        <f>IF($N207&lt;&gt;"",INDEX(tblBilling[Due Date],$N207),"")</f>
        <v/>
      </c>
      <c r="G207" s="54">
        <f>IF($N207&lt;&gt;"",INDEX(tblBilling[Monthly Fee],$N207),IF($O207=1,PC_TotalFee,""))</f>
        <v/>
      </c>
      <c r="H207" s="54">
        <f>IF($N207&lt;&gt;"",INDEX(tblBilling[Amount Paid],$N207),IF($O207=1,PC_TotalPaid,""))</f>
        <v/>
      </c>
      <c r="I207" s="54">
        <f>IF($N207&lt;&gt;"",INDEX(tblBilling[Balance],$N207),IF($O207=1,PC_TotalBalance,""))</f>
        <v/>
      </c>
      <c r="J207" s="53">
        <f>IF($N207&lt;&gt;"",INDEX(tblBilling[Payment Status],$N207),"")</f>
        <v/>
      </c>
      <c r="K207" s="55">
        <f>IF($N207&lt;&gt;"",IF(INDEX(tblBilling[Last Payment Date],$N207)="","",INDEX(tblBilling[Last Payment Date],$N207)),"")</f>
        <v/>
      </c>
      <c r="L207" s="53">
        <f>IF($N207&lt;&gt;"",INDEX(tblBilling[Collector Name],$N207),"")</f>
        <v/>
      </c>
      <c r="N207">
        <f>IF(N206="","",IFERROR(N206+MATCH(1,INDEX(tblBilling[Print Match],N206+1):INDEX(tblBilling[Print Match],ROWS(tblBilling[Print Match])),0),""))</f>
        <v/>
      </c>
      <c r="O207">
        <f>ROW()-9-MIN(PC_Count,500)</f>
        <v/>
      </c>
    </row>
    <row r="208" ht="20" customHeight="1">
      <c r="A208" s="52">
        <f>IF($N208="","",ROW()-9)</f>
        <v/>
      </c>
      <c r="B208" s="53">
        <f>IF($N208&lt;&gt;"",INDEX(tblBilling[Customer ID],$N208),"")</f>
        <v/>
      </c>
      <c r="C208" s="53">
        <f>IF($N208&lt;&gt;"",INDEX(tblBilling[Customer Name],$N208),CHOOSE(MIN(MAX($O208,0),7)+1,"","TOTAL","","Total Customers: "&amp;PC_Count,"Total Recovered: "&amp;CFG_CurrencySymbol&amp;" "&amp;TEXT(PC_TotalPaid,"#,##0"),"","Collector Signature: ____________",""))</f>
        <v/>
      </c>
      <c r="D208" s="53">
        <f>IF($N208&lt;&gt;"",INDEX(tblBilling[Full Address],$N208),CHOOSE(MIN(MAX($O208,0),7)+1,"","","","Total Billing: "&amp;CFG_CurrencySymbol&amp;" "&amp;TEXT(PC_TotalFee,"#,##0"),"Total Pending: "&amp;CFG_CurrencySymbol&amp;" "&amp;TEXT(PC_TotalBalance,"#,##0"),"","Office Verification: ____________",""))</f>
        <v/>
      </c>
      <c r="E208" s="53">
        <f>IF($N208&lt;&gt;"",INDEX(tblBilling[VLAN ID],$N208),"")</f>
        <v/>
      </c>
      <c r="F208" s="52">
        <f>IF($N208&lt;&gt;"",INDEX(tblBilling[Due Date],$N208),"")</f>
        <v/>
      </c>
      <c r="G208" s="54">
        <f>IF($N208&lt;&gt;"",INDEX(tblBilling[Monthly Fee],$N208),IF($O208=1,PC_TotalFee,""))</f>
        <v/>
      </c>
      <c r="H208" s="54">
        <f>IF($N208&lt;&gt;"",INDEX(tblBilling[Amount Paid],$N208),IF($O208=1,PC_TotalPaid,""))</f>
        <v/>
      </c>
      <c r="I208" s="54">
        <f>IF($N208&lt;&gt;"",INDEX(tblBilling[Balance],$N208),IF($O208=1,PC_TotalBalance,""))</f>
        <v/>
      </c>
      <c r="J208" s="53">
        <f>IF($N208&lt;&gt;"",INDEX(tblBilling[Payment Status],$N208),"")</f>
        <v/>
      </c>
      <c r="K208" s="55">
        <f>IF($N208&lt;&gt;"",IF(INDEX(tblBilling[Last Payment Date],$N208)="","",INDEX(tblBilling[Last Payment Date],$N208)),"")</f>
        <v/>
      </c>
      <c r="L208" s="53">
        <f>IF($N208&lt;&gt;"",INDEX(tblBilling[Collector Name],$N208),"")</f>
        <v/>
      </c>
      <c r="N208">
        <f>IF(N207="","",IFERROR(N207+MATCH(1,INDEX(tblBilling[Print Match],N207+1):INDEX(tblBilling[Print Match],ROWS(tblBilling[Print Match])),0),""))</f>
        <v/>
      </c>
      <c r="O208">
        <f>ROW()-9-MIN(PC_Count,500)</f>
        <v/>
      </c>
    </row>
    <row r="209" ht="20" customHeight="1">
      <c r="A209" s="52">
        <f>IF($N209="","",ROW()-9)</f>
        <v/>
      </c>
      <c r="B209" s="53">
        <f>IF($N209&lt;&gt;"",INDEX(tblBilling[Customer ID],$N209),"")</f>
        <v/>
      </c>
      <c r="C209" s="53">
        <f>IF($N209&lt;&gt;"",INDEX(tblBilling[Customer Name],$N209),CHOOSE(MIN(MAX($O209,0),7)+1,"","TOTAL","","Total Customers: "&amp;PC_Count,"Total Recovered: "&amp;CFG_CurrencySymbol&amp;" "&amp;TEXT(PC_TotalPaid,"#,##0"),"","Collector Signature: ____________",""))</f>
        <v/>
      </c>
      <c r="D209" s="53">
        <f>IF($N209&lt;&gt;"",INDEX(tblBilling[Full Address],$N209),CHOOSE(MIN(MAX($O209,0),7)+1,"","","","Total Billing: "&amp;CFG_CurrencySymbol&amp;" "&amp;TEXT(PC_TotalFee,"#,##0"),"Total Pending: "&amp;CFG_CurrencySymbol&amp;" "&amp;TEXT(PC_TotalBalance,"#,##0"),"","Office Verification: ____________",""))</f>
        <v/>
      </c>
      <c r="E209" s="53">
        <f>IF($N209&lt;&gt;"",INDEX(tblBilling[VLAN ID],$N209),"")</f>
        <v/>
      </c>
      <c r="F209" s="52">
        <f>IF($N209&lt;&gt;"",INDEX(tblBilling[Due Date],$N209),"")</f>
        <v/>
      </c>
      <c r="G209" s="54">
        <f>IF($N209&lt;&gt;"",INDEX(tblBilling[Monthly Fee],$N209),IF($O209=1,PC_TotalFee,""))</f>
        <v/>
      </c>
      <c r="H209" s="54">
        <f>IF($N209&lt;&gt;"",INDEX(tblBilling[Amount Paid],$N209),IF($O209=1,PC_TotalPaid,""))</f>
        <v/>
      </c>
      <c r="I209" s="54">
        <f>IF($N209&lt;&gt;"",INDEX(tblBilling[Balance],$N209),IF($O209=1,PC_TotalBalance,""))</f>
        <v/>
      </c>
      <c r="J209" s="53">
        <f>IF($N209&lt;&gt;"",INDEX(tblBilling[Payment Status],$N209),"")</f>
        <v/>
      </c>
      <c r="K209" s="55">
        <f>IF($N209&lt;&gt;"",IF(INDEX(tblBilling[Last Payment Date],$N209)="","",INDEX(tblBilling[Last Payment Date],$N209)),"")</f>
        <v/>
      </c>
      <c r="L209" s="53">
        <f>IF($N209&lt;&gt;"",INDEX(tblBilling[Collector Name],$N209),"")</f>
        <v/>
      </c>
      <c r="N209">
        <f>IF(N208="","",IFERROR(N208+MATCH(1,INDEX(tblBilling[Print Match],N208+1):INDEX(tblBilling[Print Match],ROWS(tblBilling[Print Match])),0),""))</f>
        <v/>
      </c>
      <c r="O209">
        <f>ROW()-9-MIN(PC_Count,500)</f>
        <v/>
      </c>
    </row>
    <row r="210" ht="20" customHeight="1">
      <c r="A210" s="52">
        <f>IF($N210="","",ROW()-9)</f>
        <v/>
      </c>
      <c r="B210" s="53">
        <f>IF($N210&lt;&gt;"",INDEX(tblBilling[Customer ID],$N210),"")</f>
        <v/>
      </c>
      <c r="C210" s="53">
        <f>IF($N210&lt;&gt;"",INDEX(tblBilling[Customer Name],$N210),CHOOSE(MIN(MAX($O210,0),7)+1,"","TOTAL","","Total Customers: "&amp;PC_Count,"Total Recovered: "&amp;CFG_CurrencySymbol&amp;" "&amp;TEXT(PC_TotalPaid,"#,##0"),"","Collector Signature: ____________",""))</f>
        <v/>
      </c>
      <c r="D210" s="53">
        <f>IF($N210&lt;&gt;"",INDEX(tblBilling[Full Address],$N210),CHOOSE(MIN(MAX($O210,0),7)+1,"","","","Total Billing: "&amp;CFG_CurrencySymbol&amp;" "&amp;TEXT(PC_TotalFee,"#,##0"),"Total Pending: "&amp;CFG_CurrencySymbol&amp;" "&amp;TEXT(PC_TotalBalance,"#,##0"),"","Office Verification: ____________",""))</f>
        <v/>
      </c>
      <c r="E210" s="53">
        <f>IF($N210&lt;&gt;"",INDEX(tblBilling[VLAN ID],$N210),"")</f>
        <v/>
      </c>
      <c r="F210" s="52">
        <f>IF($N210&lt;&gt;"",INDEX(tblBilling[Due Date],$N210),"")</f>
        <v/>
      </c>
      <c r="G210" s="54">
        <f>IF($N210&lt;&gt;"",INDEX(tblBilling[Monthly Fee],$N210),IF($O210=1,PC_TotalFee,""))</f>
        <v/>
      </c>
      <c r="H210" s="54">
        <f>IF($N210&lt;&gt;"",INDEX(tblBilling[Amount Paid],$N210),IF($O210=1,PC_TotalPaid,""))</f>
        <v/>
      </c>
      <c r="I210" s="54">
        <f>IF($N210&lt;&gt;"",INDEX(tblBilling[Balance],$N210),IF($O210=1,PC_TotalBalance,""))</f>
        <v/>
      </c>
      <c r="J210" s="53">
        <f>IF($N210&lt;&gt;"",INDEX(tblBilling[Payment Status],$N210),"")</f>
        <v/>
      </c>
      <c r="K210" s="55">
        <f>IF($N210&lt;&gt;"",IF(INDEX(tblBilling[Last Payment Date],$N210)="","",INDEX(tblBilling[Last Payment Date],$N210)),"")</f>
        <v/>
      </c>
      <c r="L210" s="53">
        <f>IF($N210&lt;&gt;"",INDEX(tblBilling[Collector Name],$N210),"")</f>
        <v/>
      </c>
      <c r="N210">
        <f>IF(N209="","",IFERROR(N209+MATCH(1,INDEX(tblBilling[Print Match],N209+1):INDEX(tblBilling[Print Match],ROWS(tblBilling[Print Match])),0),""))</f>
        <v/>
      </c>
      <c r="O210">
        <f>ROW()-9-MIN(PC_Count,500)</f>
        <v/>
      </c>
    </row>
    <row r="211" ht="20" customHeight="1">
      <c r="A211" s="52">
        <f>IF($N211="","",ROW()-9)</f>
        <v/>
      </c>
      <c r="B211" s="53">
        <f>IF($N211&lt;&gt;"",INDEX(tblBilling[Customer ID],$N211),"")</f>
        <v/>
      </c>
      <c r="C211" s="53">
        <f>IF($N211&lt;&gt;"",INDEX(tblBilling[Customer Name],$N211),CHOOSE(MIN(MAX($O211,0),7)+1,"","TOTAL","","Total Customers: "&amp;PC_Count,"Total Recovered: "&amp;CFG_CurrencySymbol&amp;" "&amp;TEXT(PC_TotalPaid,"#,##0"),"","Collector Signature: ____________",""))</f>
        <v/>
      </c>
      <c r="D211" s="53">
        <f>IF($N211&lt;&gt;"",INDEX(tblBilling[Full Address],$N211),CHOOSE(MIN(MAX($O211,0),7)+1,"","","","Total Billing: "&amp;CFG_CurrencySymbol&amp;" "&amp;TEXT(PC_TotalFee,"#,##0"),"Total Pending: "&amp;CFG_CurrencySymbol&amp;" "&amp;TEXT(PC_TotalBalance,"#,##0"),"","Office Verification: ____________",""))</f>
        <v/>
      </c>
      <c r="E211" s="53">
        <f>IF($N211&lt;&gt;"",INDEX(tblBilling[VLAN ID],$N211),"")</f>
        <v/>
      </c>
      <c r="F211" s="52">
        <f>IF($N211&lt;&gt;"",INDEX(tblBilling[Due Date],$N211),"")</f>
        <v/>
      </c>
      <c r="G211" s="54">
        <f>IF($N211&lt;&gt;"",INDEX(tblBilling[Monthly Fee],$N211),IF($O211=1,PC_TotalFee,""))</f>
        <v/>
      </c>
      <c r="H211" s="54">
        <f>IF($N211&lt;&gt;"",INDEX(tblBilling[Amount Paid],$N211),IF($O211=1,PC_TotalPaid,""))</f>
        <v/>
      </c>
      <c r="I211" s="54">
        <f>IF($N211&lt;&gt;"",INDEX(tblBilling[Balance],$N211),IF($O211=1,PC_TotalBalance,""))</f>
        <v/>
      </c>
      <c r="J211" s="53">
        <f>IF($N211&lt;&gt;"",INDEX(tblBilling[Payment Status],$N211),"")</f>
        <v/>
      </c>
      <c r="K211" s="55">
        <f>IF($N211&lt;&gt;"",IF(INDEX(tblBilling[Last Payment Date],$N211)="","",INDEX(tblBilling[Last Payment Date],$N211)),"")</f>
        <v/>
      </c>
      <c r="L211" s="53">
        <f>IF($N211&lt;&gt;"",INDEX(tblBilling[Collector Name],$N211),"")</f>
        <v/>
      </c>
      <c r="N211">
        <f>IF(N210="","",IFERROR(N210+MATCH(1,INDEX(tblBilling[Print Match],N210+1):INDEX(tblBilling[Print Match],ROWS(tblBilling[Print Match])),0),""))</f>
        <v/>
      </c>
      <c r="O211">
        <f>ROW()-9-MIN(PC_Count,500)</f>
        <v/>
      </c>
    </row>
    <row r="212" ht="20" customHeight="1">
      <c r="A212" s="52">
        <f>IF($N212="","",ROW()-9)</f>
        <v/>
      </c>
      <c r="B212" s="53">
        <f>IF($N212&lt;&gt;"",INDEX(tblBilling[Customer ID],$N212),"")</f>
        <v/>
      </c>
      <c r="C212" s="53">
        <f>IF($N212&lt;&gt;"",INDEX(tblBilling[Customer Name],$N212),CHOOSE(MIN(MAX($O212,0),7)+1,"","TOTAL","","Total Customers: "&amp;PC_Count,"Total Recovered: "&amp;CFG_CurrencySymbol&amp;" "&amp;TEXT(PC_TotalPaid,"#,##0"),"","Collector Signature: ____________",""))</f>
        <v/>
      </c>
      <c r="D212" s="53">
        <f>IF($N212&lt;&gt;"",INDEX(tblBilling[Full Address],$N212),CHOOSE(MIN(MAX($O212,0),7)+1,"","","","Total Billing: "&amp;CFG_CurrencySymbol&amp;" "&amp;TEXT(PC_TotalFee,"#,##0"),"Total Pending: "&amp;CFG_CurrencySymbol&amp;" "&amp;TEXT(PC_TotalBalance,"#,##0"),"","Office Verification: ____________",""))</f>
        <v/>
      </c>
      <c r="E212" s="53">
        <f>IF($N212&lt;&gt;"",INDEX(tblBilling[VLAN ID],$N212),"")</f>
        <v/>
      </c>
      <c r="F212" s="52">
        <f>IF($N212&lt;&gt;"",INDEX(tblBilling[Due Date],$N212),"")</f>
        <v/>
      </c>
      <c r="G212" s="54">
        <f>IF($N212&lt;&gt;"",INDEX(tblBilling[Monthly Fee],$N212),IF($O212=1,PC_TotalFee,""))</f>
        <v/>
      </c>
      <c r="H212" s="54">
        <f>IF($N212&lt;&gt;"",INDEX(tblBilling[Amount Paid],$N212),IF($O212=1,PC_TotalPaid,""))</f>
        <v/>
      </c>
      <c r="I212" s="54">
        <f>IF($N212&lt;&gt;"",INDEX(tblBilling[Balance],$N212),IF($O212=1,PC_TotalBalance,""))</f>
        <v/>
      </c>
      <c r="J212" s="53">
        <f>IF($N212&lt;&gt;"",INDEX(tblBilling[Payment Status],$N212),"")</f>
        <v/>
      </c>
      <c r="K212" s="55">
        <f>IF($N212&lt;&gt;"",IF(INDEX(tblBilling[Last Payment Date],$N212)="","",INDEX(tblBilling[Last Payment Date],$N212)),"")</f>
        <v/>
      </c>
      <c r="L212" s="53">
        <f>IF($N212&lt;&gt;"",INDEX(tblBilling[Collector Name],$N212),"")</f>
        <v/>
      </c>
      <c r="N212">
        <f>IF(N211="","",IFERROR(N211+MATCH(1,INDEX(tblBilling[Print Match],N211+1):INDEX(tblBilling[Print Match],ROWS(tblBilling[Print Match])),0),""))</f>
        <v/>
      </c>
      <c r="O212">
        <f>ROW()-9-MIN(PC_Count,500)</f>
        <v/>
      </c>
    </row>
    <row r="213" ht="20" customHeight="1">
      <c r="A213" s="52">
        <f>IF($N213="","",ROW()-9)</f>
        <v/>
      </c>
      <c r="B213" s="53">
        <f>IF($N213&lt;&gt;"",INDEX(tblBilling[Customer ID],$N213),"")</f>
        <v/>
      </c>
      <c r="C213" s="53">
        <f>IF($N213&lt;&gt;"",INDEX(tblBilling[Customer Name],$N213),CHOOSE(MIN(MAX($O213,0),7)+1,"","TOTAL","","Total Customers: "&amp;PC_Count,"Total Recovered: "&amp;CFG_CurrencySymbol&amp;" "&amp;TEXT(PC_TotalPaid,"#,##0"),"","Collector Signature: ____________",""))</f>
        <v/>
      </c>
      <c r="D213" s="53">
        <f>IF($N213&lt;&gt;"",INDEX(tblBilling[Full Address],$N213),CHOOSE(MIN(MAX($O213,0),7)+1,"","","","Total Billing: "&amp;CFG_CurrencySymbol&amp;" "&amp;TEXT(PC_TotalFee,"#,##0"),"Total Pending: "&amp;CFG_CurrencySymbol&amp;" "&amp;TEXT(PC_TotalBalance,"#,##0"),"","Office Verification: ____________",""))</f>
        <v/>
      </c>
      <c r="E213" s="53">
        <f>IF($N213&lt;&gt;"",INDEX(tblBilling[VLAN ID],$N213),"")</f>
        <v/>
      </c>
      <c r="F213" s="52">
        <f>IF($N213&lt;&gt;"",INDEX(tblBilling[Due Date],$N213),"")</f>
        <v/>
      </c>
      <c r="G213" s="54">
        <f>IF($N213&lt;&gt;"",INDEX(tblBilling[Monthly Fee],$N213),IF($O213=1,PC_TotalFee,""))</f>
        <v/>
      </c>
      <c r="H213" s="54">
        <f>IF($N213&lt;&gt;"",INDEX(tblBilling[Amount Paid],$N213),IF($O213=1,PC_TotalPaid,""))</f>
        <v/>
      </c>
      <c r="I213" s="54">
        <f>IF($N213&lt;&gt;"",INDEX(tblBilling[Balance],$N213),IF($O213=1,PC_TotalBalance,""))</f>
        <v/>
      </c>
      <c r="J213" s="53">
        <f>IF($N213&lt;&gt;"",INDEX(tblBilling[Payment Status],$N213),"")</f>
        <v/>
      </c>
      <c r="K213" s="55">
        <f>IF($N213&lt;&gt;"",IF(INDEX(tblBilling[Last Payment Date],$N213)="","",INDEX(tblBilling[Last Payment Date],$N213)),"")</f>
        <v/>
      </c>
      <c r="L213" s="53">
        <f>IF($N213&lt;&gt;"",INDEX(tblBilling[Collector Name],$N213),"")</f>
        <v/>
      </c>
      <c r="N213">
        <f>IF(N212="","",IFERROR(N212+MATCH(1,INDEX(tblBilling[Print Match],N212+1):INDEX(tblBilling[Print Match],ROWS(tblBilling[Print Match])),0),""))</f>
        <v/>
      </c>
      <c r="O213">
        <f>ROW()-9-MIN(PC_Count,500)</f>
        <v/>
      </c>
    </row>
    <row r="214" ht="20" customHeight="1">
      <c r="A214" s="52">
        <f>IF($N214="","",ROW()-9)</f>
        <v/>
      </c>
      <c r="B214" s="53">
        <f>IF($N214&lt;&gt;"",INDEX(tblBilling[Customer ID],$N214),"")</f>
        <v/>
      </c>
      <c r="C214" s="53">
        <f>IF($N214&lt;&gt;"",INDEX(tblBilling[Customer Name],$N214),CHOOSE(MIN(MAX($O214,0),7)+1,"","TOTAL","","Total Customers: "&amp;PC_Count,"Total Recovered: "&amp;CFG_CurrencySymbol&amp;" "&amp;TEXT(PC_TotalPaid,"#,##0"),"","Collector Signature: ____________",""))</f>
        <v/>
      </c>
      <c r="D214" s="53">
        <f>IF($N214&lt;&gt;"",INDEX(tblBilling[Full Address],$N214),CHOOSE(MIN(MAX($O214,0),7)+1,"","","","Total Billing: "&amp;CFG_CurrencySymbol&amp;" "&amp;TEXT(PC_TotalFee,"#,##0"),"Total Pending: "&amp;CFG_CurrencySymbol&amp;" "&amp;TEXT(PC_TotalBalance,"#,##0"),"","Office Verification: ____________",""))</f>
        <v/>
      </c>
      <c r="E214" s="53">
        <f>IF($N214&lt;&gt;"",INDEX(tblBilling[VLAN ID],$N214),"")</f>
        <v/>
      </c>
      <c r="F214" s="52">
        <f>IF($N214&lt;&gt;"",INDEX(tblBilling[Due Date],$N214),"")</f>
        <v/>
      </c>
      <c r="G214" s="54">
        <f>IF($N214&lt;&gt;"",INDEX(tblBilling[Monthly Fee],$N214),IF($O214=1,PC_TotalFee,""))</f>
        <v/>
      </c>
      <c r="H214" s="54">
        <f>IF($N214&lt;&gt;"",INDEX(tblBilling[Amount Paid],$N214),IF($O214=1,PC_TotalPaid,""))</f>
        <v/>
      </c>
      <c r="I214" s="54">
        <f>IF($N214&lt;&gt;"",INDEX(tblBilling[Balance],$N214),IF($O214=1,PC_TotalBalance,""))</f>
        <v/>
      </c>
      <c r="J214" s="53">
        <f>IF($N214&lt;&gt;"",INDEX(tblBilling[Payment Status],$N214),"")</f>
        <v/>
      </c>
      <c r="K214" s="55">
        <f>IF($N214&lt;&gt;"",IF(INDEX(tblBilling[Last Payment Date],$N214)="","",INDEX(tblBilling[Last Payment Date],$N214)),"")</f>
        <v/>
      </c>
      <c r="L214" s="53">
        <f>IF($N214&lt;&gt;"",INDEX(tblBilling[Collector Name],$N214),"")</f>
        <v/>
      </c>
      <c r="N214">
        <f>IF(N213="","",IFERROR(N213+MATCH(1,INDEX(tblBilling[Print Match],N213+1):INDEX(tblBilling[Print Match],ROWS(tblBilling[Print Match])),0),""))</f>
        <v/>
      </c>
      <c r="O214">
        <f>ROW()-9-MIN(PC_Count,500)</f>
        <v/>
      </c>
    </row>
    <row r="215" ht="20" customHeight="1">
      <c r="A215" s="52">
        <f>IF($N215="","",ROW()-9)</f>
        <v/>
      </c>
      <c r="B215" s="53">
        <f>IF($N215&lt;&gt;"",INDEX(tblBilling[Customer ID],$N215),"")</f>
        <v/>
      </c>
      <c r="C215" s="53">
        <f>IF($N215&lt;&gt;"",INDEX(tblBilling[Customer Name],$N215),CHOOSE(MIN(MAX($O215,0),7)+1,"","TOTAL","","Total Customers: "&amp;PC_Count,"Total Recovered: "&amp;CFG_CurrencySymbol&amp;" "&amp;TEXT(PC_TotalPaid,"#,##0"),"","Collector Signature: ____________",""))</f>
        <v/>
      </c>
      <c r="D215" s="53">
        <f>IF($N215&lt;&gt;"",INDEX(tblBilling[Full Address],$N215),CHOOSE(MIN(MAX($O215,0),7)+1,"","","","Total Billing: "&amp;CFG_CurrencySymbol&amp;" "&amp;TEXT(PC_TotalFee,"#,##0"),"Total Pending: "&amp;CFG_CurrencySymbol&amp;" "&amp;TEXT(PC_TotalBalance,"#,##0"),"","Office Verification: ____________",""))</f>
        <v/>
      </c>
      <c r="E215" s="53">
        <f>IF($N215&lt;&gt;"",INDEX(tblBilling[VLAN ID],$N215),"")</f>
        <v/>
      </c>
      <c r="F215" s="52">
        <f>IF($N215&lt;&gt;"",INDEX(tblBilling[Due Date],$N215),"")</f>
        <v/>
      </c>
      <c r="G215" s="54">
        <f>IF($N215&lt;&gt;"",INDEX(tblBilling[Monthly Fee],$N215),IF($O215=1,PC_TotalFee,""))</f>
        <v/>
      </c>
      <c r="H215" s="54">
        <f>IF($N215&lt;&gt;"",INDEX(tblBilling[Amount Paid],$N215),IF($O215=1,PC_TotalPaid,""))</f>
        <v/>
      </c>
      <c r="I215" s="54">
        <f>IF($N215&lt;&gt;"",INDEX(tblBilling[Balance],$N215),IF($O215=1,PC_TotalBalance,""))</f>
        <v/>
      </c>
      <c r="J215" s="53">
        <f>IF($N215&lt;&gt;"",INDEX(tblBilling[Payment Status],$N215),"")</f>
        <v/>
      </c>
      <c r="K215" s="55">
        <f>IF($N215&lt;&gt;"",IF(INDEX(tblBilling[Last Payment Date],$N215)="","",INDEX(tblBilling[Last Payment Date],$N215)),"")</f>
        <v/>
      </c>
      <c r="L215" s="53">
        <f>IF($N215&lt;&gt;"",INDEX(tblBilling[Collector Name],$N215),"")</f>
        <v/>
      </c>
      <c r="N215">
        <f>IF(N214="","",IFERROR(N214+MATCH(1,INDEX(tblBilling[Print Match],N214+1):INDEX(tblBilling[Print Match],ROWS(tblBilling[Print Match])),0),""))</f>
        <v/>
      </c>
      <c r="O215">
        <f>ROW()-9-MIN(PC_Count,500)</f>
        <v/>
      </c>
    </row>
    <row r="216" ht="20" customHeight="1">
      <c r="A216" s="52">
        <f>IF($N216="","",ROW()-9)</f>
        <v/>
      </c>
      <c r="B216" s="53">
        <f>IF($N216&lt;&gt;"",INDEX(tblBilling[Customer ID],$N216),"")</f>
        <v/>
      </c>
      <c r="C216" s="53">
        <f>IF($N216&lt;&gt;"",INDEX(tblBilling[Customer Name],$N216),CHOOSE(MIN(MAX($O216,0),7)+1,"","TOTAL","","Total Customers: "&amp;PC_Count,"Total Recovered: "&amp;CFG_CurrencySymbol&amp;" "&amp;TEXT(PC_TotalPaid,"#,##0"),"","Collector Signature: ____________",""))</f>
        <v/>
      </c>
      <c r="D216" s="53">
        <f>IF($N216&lt;&gt;"",INDEX(tblBilling[Full Address],$N216),CHOOSE(MIN(MAX($O216,0),7)+1,"","","","Total Billing: "&amp;CFG_CurrencySymbol&amp;" "&amp;TEXT(PC_TotalFee,"#,##0"),"Total Pending: "&amp;CFG_CurrencySymbol&amp;" "&amp;TEXT(PC_TotalBalance,"#,##0"),"","Office Verification: ____________",""))</f>
        <v/>
      </c>
      <c r="E216" s="53">
        <f>IF($N216&lt;&gt;"",INDEX(tblBilling[VLAN ID],$N216),"")</f>
        <v/>
      </c>
      <c r="F216" s="52">
        <f>IF($N216&lt;&gt;"",INDEX(tblBilling[Due Date],$N216),"")</f>
        <v/>
      </c>
      <c r="G216" s="54">
        <f>IF($N216&lt;&gt;"",INDEX(tblBilling[Monthly Fee],$N216),IF($O216=1,PC_TotalFee,""))</f>
        <v/>
      </c>
      <c r="H216" s="54">
        <f>IF($N216&lt;&gt;"",INDEX(tblBilling[Amount Paid],$N216),IF($O216=1,PC_TotalPaid,""))</f>
        <v/>
      </c>
      <c r="I216" s="54">
        <f>IF($N216&lt;&gt;"",INDEX(tblBilling[Balance],$N216),IF($O216=1,PC_TotalBalance,""))</f>
        <v/>
      </c>
      <c r="J216" s="53">
        <f>IF($N216&lt;&gt;"",INDEX(tblBilling[Payment Status],$N216),"")</f>
        <v/>
      </c>
      <c r="K216" s="55">
        <f>IF($N216&lt;&gt;"",IF(INDEX(tblBilling[Last Payment Date],$N216)="","",INDEX(tblBilling[Last Payment Date],$N216)),"")</f>
        <v/>
      </c>
      <c r="L216" s="53">
        <f>IF($N216&lt;&gt;"",INDEX(tblBilling[Collector Name],$N216),"")</f>
        <v/>
      </c>
      <c r="N216">
        <f>IF(N215="","",IFERROR(N215+MATCH(1,INDEX(tblBilling[Print Match],N215+1):INDEX(tblBilling[Print Match],ROWS(tblBilling[Print Match])),0),""))</f>
        <v/>
      </c>
      <c r="O216">
        <f>ROW()-9-MIN(PC_Count,500)</f>
        <v/>
      </c>
    </row>
    <row r="217" ht="20" customHeight="1">
      <c r="A217" s="52">
        <f>IF($N217="","",ROW()-9)</f>
        <v/>
      </c>
      <c r="B217" s="53">
        <f>IF($N217&lt;&gt;"",INDEX(tblBilling[Customer ID],$N217),"")</f>
        <v/>
      </c>
      <c r="C217" s="53">
        <f>IF($N217&lt;&gt;"",INDEX(tblBilling[Customer Name],$N217),CHOOSE(MIN(MAX($O217,0),7)+1,"","TOTAL","","Total Customers: "&amp;PC_Count,"Total Recovered: "&amp;CFG_CurrencySymbol&amp;" "&amp;TEXT(PC_TotalPaid,"#,##0"),"","Collector Signature: ____________",""))</f>
        <v/>
      </c>
      <c r="D217" s="53">
        <f>IF($N217&lt;&gt;"",INDEX(tblBilling[Full Address],$N217),CHOOSE(MIN(MAX($O217,0),7)+1,"","","","Total Billing: "&amp;CFG_CurrencySymbol&amp;" "&amp;TEXT(PC_TotalFee,"#,##0"),"Total Pending: "&amp;CFG_CurrencySymbol&amp;" "&amp;TEXT(PC_TotalBalance,"#,##0"),"","Office Verification: ____________",""))</f>
        <v/>
      </c>
      <c r="E217" s="53">
        <f>IF($N217&lt;&gt;"",INDEX(tblBilling[VLAN ID],$N217),"")</f>
        <v/>
      </c>
      <c r="F217" s="52">
        <f>IF($N217&lt;&gt;"",INDEX(tblBilling[Due Date],$N217),"")</f>
        <v/>
      </c>
      <c r="G217" s="54">
        <f>IF($N217&lt;&gt;"",INDEX(tblBilling[Monthly Fee],$N217),IF($O217=1,PC_TotalFee,""))</f>
        <v/>
      </c>
      <c r="H217" s="54">
        <f>IF($N217&lt;&gt;"",INDEX(tblBilling[Amount Paid],$N217),IF($O217=1,PC_TotalPaid,""))</f>
        <v/>
      </c>
      <c r="I217" s="54">
        <f>IF($N217&lt;&gt;"",INDEX(tblBilling[Balance],$N217),IF($O217=1,PC_TotalBalance,""))</f>
        <v/>
      </c>
      <c r="J217" s="53">
        <f>IF($N217&lt;&gt;"",INDEX(tblBilling[Payment Status],$N217),"")</f>
        <v/>
      </c>
      <c r="K217" s="55">
        <f>IF($N217&lt;&gt;"",IF(INDEX(tblBilling[Last Payment Date],$N217)="","",INDEX(tblBilling[Last Payment Date],$N217)),"")</f>
        <v/>
      </c>
      <c r="L217" s="53">
        <f>IF($N217&lt;&gt;"",INDEX(tblBilling[Collector Name],$N217),"")</f>
        <v/>
      </c>
      <c r="N217">
        <f>IF(N216="","",IFERROR(N216+MATCH(1,INDEX(tblBilling[Print Match],N216+1):INDEX(tblBilling[Print Match],ROWS(tblBilling[Print Match])),0),""))</f>
        <v/>
      </c>
      <c r="O217">
        <f>ROW()-9-MIN(PC_Count,500)</f>
        <v/>
      </c>
    </row>
    <row r="218" ht="20" customHeight="1">
      <c r="A218" s="52">
        <f>IF($N218="","",ROW()-9)</f>
        <v/>
      </c>
      <c r="B218" s="53">
        <f>IF($N218&lt;&gt;"",INDEX(tblBilling[Customer ID],$N218),"")</f>
        <v/>
      </c>
      <c r="C218" s="53">
        <f>IF($N218&lt;&gt;"",INDEX(tblBilling[Customer Name],$N218),CHOOSE(MIN(MAX($O218,0),7)+1,"","TOTAL","","Total Customers: "&amp;PC_Count,"Total Recovered: "&amp;CFG_CurrencySymbol&amp;" "&amp;TEXT(PC_TotalPaid,"#,##0"),"","Collector Signature: ____________",""))</f>
        <v/>
      </c>
      <c r="D218" s="53">
        <f>IF($N218&lt;&gt;"",INDEX(tblBilling[Full Address],$N218),CHOOSE(MIN(MAX($O218,0),7)+1,"","","","Total Billing: "&amp;CFG_CurrencySymbol&amp;" "&amp;TEXT(PC_TotalFee,"#,##0"),"Total Pending: "&amp;CFG_CurrencySymbol&amp;" "&amp;TEXT(PC_TotalBalance,"#,##0"),"","Office Verification: ____________",""))</f>
        <v/>
      </c>
      <c r="E218" s="53">
        <f>IF($N218&lt;&gt;"",INDEX(tblBilling[VLAN ID],$N218),"")</f>
        <v/>
      </c>
      <c r="F218" s="52">
        <f>IF($N218&lt;&gt;"",INDEX(tblBilling[Due Date],$N218),"")</f>
        <v/>
      </c>
      <c r="G218" s="54">
        <f>IF($N218&lt;&gt;"",INDEX(tblBilling[Monthly Fee],$N218),IF($O218=1,PC_TotalFee,""))</f>
        <v/>
      </c>
      <c r="H218" s="54">
        <f>IF($N218&lt;&gt;"",INDEX(tblBilling[Amount Paid],$N218),IF($O218=1,PC_TotalPaid,""))</f>
        <v/>
      </c>
      <c r="I218" s="54">
        <f>IF($N218&lt;&gt;"",INDEX(tblBilling[Balance],$N218),IF($O218=1,PC_TotalBalance,""))</f>
        <v/>
      </c>
      <c r="J218" s="53">
        <f>IF($N218&lt;&gt;"",INDEX(tblBilling[Payment Status],$N218),"")</f>
        <v/>
      </c>
      <c r="K218" s="55">
        <f>IF($N218&lt;&gt;"",IF(INDEX(tblBilling[Last Payment Date],$N218)="","",INDEX(tblBilling[Last Payment Date],$N218)),"")</f>
        <v/>
      </c>
      <c r="L218" s="53">
        <f>IF($N218&lt;&gt;"",INDEX(tblBilling[Collector Name],$N218),"")</f>
        <v/>
      </c>
      <c r="N218">
        <f>IF(N217="","",IFERROR(N217+MATCH(1,INDEX(tblBilling[Print Match],N217+1):INDEX(tblBilling[Print Match],ROWS(tblBilling[Print Match])),0),""))</f>
        <v/>
      </c>
      <c r="O218">
        <f>ROW()-9-MIN(PC_Count,500)</f>
        <v/>
      </c>
    </row>
    <row r="219" ht="20" customHeight="1">
      <c r="A219" s="52">
        <f>IF($N219="","",ROW()-9)</f>
        <v/>
      </c>
      <c r="B219" s="53">
        <f>IF($N219&lt;&gt;"",INDEX(tblBilling[Customer ID],$N219),"")</f>
        <v/>
      </c>
      <c r="C219" s="53">
        <f>IF($N219&lt;&gt;"",INDEX(tblBilling[Customer Name],$N219),CHOOSE(MIN(MAX($O219,0),7)+1,"","TOTAL","","Total Customers: "&amp;PC_Count,"Total Recovered: "&amp;CFG_CurrencySymbol&amp;" "&amp;TEXT(PC_TotalPaid,"#,##0"),"","Collector Signature: ____________",""))</f>
        <v/>
      </c>
      <c r="D219" s="53">
        <f>IF($N219&lt;&gt;"",INDEX(tblBilling[Full Address],$N219),CHOOSE(MIN(MAX($O219,0),7)+1,"","","","Total Billing: "&amp;CFG_CurrencySymbol&amp;" "&amp;TEXT(PC_TotalFee,"#,##0"),"Total Pending: "&amp;CFG_CurrencySymbol&amp;" "&amp;TEXT(PC_TotalBalance,"#,##0"),"","Office Verification: ____________",""))</f>
        <v/>
      </c>
      <c r="E219" s="53">
        <f>IF($N219&lt;&gt;"",INDEX(tblBilling[VLAN ID],$N219),"")</f>
        <v/>
      </c>
      <c r="F219" s="52">
        <f>IF($N219&lt;&gt;"",INDEX(tblBilling[Due Date],$N219),"")</f>
        <v/>
      </c>
      <c r="G219" s="54">
        <f>IF($N219&lt;&gt;"",INDEX(tblBilling[Monthly Fee],$N219),IF($O219=1,PC_TotalFee,""))</f>
        <v/>
      </c>
      <c r="H219" s="54">
        <f>IF($N219&lt;&gt;"",INDEX(tblBilling[Amount Paid],$N219),IF($O219=1,PC_TotalPaid,""))</f>
        <v/>
      </c>
      <c r="I219" s="54">
        <f>IF($N219&lt;&gt;"",INDEX(tblBilling[Balance],$N219),IF($O219=1,PC_TotalBalance,""))</f>
        <v/>
      </c>
      <c r="J219" s="53">
        <f>IF($N219&lt;&gt;"",INDEX(tblBilling[Payment Status],$N219),"")</f>
        <v/>
      </c>
      <c r="K219" s="55">
        <f>IF($N219&lt;&gt;"",IF(INDEX(tblBilling[Last Payment Date],$N219)="","",INDEX(tblBilling[Last Payment Date],$N219)),"")</f>
        <v/>
      </c>
      <c r="L219" s="53">
        <f>IF($N219&lt;&gt;"",INDEX(tblBilling[Collector Name],$N219),"")</f>
        <v/>
      </c>
      <c r="N219">
        <f>IF(N218="","",IFERROR(N218+MATCH(1,INDEX(tblBilling[Print Match],N218+1):INDEX(tblBilling[Print Match],ROWS(tblBilling[Print Match])),0),""))</f>
        <v/>
      </c>
      <c r="O219">
        <f>ROW()-9-MIN(PC_Count,500)</f>
        <v/>
      </c>
    </row>
    <row r="220" ht="20" customHeight="1">
      <c r="A220" s="52">
        <f>IF($N220="","",ROW()-9)</f>
        <v/>
      </c>
      <c r="B220" s="53">
        <f>IF($N220&lt;&gt;"",INDEX(tblBilling[Customer ID],$N220),"")</f>
        <v/>
      </c>
      <c r="C220" s="53">
        <f>IF($N220&lt;&gt;"",INDEX(tblBilling[Customer Name],$N220),CHOOSE(MIN(MAX($O220,0),7)+1,"","TOTAL","","Total Customers: "&amp;PC_Count,"Total Recovered: "&amp;CFG_CurrencySymbol&amp;" "&amp;TEXT(PC_TotalPaid,"#,##0"),"","Collector Signature: ____________",""))</f>
        <v/>
      </c>
      <c r="D220" s="53">
        <f>IF($N220&lt;&gt;"",INDEX(tblBilling[Full Address],$N220),CHOOSE(MIN(MAX($O220,0),7)+1,"","","","Total Billing: "&amp;CFG_CurrencySymbol&amp;" "&amp;TEXT(PC_TotalFee,"#,##0"),"Total Pending: "&amp;CFG_CurrencySymbol&amp;" "&amp;TEXT(PC_TotalBalance,"#,##0"),"","Office Verification: ____________",""))</f>
        <v/>
      </c>
      <c r="E220" s="53">
        <f>IF($N220&lt;&gt;"",INDEX(tblBilling[VLAN ID],$N220),"")</f>
        <v/>
      </c>
      <c r="F220" s="52">
        <f>IF($N220&lt;&gt;"",INDEX(tblBilling[Due Date],$N220),"")</f>
        <v/>
      </c>
      <c r="G220" s="54">
        <f>IF($N220&lt;&gt;"",INDEX(tblBilling[Monthly Fee],$N220),IF($O220=1,PC_TotalFee,""))</f>
        <v/>
      </c>
      <c r="H220" s="54">
        <f>IF($N220&lt;&gt;"",INDEX(tblBilling[Amount Paid],$N220),IF($O220=1,PC_TotalPaid,""))</f>
        <v/>
      </c>
      <c r="I220" s="54">
        <f>IF($N220&lt;&gt;"",INDEX(tblBilling[Balance],$N220),IF($O220=1,PC_TotalBalance,""))</f>
        <v/>
      </c>
      <c r="J220" s="53">
        <f>IF($N220&lt;&gt;"",INDEX(tblBilling[Payment Status],$N220),"")</f>
        <v/>
      </c>
      <c r="K220" s="55">
        <f>IF($N220&lt;&gt;"",IF(INDEX(tblBilling[Last Payment Date],$N220)="","",INDEX(tblBilling[Last Payment Date],$N220)),"")</f>
        <v/>
      </c>
      <c r="L220" s="53">
        <f>IF($N220&lt;&gt;"",INDEX(tblBilling[Collector Name],$N220),"")</f>
        <v/>
      </c>
      <c r="N220">
        <f>IF(N219="","",IFERROR(N219+MATCH(1,INDEX(tblBilling[Print Match],N219+1):INDEX(tblBilling[Print Match],ROWS(tblBilling[Print Match])),0),""))</f>
        <v/>
      </c>
      <c r="O220">
        <f>ROW()-9-MIN(PC_Count,500)</f>
        <v/>
      </c>
    </row>
    <row r="221" ht="20" customHeight="1">
      <c r="A221" s="52">
        <f>IF($N221="","",ROW()-9)</f>
        <v/>
      </c>
      <c r="B221" s="53">
        <f>IF($N221&lt;&gt;"",INDEX(tblBilling[Customer ID],$N221),"")</f>
        <v/>
      </c>
      <c r="C221" s="53">
        <f>IF($N221&lt;&gt;"",INDEX(tblBilling[Customer Name],$N221),CHOOSE(MIN(MAX($O221,0),7)+1,"","TOTAL","","Total Customers: "&amp;PC_Count,"Total Recovered: "&amp;CFG_CurrencySymbol&amp;" "&amp;TEXT(PC_TotalPaid,"#,##0"),"","Collector Signature: ____________",""))</f>
        <v/>
      </c>
      <c r="D221" s="53">
        <f>IF($N221&lt;&gt;"",INDEX(tblBilling[Full Address],$N221),CHOOSE(MIN(MAX($O221,0),7)+1,"","","","Total Billing: "&amp;CFG_CurrencySymbol&amp;" "&amp;TEXT(PC_TotalFee,"#,##0"),"Total Pending: "&amp;CFG_CurrencySymbol&amp;" "&amp;TEXT(PC_TotalBalance,"#,##0"),"","Office Verification: ____________",""))</f>
        <v/>
      </c>
      <c r="E221" s="53">
        <f>IF($N221&lt;&gt;"",INDEX(tblBilling[VLAN ID],$N221),"")</f>
        <v/>
      </c>
      <c r="F221" s="52">
        <f>IF($N221&lt;&gt;"",INDEX(tblBilling[Due Date],$N221),"")</f>
        <v/>
      </c>
      <c r="G221" s="54">
        <f>IF($N221&lt;&gt;"",INDEX(tblBilling[Monthly Fee],$N221),IF($O221=1,PC_TotalFee,""))</f>
        <v/>
      </c>
      <c r="H221" s="54">
        <f>IF($N221&lt;&gt;"",INDEX(tblBilling[Amount Paid],$N221),IF($O221=1,PC_TotalPaid,""))</f>
        <v/>
      </c>
      <c r="I221" s="54">
        <f>IF($N221&lt;&gt;"",INDEX(tblBilling[Balance],$N221),IF($O221=1,PC_TotalBalance,""))</f>
        <v/>
      </c>
      <c r="J221" s="53">
        <f>IF($N221&lt;&gt;"",INDEX(tblBilling[Payment Status],$N221),"")</f>
        <v/>
      </c>
      <c r="K221" s="55">
        <f>IF($N221&lt;&gt;"",IF(INDEX(tblBilling[Last Payment Date],$N221)="","",INDEX(tblBilling[Last Payment Date],$N221)),"")</f>
        <v/>
      </c>
      <c r="L221" s="53">
        <f>IF($N221&lt;&gt;"",INDEX(tblBilling[Collector Name],$N221),"")</f>
        <v/>
      </c>
      <c r="N221">
        <f>IF(N220="","",IFERROR(N220+MATCH(1,INDEX(tblBilling[Print Match],N220+1):INDEX(tblBilling[Print Match],ROWS(tblBilling[Print Match])),0),""))</f>
        <v/>
      </c>
      <c r="O221">
        <f>ROW()-9-MIN(PC_Count,500)</f>
        <v/>
      </c>
    </row>
    <row r="222" ht="20" customHeight="1">
      <c r="A222" s="52">
        <f>IF($N222="","",ROW()-9)</f>
        <v/>
      </c>
      <c r="B222" s="53">
        <f>IF($N222&lt;&gt;"",INDEX(tblBilling[Customer ID],$N222),"")</f>
        <v/>
      </c>
      <c r="C222" s="53">
        <f>IF($N222&lt;&gt;"",INDEX(tblBilling[Customer Name],$N222),CHOOSE(MIN(MAX($O222,0),7)+1,"","TOTAL","","Total Customers: "&amp;PC_Count,"Total Recovered: "&amp;CFG_CurrencySymbol&amp;" "&amp;TEXT(PC_TotalPaid,"#,##0"),"","Collector Signature: ____________",""))</f>
        <v/>
      </c>
      <c r="D222" s="53">
        <f>IF($N222&lt;&gt;"",INDEX(tblBilling[Full Address],$N222),CHOOSE(MIN(MAX($O222,0),7)+1,"","","","Total Billing: "&amp;CFG_CurrencySymbol&amp;" "&amp;TEXT(PC_TotalFee,"#,##0"),"Total Pending: "&amp;CFG_CurrencySymbol&amp;" "&amp;TEXT(PC_TotalBalance,"#,##0"),"","Office Verification: ____________",""))</f>
        <v/>
      </c>
      <c r="E222" s="53">
        <f>IF($N222&lt;&gt;"",INDEX(tblBilling[VLAN ID],$N222),"")</f>
        <v/>
      </c>
      <c r="F222" s="52">
        <f>IF($N222&lt;&gt;"",INDEX(tblBilling[Due Date],$N222),"")</f>
        <v/>
      </c>
      <c r="G222" s="54">
        <f>IF($N222&lt;&gt;"",INDEX(tblBilling[Monthly Fee],$N222),IF($O222=1,PC_TotalFee,""))</f>
        <v/>
      </c>
      <c r="H222" s="54">
        <f>IF($N222&lt;&gt;"",INDEX(tblBilling[Amount Paid],$N222),IF($O222=1,PC_TotalPaid,""))</f>
        <v/>
      </c>
      <c r="I222" s="54">
        <f>IF($N222&lt;&gt;"",INDEX(tblBilling[Balance],$N222),IF($O222=1,PC_TotalBalance,""))</f>
        <v/>
      </c>
      <c r="J222" s="53">
        <f>IF($N222&lt;&gt;"",INDEX(tblBilling[Payment Status],$N222),"")</f>
        <v/>
      </c>
      <c r="K222" s="55">
        <f>IF($N222&lt;&gt;"",IF(INDEX(tblBilling[Last Payment Date],$N222)="","",INDEX(tblBilling[Last Payment Date],$N222)),"")</f>
        <v/>
      </c>
      <c r="L222" s="53">
        <f>IF($N222&lt;&gt;"",INDEX(tblBilling[Collector Name],$N222),"")</f>
        <v/>
      </c>
      <c r="N222">
        <f>IF(N221="","",IFERROR(N221+MATCH(1,INDEX(tblBilling[Print Match],N221+1):INDEX(tblBilling[Print Match],ROWS(tblBilling[Print Match])),0),""))</f>
        <v/>
      </c>
      <c r="O222">
        <f>ROW()-9-MIN(PC_Count,500)</f>
        <v/>
      </c>
    </row>
    <row r="223" ht="20" customHeight="1">
      <c r="A223" s="52">
        <f>IF($N223="","",ROW()-9)</f>
        <v/>
      </c>
      <c r="B223" s="53">
        <f>IF($N223&lt;&gt;"",INDEX(tblBilling[Customer ID],$N223),"")</f>
        <v/>
      </c>
      <c r="C223" s="53">
        <f>IF($N223&lt;&gt;"",INDEX(tblBilling[Customer Name],$N223),CHOOSE(MIN(MAX($O223,0),7)+1,"","TOTAL","","Total Customers: "&amp;PC_Count,"Total Recovered: "&amp;CFG_CurrencySymbol&amp;" "&amp;TEXT(PC_TotalPaid,"#,##0"),"","Collector Signature: ____________",""))</f>
        <v/>
      </c>
      <c r="D223" s="53">
        <f>IF($N223&lt;&gt;"",INDEX(tblBilling[Full Address],$N223),CHOOSE(MIN(MAX($O223,0),7)+1,"","","","Total Billing: "&amp;CFG_CurrencySymbol&amp;" "&amp;TEXT(PC_TotalFee,"#,##0"),"Total Pending: "&amp;CFG_CurrencySymbol&amp;" "&amp;TEXT(PC_TotalBalance,"#,##0"),"","Office Verification: ____________",""))</f>
        <v/>
      </c>
      <c r="E223" s="53">
        <f>IF($N223&lt;&gt;"",INDEX(tblBilling[VLAN ID],$N223),"")</f>
        <v/>
      </c>
      <c r="F223" s="52">
        <f>IF($N223&lt;&gt;"",INDEX(tblBilling[Due Date],$N223),"")</f>
        <v/>
      </c>
      <c r="G223" s="54">
        <f>IF($N223&lt;&gt;"",INDEX(tblBilling[Monthly Fee],$N223),IF($O223=1,PC_TotalFee,""))</f>
        <v/>
      </c>
      <c r="H223" s="54">
        <f>IF($N223&lt;&gt;"",INDEX(tblBilling[Amount Paid],$N223),IF($O223=1,PC_TotalPaid,""))</f>
        <v/>
      </c>
      <c r="I223" s="54">
        <f>IF($N223&lt;&gt;"",INDEX(tblBilling[Balance],$N223),IF($O223=1,PC_TotalBalance,""))</f>
        <v/>
      </c>
      <c r="J223" s="53">
        <f>IF($N223&lt;&gt;"",INDEX(tblBilling[Payment Status],$N223),"")</f>
        <v/>
      </c>
      <c r="K223" s="55">
        <f>IF($N223&lt;&gt;"",IF(INDEX(tblBilling[Last Payment Date],$N223)="","",INDEX(tblBilling[Last Payment Date],$N223)),"")</f>
        <v/>
      </c>
      <c r="L223" s="53">
        <f>IF($N223&lt;&gt;"",INDEX(tblBilling[Collector Name],$N223),"")</f>
        <v/>
      </c>
      <c r="N223">
        <f>IF(N222="","",IFERROR(N222+MATCH(1,INDEX(tblBilling[Print Match],N222+1):INDEX(tblBilling[Print Match],ROWS(tblBilling[Print Match])),0),""))</f>
        <v/>
      </c>
      <c r="O223">
        <f>ROW()-9-MIN(PC_Count,500)</f>
        <v/>
      </c>
    </row>
    <row r="224" ht="20" customHeight="1">
      <c r="A224" s="52">
        <f>IF($N224="","",ROW()-9)</f>
        <v/>
      </c>
      <c r="B224" s="53">
        <f>IF($N224&lt;&gt;"",INDEX(tblBilling[Customer ID],$N224),"")</f>
        <v/>
      </c>
      <c r="C224" s="53">
        <f>IF($N224&lt;&gt;"",INDEX(tblBilling[Customer Name],$N224),CHOOSE(MIN(MAX($O224,0),7)+1,"","TOTAL","","Total Customers: "&amp;PC_Count,"Total Recovered: "&amp;CFG_CurrencySymbol&amp;" "&amp;TEXT(PC_TotalPaid,"#,##0"),"","Collector Signature: ____________",""))</f>
        <v/>
      </c>
      <c r="D224" s="53">
        <f>IF($N224&lt;&gt;"",INDEX(tblBilling[Full Address],$N224),CHOOSE(MIN(MAX($O224,0),7)+1,"","","","Total Billing: "&amp;CFG_CurrencySymbol&amp;" "&amp;TEXT(PC_TotalFee,"#,##0"),"Total Pending: "&amp;CFG_CurrencySymbol&amp;" "&amp;TEXT(PC_TotalBalance,"#,##0"),"","Office Verification: ____________",""))</f>
        <v/>
      </c>
      <c r="E224" s="53">
        <f>IF($N224&lt;&gt;"",INDEX(tblBilling[VLAN ID],$N224),"")</f>
        <v/>
      </c>
      <c r="F224" s="52">
        <f>IF($N224&lt;&gt;"",INDEX(tblBilling[Due Date],$N224),"")</f>
        <v/>
      </c>
      <c r="G224" s="54">
        <f>IF($N224&lt;&gt;"",INDEX(tblBilling[Monthly Fee],$N224),IF($O224=1,PC_TotalFee,""))</f>
        <v/>
      </c>
      <c r="H224" s="54">
        <f>IF($N224&lt;&gt;"",INDEX(tblBilling[Amount Paid],$N224),IF($O224=1,PC_TotalPaid,""))</f>
        <v/>
      </c>
      <c r="I224" s="54">
        <f>IF($N224&lt;&gt;"",INDEX(tblBilling[Balance],$N224),IF($O224=1,PC_TotalBalance,""))</f>
        <v/>
      </c>
      <c r="J224" s="53">
        <f>IF($N224&lt;&gt;"",INDEX(tblBilling[Payment Status],$N224),"")</f>
        <v/>
      </c>
      <c r="K224" s="55">
        <f>IF($N224&lt;&gt;"",IF(INDEX(tblBilling[Last Payment Date],$N224)="","",INDEX(tblBilling[Last Payment Date],$N224)),"")</f>
        <v/>
      </c>
      <c r="L224" s="53">
        <f>IF($N224&lt;&gt;"",INDEX(tblBilling[Collector Name],$N224),"")</f>
        <v/>
      </c>
      <c r="N224">
        <f>IF(N223="","",IFERROR(N223+MATCH(1,INDEX(tblBilling[Print Match],N223+1):INDEX(tblBilling[Print Match],ROWS(tblBilling[Print Match])),0),""))</f>
        <v/>
      </c>
      <c r="O224">
        <f>ROW()-9-MIN(PC_Count,500)</f>
        <v/>
      </c>
    </row>
    <row r="225" ht="20" customHeight="1">
      <c r="A225" s="52">
        <f>IF($N225="","",ROW()-9)</f>
        <v/>
      </c>
      <c r="B225" s="53">
        <f>IF($N225&lt;&gt;"",INDEX(tblBilling[Customer ID],$N225),"")</f>
        <v/>
      </c>
      <c r="C225" s="53">
        <f>IF($N225&lt;&gt;"",INDEX(tblBilling[Customer Name],$N225),CHOOSE(MIN(MAX($O225,0),7)+1,"","TOTAL","","Total Customers: "&amp;PC_Count,"Total Recovered: "&amp;CFG_CurrencySymbol&amp;" "&amp;TEXT(PC_TotalPaid,"#,##0"),"","Collector Signature: ____________",""))</f>
        <v/>
      </c>
      <c r="D225" s="53">
        <f>IF($N225&lt;&gt;"",INDEX(tblBilling[Full Address],$N225),CHOOSE(MIN(MAX($O225,0),7)+1,"","","","Total Billing: "&amp;CFG_CurrencySymbol&amp;" "&amp;TEXT(PC_TotalFee,"#,##0"),"Total Pending: "&amp;CFG_CurrencySymbol&amp;" "&amp;TEXT(PC_TotalBalance,"#,##0"),"","Office Verification: ____________",""))</f>
        <v/>
      </c>
      <c r="E225" s="53">
        <f>IF($N225&lt;&gt;"",INDEX(tblBilling[VLAN ID],$N225),"")</f>
        <v/>
      </c>
      <c r="F225" s="52">
        <f>IF($N225&lt;&gt;"",INDEX(tblBilling[Due Date],$N225),"")</f>
        <v/>
      </c>
      <c r="G225" s="54">
        <f>IF($N225&lt;&gt;"",INDEX(tblBilling[Monthly Fee],$N225),IF($O225=1,PC_TotalFee,""))</f>
        <v/>
      </c>
      <c r="H225" s="54">
        <f>IF($N225&lt;&gt;"",INDEX(tblBilling[Amount Paid],$N225),IF($O225=1,PC_TotalPaid,""))</f>
        <v/>
      </c>
      <c r="I225" s="54">
        <f>IF($N225&lt;&gt;"",INDEX(tblBilling[Balance],$N225),IF($O225=1,PC_TotalBalance,""))</f>
        <v/>
      </c>
      <c r="J225" s="53">
        <f>IF($N225&lt;&gt;"",INDEX(tblBilling[Payment Status],$N225),"")</f>
        <v/>
      </c>
      <c r="K225" s="55">
        <f>IF($N225&lt;&gt;"",IF(INDEX(tblBilling[Last Payment Date],$N225)="","",INDEX(tblBilling[Last Payment Date],$N225)),"")</f>
        <v/>
      </c>
      <c r="L225" s="53">
        <f>IF($N225&lt;&gt;"",INDEX(tblBilling[Collector Name],$N225),"")</f>
        <v/>
      </c>
      <c r="N225">
        <f>IF(N224="","",IFERROR(N224+MATCH(1,INDEX(tblBilling[Print Match],N224+1):INDEX(tblBilling[Print Match],ROWS(tblBilling[Print Match])),0),""))</f>
        <v/>
      </c>
      <c r="O225">
        <f>ROW()-9-MIN(PC_Count,500)</f>
        <v/>
      </c>
    </row>
    <row r="226" ht="20" customHeight="1">
      <c r="A226" s="52">
        <f>IF($N226="","",ROW()-9)</f>
        <v/>
      </c>
      <c r="B226" s="53">
        <f>IF($N226&lt;&gt;"",INDEX(tblBilling[Customer ID],$N226),"")</f>
        <v/>
      </c>
      <c r="C226" s="53">
        <f>IF($N226&lt;&gt;"",INDEX(tblBilling[Customer Name],$N226),CHOOSE(MIN(MAX($O226,0),7)+1,"","TOTAL","","Total Customers: "&amp;PC_Count,"Total Recovered: "&amp;CFG_CurrencySymbol&amp;" "&amp;TEXT(PC_TotalPaid,"#,##0"),"","Collector Signature: ____________",""))</f>
        <v/>
      </c>
      <c r="D226" s="53">
        <f>IF($N226&lt;&gt;"",INDEX(tblBilling[Full Address],$N226),CHOOSE(MIN(MAX($O226,0),7)+1,"","","","Total Billing: "&amp;CFG_CurrencySymbol&amp;" "&amp;TEXT(PC_TotalFee,"#,##0"),"Total Pending: "&amp;CFG_CurrencySymbol&amp;" "&amp;TEXT(PC_TotalBalance,"#,##0"),"","Office Verification: ____________",""))</f>
        <v/>
      </c>
      <c r="E226" s="53">
        <f>IF($N226&lt;&gt;"",INDEX(tblBilling[VLAN ID],$N226),"")</f>
        <v/>
      </c>
      <c r="F226" s="52">
        <f>IF($N226&lt;&gt;"",INDEX(tblBilling[Due Date],$N226),"")</f>
        <v/>
      </c>
      <c r="G226" s="54">
        <f>IF($N226&lt;&gt;"",INDEX(tblBilling[Monthly Fee],$N226),IF($O226=1,PC_TotalFee,""))</f>
        <v/>
      </c>
      <c r="H226" s="54">
        <f>IF($N226&lt;&gt;"",INDEX(tblBilling[Amount Paid],$N226),IF($O226=1,PC_TotalPaid,""))</f>
        <v/>
      </c>
      <c r="I226" s="54">
        <f>IF($N226&lt;&gt;"",INDEX(tblBilling[Balance],$N226),IF($O226=1,PC_TotalBalance,""))</f>
        <v/>
      </c>
      <c r="J226" s="53">
        <f>IF($N226&lt;&gt;"",INDEX(tblBilling[Payment Status],$N226),"")</f>
        <v/>
      </c>
      <c r="K226" s="55">
        <f>IF($N226&lt;&gt;"",IF(INDEX(tblBilling[Last Payment Date],$N226)="","",INDEX(tblBilling[Last Payment Date],$N226)),"")</f>
        <v/>
      </c>
      <c r="L226" s="53">
        <f>IF($N226&lt;&gt;"",INDEX(tblBilling[Collector Name],$N226),"")</f>
        <v/>
      </c>
      <c r="N226">
        <f>IF(N225="","",IFERROR(N225+MATCH(1,INDEX(tblBilling[Print Match],N225+1):INDEX(tblBilling[Print Match],ROWS(tblBilling[Print Match])),0),""))</f>
        <v/>
      </c>
      <c r="O226">
        <f>ROW()-9-MIN(PC_Count,500)</f>
        <v/>
      </c>
    </row>
    <row r="227" ht="20" customHeight="1">
      <c r="A227" s="52">
        <f>IF($N227="","",ROW()-9)</f>
        <v/>
      </c>
      <c r="B227" s="53">
        <f>IF($N227&lt;&gt;"",INDEX(tblBilling[Customer ID],$N227),"")</f>
        <v/>
      </c>
      <c r="C227" s="53">
        <f>IF($N227&lt;&gt;"",INDEX(tblBilling[Customer Name],$N227),CHOOSE(MIN(MAX($O227,0),7)+1,"","TOTAL","","Total Customers: "&amp;PC_Count,"Total Recovered: "&amp;CFG_CurrencySymbol&amp;" "&amp;TEXT(PC_TotalPaid,"#,##0"),"","Collector Signature: ____________",""))</f>
        <v/>
      </c>
      <c r="D227" s="53">
        <f>IF($N227&lt;&gt;"",INDEX(tblBilling[Full Address],$N227),CHOOSE(MIN(MAX($O227,0),7)+1,"","","","Total Billing: "&amp;CFG_CurrencySymbol&amp;" "&amp;TEXT(PC_TotalFee,"#,##0"),"Total Pending: "&amp;CFG_CurrencySymbol&amp;" "&amp;TEXT(PC_TotalBalance,"#,##0"),"","Office Verification: ____________",""))</f>
        <v/>
      </c>
      <c r="E227" s="53">
        <f>IF($N227&lt;&gt;"",INDEX(tblBilling[VLAN ID],$N227),"")</f>
        <v/>
      </c>
      <c r="F227" s="52">
        <f>IF($N227&lt;&gt;"",INDEX(tblBilling[Due Date],$N227),"")</f>
        <v/>
      </c>
      <c r="G227" s="54">
        <f>IF($N227&lt;&gt;"",INDEX(tblBilling[Monthly Fee],$N227),IF($O227=1,PC_TotalFee,""))</f>
        <v/>
      </c>
      <c r="H227" s="54">
        <f>IF($N227&lt;&gt;"",INDEX(tblBilling[Amount Paid],$N227),IF($O227=1,PC_TotalPaid,""))</f>
        <v/>
      </c>
      <c r="I227" s="54">
        <f>IF($N227&lt;&gt;"",INDEX(tblBilling[Balance],$N227),IF($O227=1,PC_TotalBalance,""))</f>
        <v/>
      </c>
      <c r="J227" s="53">
        <f>IF($N227&lt;&gt;"",INDEX(tblBilling[Payment Status],$N227),"")</f>
        <v/>
      </c>
      <c r="K227" s="55">
        <f>IF($N227&lt;&gt;"",IF(INDEX(tblBilling[Last Payment Date],$N227)="","",INDEX(tblBilling[Last Payment Date],$N227)),"")</f>
        <v/>
      </c>
      <c r="L227" s="53">
        <f>IF($N227&lt;&gt;"",INDEX(tblBilling[Collector Name],$N227),"")</f>
        <v/>
      </c>
      <c r="N227">
        <f>IF(N226="","",IFERROR(N226+MATCH(1,INDEX(tblBilling[Print Match],N226+1):INDEX(tblBilling[Print Match],ROWS(tblBilling[Print Match])),0),""))</f>
        <v/>
      </c>
      <c r="O227">
        <f>ROW()-9-MIN(PC_Count,500)</f>
        <v/>
      </c>
    </row>
    <row r="228" ht="20" customHeight="1">
      <c r="A228" s="52">
        <f>IF($N228="","",ROW()-9)</f>
        <v/>
      </c>
      <c r="B228" s="53">
        <f>IF($N228&lt;&gt;"",INDEX(tblBilling[Customer ID],$N228),"")</f>
        <v/>
      </c>
      <c r="C228" s="53">
        <f>IF($N228&lt;&gt;"",INDEX(tblBilling[Customer Name],$N228),CHOOSE(MIN(MAX($O228,0),7)+1,"","TOTAL","","Total Customers: "&amp;PC_Count,"Total Recovered: "&amp;CFG_CurrencySymbol&amp;" "&amp;TEXT(PC_TotalPaid,"#,##0"),"","Collector Signature: ____________",""))</f>
        <v/>
      </c>
      <c r="D228" s="53">
        <f>IF($N228&lt;&gt;"",INDEX(tblBilling[Full Address],$N228),CHOOSE(MIN(MAX($O228,0),7)+1,"","","","Total Billing: "&amp;CFG_CurrencySymbol&amp;" "&amp;TEXT(PC_TotalFee,"#,##0"),"Total Pending: "&amp;CFG_CurrencySymbol&amp;" "&amp;TEXT(PC_TotalBalance,"#,##0"),"","Office Verification: ____________",""))</f>
        <v/>
      </c>
      <c r="E228" s="53">
        <f>IF($N228&lt;&gt;"",INDEX(tblBilling[VLAN ID],$N228),"")</f>
        <v/>
      </c>
      <c r="F228" s="52">
        <f>IF($N228&lt;&gt;"",INDEX(tblBilling[Due Date],$N228),"")</f>
        <v/>
      </c>
      <c r="G228" s="54">
        <f>IF($N228&lt;&gt;"",INDEX(tblBilling[Monthly Fee],$N228),IF($O228=1,PC_TotalFee,""))</f>
        <v/>
      </c>
      <c r="H228" s="54">
        <f>IF($N228&lt;&gt;"",INDEX(tblBilling[Amount Paid],$N228),IF($O228=1,PC_TotalPaid,""))</f>
        <v/>
      </c>
      <c r="I228" s="54">
        <f>IF($N228&lt;&gt;"",INDEX(tblBilling[Balance],$N228),IF($O228=1,PC_TotalBalance,""))</f>
        <v/>
      </c>
      <c r="J228" s="53">
        <f>IF($N228&lt;&gt;"",INDEX(tblBilling[Payment Status],$N228),"")</f>
        <v/>
      </c>
      <c r="K228" s="55">
        <f>IF($N228&lt;&gt;"",IF(INDEX(tblBilling[Last Payment Date],$N228)="","",INDEX(tblBilling[Last Payment Date],$N228)),"")</f>
        <v/>
      </c>
      <c r="L228" s="53">
        <f>IF($N228&lt;&gt;"",INDEX(tblBilling[Collector Name],$N228),"")</f>
        <v/>
      </c>
      <c r="N228">
        <f>IF(N227="","",IFERROR(N227+MATCH(1,INDEX(tblBilling[Print Match],N227+1):INDEX(tblBilling[Print Match],ROWS(tblBilling[Print Match])),0),""))</f>
        <v/>
      </c>
      <c r="O228">
        <f>ROW()-9-MIN(PC_Count,500)</f>
        <v/>
      </c>
    </row>
    <row r="229" ht="20" customHeight="1">
      <c r="A229" s="52">
        <f>IF($N229="","",ROW()-9)</f>
        <v/>
      </c>
      <c r="B229" s="53">
        <f>IF($N229&lt;&gt;"",INDEX(tblBilling[Customer ID],$N229),"")</f>
        <v/>
      </c>
      <c r="C229" s="53">
        <f>IF($N229&lt;&gt;"",INDEX(tblBilling[Customer Name],$N229),CHOOSE(MIN(MAX($O229,0),7)+1,"","TOTAL","","Total Customers: "&amp;PC_Count,"Total Recovered: "&amp;CFG_CurrencySymbol&amp;" "&amp;TEXT(PC_TotalPaid,"#,##0"),"","Collector Signature: ____________",""))</f>
        <v/>
      </c>
      <c r="D229" s="53">
        <f>IF($N229&lt;&gt;"",INDEX(tblBilling[Full Address],$N229),CHOOSE(MIN(MAX($O229,0),7)+1,"","","","Total Billing: "&amp;CFG_CurrencySymbol&amp;" "&amp;TEXT(PC_TotalFee,"#,##0"),"Total Pending: "&amp;CFG_CurrencySymbol&amp;" "&amp;TEXT(PC_TotalBalance,"#,##0"),"","Office Verification: ____________",""))</f>
        <v/>
      </c>
      <c r="E229" s="53">
        <f>IF($N229&lt;&gt;"",INDEX(tblBilling[VLAN ID],$N229),"")</f>
        <v/>
      </c>
      <c r="F229" s="52">
        <f>IF($N229&lt;&gt;"",INDEX(tblBilling[Due Date],$N229),"")</f>
        <v/>
      </c>
      <c r="G229" s="54">
        <f>IF($N229&lt;&gt;"",INDEX(tblBilling[Monthly Fee],$N229),IF($O229=1,PC_TotalFee,""))</f>
        <v/>
      </c>
      <c r="H229" s="54">
        <f>IF($N229&lt;&gt;"",INDEX(tblBilling[Amount Paid],$N229),IF($O229=1,PC_TotalPaid,""))</f>
        <v/>
      </c>
      <c r="I229" s="54">
        <f>IF($N229&lt;&gt;"",INDEX(tblBilling[Balance],$N229),IF($O229=1,PC_TotalBalance,""))</f>
        <v/>
      </c>
      <c r="J229" s="53">
        <f>IF($N229&lt;&gt;"",INDEX(tblBilling[Payment Status],$N229),"")</f>
        <v/>
      </c>
      <c r="K229" s="55">
        <f>IF($N229&lt;&gt;"",IF(INDEX(tblBilling[Last Payment Date],$N229)="","",INDEX(tblBilling[Last Payment Date],$N229)),"")</f>
        <v/>
      </c>
      <c r="L229" s="53">
        <f>IF($N229&lt;&gt;"",INDEX(tblBilling[Collector Name],$N229),"")</f>
        <v/>
      </c>
      <c r="N229">
        <f>IF(N228="","",IFERROR(N228+MATCH(1,INDEX(tblBilling[Print Match],N228+1):INDEX(tblBilling[Print Match],ROWS(tblBilling[Print Match])),0),""))</f>
        <v/>
      </c>
      <c r="O229">
        <f>ROW()-9-MIN(PC_Count,500)</f>
        <v/>
      </c>
    </row>
    <row r="230" ht="20" customHeight="1">
      <c r="A230" s="52">
        <f>IF($N230="","",ROW()-9)</f>
        <v/>
      </c>
      <c r="B230" s="53">
        <f>IF($N230&lt;&gt;"",INDEX(tblBilling[Customer ID],$N230),"")</f>
        <v/>
      </c>
      <c r="C230" s="53">
        <f>IF($N230&lt;&gt;"",INDEX(tblBilling[Customer Name],$N230),CHOOSE(MIN(MAX($O230,0),7)+1,"","TOTAL","","Total Customers: "&amp;PC_Count,"Total Recovered: "&amp;CFG_CurrencySymbol&amp;" "&amp;TEXT(PC_TotalPaid,"#,##0"),"","Collector Signature: ____________",""))</f>
        <v/>
      </c>
      <c r="D230" s="53">
        <f>IF($N230&lt;&gt;"",INDEX(tblBilling[Full Address],$N230),CHOOSE(MIN(MAX($O230,0),7)+1,"","","","Total Billing: "&amp;CFG_CurrencySymbol&amp;" "&amp;TEXT(PC_TotalFee,"#,##0"),"Total Pending: "&amp;CFG_CurrencySymbol&amp;" "&amp;TEXT(PC_TotalBalance,"#,##0"),"","Office Verification: ____________",""))</f>
        <v/>
      </c>
      <c r="E230" s="53">
        <f>IF($N230&lt;&gt;"",INDEX(tblBilling[VLAN ID],$N230),"")</f>
        <v/>
      </c>
      <c r="F230" s="52">
        <f>IF($N230&lt;&gt;"",INDEX(tblBilling[Due Date],$N230),"")</f>
        <v/>
      </c>
      <c r="G230" s="54">
        <f>IF($N230&lt;&gt;"",INDEX(tblBilling[Monthly Fee],$N230),IF($O230=1,PC_TotalFee,""))</f>
        <v/>
      </c>
      <c r="H230" s="54">
        <f>IF($N230&lt;&gt;"",INDEX(tblBilling[Amount Paid],$N230),IF($O230=1,PC_TotalPaid,""))</f>
        <v/>
      </c>
      <c r="I230" s="54">
        <f>IF($N230&lt;&gt;"",INDEX(tblBilling[Balance],$N230),IF($O230=1,PC_TotalBalance,""))</f>
        <v/>
      </c>
      <c r="J230" s="53">
        <f>IF($N230&lt;&gt;"",INDEX(tblBilling[Payment Status],$N230),"")</f>
        <v/>
      </c>
      <c r="K230" s="55">
        <f>IF($N230&lt;&gt;"",IF(INDEX(tblBilling[Last Payment Date],$N230)="","",INDEX(tblBilling[Last Payment Date],$N230)),"")</f>
        <v/>
      </c>
      <c r="L230" s="53">
        <f>IF($N230&lt;&gt;"",INDEX(tblBilling[Collector Name],$N230),"")</f>
        <v/>
      </c>
      <c r="N230">
        <f>IF(N229="","",IFERROR(N229+MATCH(1,INDEX(tblBilling[Print Match],N229+1):INDEX(tblBilling[Print Match],ROWS(tblBilling[Print Match])),0),""))</f>
        <v/>
      </c>
      <c r="O230">
        <f>ROW()-9-MIN(PC_Count,500)</f>
        <v/>
      </c>
    </row>
    <row r="231" ht="20" customHeight="1">
      <c r="A231" s="52">
        <f>IF($N231="","",ROW()-9)</f>
        <v/>
      </c>
      <c r="B231" s="53">
        <f>IF($N231&lt;&gt;"",INDEX(tblBilling[Customer ID],$N231),"")</f>
        <v/>
      </c>
      <c r="C231" s="53">
        <f>IF($N231&lt;&gt;"",INDEX(tblBilling[Customer Name],$N231),CHOOSE(MIN(MAX($O231,0),7)+1,"","TOTAL","","Total Customers: "&amp;PC_Count,"Total Recovered: "&amp;CFG_CurrencySymbol&amp;" "&amp;TEXT(PC_TotalPaid,"#,##0"),"","Collector Signature: ____________",""))</f>
        <v/>
      </c>
      <c r="D231" s="53">
        <f>IF($N231&lt;&gt;"",INDEX(tblBilling[Full Address],$N231),CHOOSE(MIN(MAX($O231,0),7)+1,"","","","Total Billing: "&amp;CFG_CurrencySymbol&amp;" "&amp;TEXT(PC_TotalFee,"#,##0"),"Total Pending: "&amp;CFG_CurrencySymbol&amp;" "&amp;TEXT(PC_TotalBalance,"#,##0"),"","Office Verification: ____________",""))</f>
        <v/>
      </c>
      <c r="E231" s="53">
        <f>IF($N231&lt;&gt;"",INDEX(tblBilling[VLAN ID],$N231),"")</f>
        <v/>
      </c>
      <c r="F231" s="52">
        <f>IF($N231&lt;&gt;"",INDEX(tblBilling[Due Date],$N231),"")</f>
        <v/>
      </c>
      <c r="G231" s="54">
        <f>IF($N231&lt;&gt;"",INDEX(tblBilling[Monthly Fee],$N231),IF($O231=1,PC_TotalFee,""))</f>
        <v/>
      </c>
      <c r="H231" s="54">
        <f>IF($N231&lt;&gt;"",INDEX(tblBilling[Amount Paid],$N231),IF($O231=1,PC_TotalPaid,""))</f>
        <v/>
      </c>
      <c r="I231" s="54">
        <f>IF($N231&lt;&gt;"",INDEX(tblBilling[Balance],$N231),IF($O231=1,PC_TotalBalance,""))</f>
        <v/>
      </c>
      <c r="J231" s="53">
        <f>IF($N231&lt;&gt;"",INDEX(tblBilling[Payment Status],$N231),"")</f>
        <v/>
      </c>
      <c r="K231" s="55">
        <f>IF($N231&lt;&gt;"",IF(INDEX(tblBilling[Last Payment Date],$N231)="","",INDEX(tblBilling[Last Payment Date],$N231)),"")</f>
        <v/>
      </c>
      <c r="L231" s="53">
        <f>IF($N231&lt;&gt;"",INDEX(tblBilling[Collector Name],$N231),"")</f>
        <v/>
      </c>
      <c r="N231">
        <f>IF(N230="","",IFERROR(N230+MATCH(1,INDEX(tblBilling[Print Match],N230+1):INDEX(tblBilling[Print Match],ROWS(tblBilling[Print Match])),0),""))</f>
        <v/>
      </c>
      <c r="O231">
        <f>ROW()-9-MIN(PC_Count,500)</f>
        <v/>
      </c>
    </row>
    <row r="232" ht="20" customHeight="1">
      <c r="A232" s="52">
        <f>IF($N232="","",ROW()-9)</f>
        <v/>
      </c>
      <c r="B232" s="53">
        <f>IF($N232&lt;&gt;"",INDEX(tblBilling[Customer ID],$N232),"")</f>
        <v/>
      </c>
      <c r="C232" s="53">
        <f>IF($N232&lt;&gt;"",INDEX(tblBilling[Customer Name],$N232),CHOOSE(MIN(MAX($O232,0),7)+1,"","TOTAL","","Total Customers: "&amp;PC_Count,"Total Recovered: "&amp;CFG_CurrencySymbol&amp;" "&amp;TEXT(PC_TotalPaid,"#,##0"),"","Collector Signature: ____________",""))</f>
        <v/>
      </c>
      <c r="D232" s="53">
        <f>IF($N232&lt;&gt;"",INDEX(tblBilling[Full Address],$N232),CHOOSE(MIN(MAX($O232,0),7)+1,"","","","Total Billing: "&amp;CFG_CurrencySymbol&amp;" "&amp;TEXT(PC_TotalFee,"#,##0"),"Total Pending: "&amp;CFG_CurrencySymbol&amp;" "&amp;TEXT(PC_TotalBalance,"#,##0"),"","Office Verification: ____________",""))</f>
        <v/>
      </c>
      <c r="E232" s="53">
        <f>IF($N232&lt;&gt;"",INDEX(tblBilling[VLAN ID],$N232),"")</f>
        <v/>
      </c>
      <c r="F232" s="52">
        <f>IF($N232&lt;&gt;"",INDEX(tblBilling[Due Date],$N232),"")</f>
        <v/>
      </c>
      <c r="G232" s="54">
        <f>IF($N232&lt;&gt;"",INDEX(tblBilling[Monthly Fee],$N232),IF($O232=1,PC_TotalFee,""))</f>
        <v/>
      </c>
      <c r="H232" s="54">
        <f>IF($N232&lt;&gt;"",INDEX(tblBilling[Amount Paid],$N232),IF($O232=1,PC_TotalPaid,""))</f>
        <v/>
      </c>
      <c r="I232" s="54">
        <f>IF($N232&lt;&gt;"",INDEX(tblBilling[Balance],$N232),IF($O232=1,PC_TotalBalance,""))</f>
        <v/>
      </c>
      <c r="J232" s="53">
        <f>IF($N232&lt;&gt;"",INDEX(tblBilling[Payment Status],$N232),"")</f>
        <v/>
      </c>
      <c r="K232" s="55">
        <f>IF($N232&lt;&gt;"",IF(INDEX(tblBilling[Last Payment Date],$N232)="","",INDEX(tblBilling[Last Payment Date],$N232)),"")</f>
        <v/>
      </c>
      <c r="L232" s="53">
        <f>IF($N232&lt;&gt;"",INDEX(tblBilling[Collector Name],$N232),"")</f>
        <v/>
      </c>
      <c r="N232">
        <f>IF(N231="","",IFERROR(N231+MATCH(1,INDEX(tblBilling[Print Match],N231+1):INDEX(tblBilling[Print Match],ROWS(tblBilling[Print Match])),0),""))</f>
        <v/>
      </c>
      <c r="O232">
        <f>ROW()-9-MIN(PC_Count,500)</f>
        <v/>
      </c>
    </row>
    <row r="233" ht="20" customHeight="1">
      <c r="A233" s="52">
        <f>IF($N233="","",ROW()-9)</f>
        <v/>
      </c>
      <c r="B233" s="53">
        <f>IF($N233&lt;&gt;"",INDEX(tblBilling[Customer ID],$N233),"")</f>
        <v/>
      </c>
      <c r="C233" s="53">
        <f>IF($N233&lt;&gt;"",INDEX(tblBilling[Customer Name],$N233),CHOOSE(MIN(MAX($O233,0),7)+1,"","TOTAL","","Total Customers: "&amp;PC_Count,"Total Recovered: "&amp;CFG_CurrencySymbol&amp;" "&amp;TEXT(PC_TotalPaid,"#,##0"),"","Collector Signature: ____________",""))</f>
        <v/>
      </c>
      <c r="D233" s="53">
        <f>IF($N233&lt;&gt;"",INDEX(tblBilling[Full Address],$N233),CHOOSE(MIN(MAX($O233,0),7)+1,"","","","Total Billing: "&amp;CFG_CurrencySymbol&amp;" "&amp;TEXT(PC_TotalFee,"#,##0"),"Total Pending: "&amp;CFG_CurrencySymbol&amp;" "&amp;TEXT(PC_TotalBalance,"#,##0"),"","Office Verification: ____________",""))</f>
        <v/>
      </c>
      <c r="E233" s="53">
        <f>IF($N233&lt;&gt;"",INDEX(tblBilling[VLAN ID],$N233),"")</f>
        <v/>
      </c>
      <c r="F233" s="52">
        <f>IF($N233&lt;&gt;"",INDEX(tblBilling[Due Date],$N233),"")</f>
        <v/>
      </c>
      <c r="G233" s="54">
        <f>IF($N233&lt;&gt;"",INDEX(tblBilling[Monthly Fee],$N233),IF($O233=1,PC_TotalFee,""))</f>
        <v/>
      </c>
      <c r="H233" s="54">
        <f>IF($N233&lt;&gt;"",INDEX(tblBilling[Amount Paid],$N233),IF($O233=1,PC_TotalPaid,""))</f>
        <v/>
      </c>
      <c r="I233" s="54">
        <f>IF($N233&lt;&gt;"",INDEX(tblBilling[Balance],$N233),IF($O233=1,PC_TotalBalance,""))</f>
        <v/>
      </c>
      <c r="J233" s="53">
        <f>IF($N233&lt;&gt;"",INDEX(tblBilling[Payment Status],$N233),"")</f>
        <v/>
      </c>
      <c r="K233" s="55">
        <f>IF($N233&lt;&gt;"",IF(INDEX(tblBilling[Last Payment Date],$N233)="","",INDEX(tblBilling[Last Payment Date],$N233)),"")</f>
        <v/>
      </c>
      <c r="L233" s="53">
        <f>IF($N233&lt;&gt;"",INDEX(tblBilling[Collector Name],$N233),"")</f>
        <v/>
      </c>
      <c r="N233">
        <f>IF(N232="","",IFERROR(N232+MATCH(1,INDEX(tblBilling[Print Match],N232+1):INDEX(tblBilling[Print Match],ROWS(tblBilling[Print Match])),0),""))</f>
        <v/>
      </c>
      <c r="O233">
        <f>ROW()-9-MIN(PC_Count,500)</f>
        <v/>
      </c>
    </row>
    <row r="234" ht="20" customHeight="1">
      <c r="A234" s="52">
        <f>IF($N234="","",ROW()-9)</f>
        <v/>
      </c>
      <c r="B234" s="53">
        <f>IF($N234&lt;&gt;"",INDEX(tblBilling[Customer ID],$N234),"")</f>
        <v/>
      </c>
      <c r="C234" s="53">
        <f>IF($N234&lt;&gt;"",INDEX(tblBilling[Customer Name],$N234),CHOOSE(MIN(MAX($O234,0),7)+1,"","TOTAL","","Total Customers: "&amp;PC_Count,"Total Recovered: "&amp;CFG_CurrencySymbol&amp;" "&amp;TEXT(PC_TotalPaid,"#,##0"),"","Collector Signature: ____________",""))</f>
        <v/>
      </c>
      <c r="D234" s="53">
        <f>IF($N234&lt;&gt;"",INDEX(tblBilling[Full Address],$N234),CHOOSE(MIN(MAX($O234,0),7)+1,"","","","Total Billing: "&amp;CFG_CurrencySymbol&amp;" "&amp;TEXT(PC_TotalFee,"#,##0"),"Total Pending: "&amp;CFG_CurrencySymbol&amp;" "&amp;TEXT(PC_TotalBalance,"#,##0"),"","Office Verification: ____________",""))</f>
        <v/>
      </c>
      <c r="E234" s="53">
        <f>IF($N234&lt;&gt;"",INDEX(tblBilling[VLAN ID],$N234),"")</f>
        <v/>
      </c>
      <c r="F234" s="52">
        <f>IF($N234&lt;&gt;"",INDEX(tblBilling[Due Date],$N234),"")</f>
        <v/>
      </c>
      <c r="G234" s="54">
        <f>IF($N234&lt;&gt;"",INDEX(tblBilling[Monthly Fee],$N234),IF($O234=1,PC_TotalFee,""))</f>
        <v/>
      </c>
      <c r="H234" s="54">
        <f>IF($N234&lt;&gt;"",INDEX(tblBilling[Amount Paid],$N234),IF($O234=1,PC_TotalPaid,""))</f>
        <v/>
      </c>
      <c r="I234" s="54">
        <f>IF($N234&lt;&gt;"",INDEX(tblBilling[Balance],$N234),IF($O234=1,PC_TotalBalance,""))</f>
        <v/>
      </c>
      <c r="J234" s="53">
        <f>IF($N234&lt;&gt;"",INDEX(tblBilling[Payment Status],$N234),"")</f>
        <v/>
      </c>
      <c r="K234" s="55">
        <f>IF($N234&lt;&gt;"",IF(INDEX(tblBilling[Last Payment Date],$N234)="","",INDEX(tblBilling[Last Payment Date],$N234)),"")</f>
        <v/>
      </c>
      <c r="L234" s="53">
        <f>IF($N234&lt;&gt;"",INDEX(tblBilling[Collector Name],$N234),"")</f>
        <v/>
      </c>
      <c r="N234">
        <f>IF(N233="","",IFERROR(N233+MATCH(1,INDEX(tblBilling[Print Match],N233+1):INDEX(tblBilling[Print Match],ROWS(tblBilling[Print Match])),0),""))</f>
        <v/>
      </c>
      <c r="O234">
        <f>ROW()-9-MIN(PC_Count,500)</f>
        <v/>
      </c>
    </row>
    <row r="235" ht="20" customHeight="1">
      <c r="A235" s="52">
        <f>IF($N235="","",ROW()-9)</f>
        <v/>
      </c>
      <c r="B235" s="53">
        <f>IF($N235&lt;&gt;"",INDEX(tblBilling[Customer ID],$N235),"")</f>
        <v/>
      </c>
      <c r="C235" s="53">
        <f>IF($N235&lt;&gt;"",INDEX(tblBilling[Customer Name],$N235),CHOOSE(MIN(MAX($O235,0),7)+1,"","TOTAL","","Total Customers: "&amp;PC_Count,"Total Recovered: "&amp;CFG_CurrencySymbol&amp;" "&amp;TEXT(PC_TotalPaid,"#,##0"),"","Collector Signature: ____________",""))</f>
        <v/>
      </c>
      <c r="D235" s="53">
        <f>IF($N235&lt;&gt;"",INDEX(tblBilling[Full Address],$N235),CHOOSE(MIN(MAX($O235,0),7)+1,"","","","Total Billing: "&amp;CFG_CurrencySymbol&amp;" "&amp;TEXT(PC_TotalFee,"#,##0"),"Total Pending: "&amp;CFG_CurrencySymbol&amp;" "&amp;TEXT(PC_TotalBalance,"#,##0"),"","Office Verification: ____________",""))</f>
        <v/>
      </c>
      <c r="E235" s="53">
        <f>IF($N235&lt;&gt;"",INDEX(tblBilling[VLAN ID],$N235),"")</f>
        <v/>
      </c>
      <c r="F235" s="52">
        <f>IF($N235&lt;&gt;"",INDEX(tblBilling[Due Date],$N235),"")</f>
        <v/>
      </c>
      <c r="G235" s="54">
        <f>IF($N235&lt;&gt;"",INDEX(tblBilling[Monthly Fee],$N235),IF($O235=1,PC_TotalFee,""))</f>
        <v/>
      </c>
      <c r="H235" s="54">
        <f>IF($N235&lt;&gt;"",INDEX(tblBilling[Amount Paid],$N235),IF($O235=1,PC_TotalPaid,""))</f>
        <v/>
      </c>
      <c r="I235" s="54">
        <f>IF($N235&lt;&gt;"",INDEX(tblBilling[Balance],$N235),IF($O235=1,PC_TotalBalance,""))</f>
        <v/>
      </c>
      <c r="J235" s="53">
        <f>IF($N235&lt;&gt;"",INDEX(tblBilling[Payment Status],$N235),"")</f>
        <v/>
      </c>
      <c r="K235" s="55">
        <f>IF($N235&lt;&gt;"",IF(INDEX(tblBilling[Last Payment Date],$N235)="","",INDEX(tblBilling[Last Payment Date],$N235)),"")</f>
        <v/>
      </c>
      <c r="L235" s="53">
        <f>IF($N235&lt;&gt;"",INDEX(tblBilling[Collector Name],$N235),"")</f>
        <v/>
      </c>
      <c r="N235">
        <f>IF(N234="","",IFERROR(N234+MATCH(1,INDEX(tblBilling[Print Match],N234+1):INDEX(tblBilling[Print Match],ROWS(tblBilling[Print Match])),0),""))</f>
        <v/>
      </c>
      <c r="O235">
        <f>ROW()-9-MIN(PC_Count,500)</f>
        <v/>
      </c>
    </row>
    <row r="236" ht="20" customHeight="1">
      <c r="A236" s="52">
        <f>IF($N236="","",ROW()-9)</f>
        <v/>
      </c>
      <c r="B236" s="53">
        <f>IF($N236&lt;&gt;"",INDEX(tblBilling[Customer ID],$N236),"")</f>
        <v/>
      </c>
      <c r="C236" s="53">
        <f>IF($N236&lt;&gt;"",INDEX(tblBilling[Customer Name],$N236),CHOOSE(MIN(MAX($O236,0),7)+1,"","TOTAL","","Total Customers: "&amp;PC_Count,"Total Recovered: "&amp;CFG_CurrencySymbol&amp;" "&amp;TEXT(PC_TotalPaid,"#,##0"),"","Collector Signature: ____________",""))</f>
        <v/>
      </c>
      <c r="D236" s="53">
        <f>IF($N236&lt;&gt;"",INDEX(tblBilling[Full Address],$N236),CHOOSE(MIN(MAX($O236,0),7)+1,"","","","Total Billing: "&amp;CFG_CurrencySymbol&amp;" "&amp;TEXT(PC_TotalFee,"#,##0"),"Total Pending: "&amp;CFG_CurrencySymbol&amp;" "&amp;TEXT(PC_TotalBalance,"#,##0"),"","Office Verification: ____________",""))</f>
        <v/>
      </c>
      <c r="E236" s="53">
        <f>IF($N236&lt;&gt;"",INDEX(tblBilling[VLAN ID],$N236),"")</f>
        <v/>
      </c>
      <c r="F236" s="52">
        <f>IF($N236&lt;&gt;"",INDEX(tblBilling[Due Date],$N236),"")</f>
        <v/>
      </c>
      <c r="G236" s="54">
        <f>IF($N236&lt;&gt;"",INDEX(tblBilling[Monthly Fee],$N236),IF($O236=1,PC_TotalFee,""))</f>
        <v/>
      </c>
      <c r="H236" s="54">
        <f>IF($N236&lt;&gt;"",INDEX(tblBilling[Amount Paid],$N236),IF($O236=1,PC_TotalPaid,""))</f>
        <v/>
      </c>
      <c r="I236" s="54">
        <f>IF($N236&lt;&gt;"",INDEX(tblBilling[Balance],$N236),IF($O236=1,PC_TotalBalance,""))</f>
        <v/>
      </c>
      <c r="J236" s="53">
        <f>IF($N236&lt;&gt;"",INDEX(tblBilling[Payment Status],$N236),"")</f>
        <v/>
      </c>
      <c r="K236" s="55">
        <f>IF($N236&lt;&gt;"",IF(INDEX(tblBilling[Last Payment Date],$N236)="","",INDEX(tblBilling[Last Payment Date],$N236)),"")</f>
        <v/>
      </c>
      <c r="L236" s="53">
        <f>IF($N236&lt;&gt;"",INDEX(tblBilling[Collector Name],$N236),"")</f>
        <v/>
      </c>
      <c r="N236">
        <f>IF(N235="","",IFERROR(N235+MATCH(1,INDEX(tblBilling[Print Match],N235+1):INDEX(tblBilling[Print Match],ROWS(tblBilling[Print Match])),0),""))</f>
        <v/>
      </c>
      <c r="O236">
        <f>ROW()-9-MIN(PC_Count,500)</f>
        <v/>
      </c>
    </row>
    <row r="237" ht="20" customHeight="1">
      <c r="A237" s="52">
        <f>IF($N237="","",ROW()-9)</f>
        <v/>
      </c>
      <c r="B237" s="53">
        <f>IF($N237&lt;&gt;"",INDEX(tblBilling[Customer ID],$N237),"")</f>
        <v/>
      </c>
      <c r="C237" s="53">
        <f>IF($N237&lt;&gt;"",INDEX(tblBilling[Customer Name],$N237),CHOOSE(MIN(MAX($O237,0),7)+1,"","TOTAL","","Total Customers: "&amp;PC_Count,"Total Recovered: "&amp;CFG_CurrencySymbol&amp;" "&amp;TEXT(PC_TotalPaid,"#,##0"),"","Collector Signature: ____________",""))</f>
        <v/>
      </c>
      <c r="D237" s="53">
        <f>IF($N237&lt;&gt;"",INDEX(tblBilling[Full Address],$N237),CHOOSE(MIN(MAX($O237,0),7)+1,"","","","Total Billing: "&amp;CFG_CurrencySymbol&amp;" "&amp;TEXT(PC_TotalFee,"#,##0"),"Total Pending: "&amp;CFG_CurrencySymbol&amp;" "&amp;TEXT(PC_TotalBalance,"#,##0"),"","Office Verification: ____________",""))</f>
        <v/>
      </c>
      <c r="E237" s="53">
        <f>IF($N237&lt;&gt;"",INDEX(tblBilling[VLAN ID],$N237),"")</f>
        <v/>
      </c>
      <c r="F237" s="52">
        <f>IF($N237&lt;&gt;"",INDEX(tblBilling[Due Date],$N237),"")</f>
        <v/>
      </c>
      <c r="G237" s="54">
        <f>IF($N237&lt;&gt;"",INDEX(tblBilling[Monthly Fee],$N237),IF($O237=1,PC_TotalFee,""))</f>
        <v/>
      </c>
      <c r="H237" s="54">
        <f>IF($N237&lt;&gt;"",INDEX(tblBilling[Amount Paid],$N237),IF($O237=1,PC_TotalPaid,""))</f>
        <v/>
      </c>
      <c r="I237" s="54">
        <f>IF($N237&lt;&gt;"",INDEX(tblBilling[Balance],$N237),IF($O237=1,PC_TotalBalance,""))</f>
        <v/>
      </c>
      <c r="J237" s="53">
        <f>IF($N237&lt;&gt;"",INDEX(tblBilling[Payment Status],$N237),"")</f>
        <v/>
      </c>
      <c r="K237" s="55">
        <f>IF($N237&lt;&gt;"",IF(INDEX(tblBilling[Last Payment Date],$N237)="","",INDEX(tblBilling[Last Payment Date],$N237)),"")</f>
        <v/>
      </c>
      <c r="L237" s="53">
        <f>IF($N237&lt;&gt;"",INDEX(tblBilling[Collector Name],$N237),"")</f>
        <v/>
      </c>
      <c r="N237">
        <f>IF(N236="","",IFERROR(N236+MATCH(1,INDEX(tblBilling[Print Match],N236+1):INDEX(tblBilling[Print Match],ROWS(tblBilling[Print Match])),0),""))</f>
        <v/>
      </c>
      <c r="O237">
        <f>ROW()-9-MIN(PC_Count,500)</f>
        <v/>
      </c>
    </row>
    <row r="238" ht="20" customHeight="1">
      <c r="A238" s="52">
        <f>IF($N238="","",ROW()-9)</f>
        <v/>
      </c>
      <c r="B238" s="53">
        <f>IF($N238&lt;&gt;"",INDEX(tblBilling[Customer ID],$N238),"")</f>
        <v/>
      </c>
      <c r="C238" s="53">
        <f>IF($N238&lt;&gt;"",INDEX(tblBilling[Customer Name],$N238),CHOOSE(MIN(MAX($O238,0),7)+1,"","TOTAL","","Total Customers: "&amp;PC_Count,"Total Recovered: "&amp;CFG_CurrencySymbol&amp;" "&amp;TEXT(PC_TotalPaid,"#,##0"),"","Collector Signature: ____________",""))</f>
        <v/>
      </c>
      <c r="D238" s="53">
        <f>IF($N238&lt;&gt;"",INDEX(tblBilling[Full Address],$N238),CHOOSE(MIN(MAX($O238,0),7)+1,"","","","Total Billing: "&amp;CFG_CurrencySymbol&amp;" "&amp;TEXT(PC_TotalFee,"#,##0"),"Total Pending: "&amp;CFG_CurrencySymbol&amp;" "&amp;TEXT(PC_TotalBalance,"#,##0"),"","Office Verification: ____________",""))</f>
        <v/>
      </c>
      <c r="E238" s="53">
        <f>IF($N238&lt;&gt;"",INDEX(tblBilling[VLAN ID],$N238),"")</f>
        <v/>
      </c>
      <c r="F238" s="52">
        <f>IF($N238&lt;&gt;"",INDEX(tblBilling[Due Date],$N238),"")</f>
        <v/>
      </c>
      <c r="G238" s="54">
        <f>IF($N238&lt;&gt;"",INDEX(tblBilling[Monthly Fee],$N238),IF($O238=1,PC_TotalFee,""))</f>
        <v/>
      </c>
      <c r="H238" s="54">
        <f>IF($N238&lt;&gt;"",INDEX(tblBilling[Amount Paid],$N238),IF($O238=1,PC_TotalPaid,""))</f>
        <v/>
      </c>
      <c r="I238" s="54">
        <f>IF($N238&lt;&gt;"",INDEX(tblBilling[Balance],$N238),IF($O238=1,PC_TotalBalance,""))</f>
        <v/>
      </c>
      <c r="J238" s="53">
        <f>IF($N238&lt;&gt;"",INDEX(tblBilling[Payment Status],$N238),"")</f>
        <v/>
      </c>
      <c r="K238" s="55">
        <f>IF($N238&lt;&gt;"",IF(INDEX(tblBilling[Last Payment Date],$N238)="","",INDEX(tblBilling[Last Payment Date],$N238)),"")</f>
        <v/>
      </c>
      <c r="L238" s="53">
        <f>IF($N238&lt;&gt;"",INDEX(tblBilling[Collector Name],$N238),"")</f>
        <v/>
      </c>
      <c r="N238">
        <f>IF(N237="","",IFERROR(N237+MATCH(1,INDEX(tblBilling[Print Match],N237+1):INDEX(tblBilling[Print Match],ROWS(tblBilling[Print Match])),0),""))</f>
        <v/>
      </c>
      <c r="O238">
        <f>ROW()-9-MIN(PC_Count,500)</f>
        <v/>
      </c>
    </row>
    <row r="239" ht="20" customHeight="1">
      <c r="A239" s="52">
        <f>IF($N239="","",ROW()-9)</f>
        <v/>
      </c>
      <c r="B239" s="53">
        <f>IF($N239&lt;&gt;"",INDEX(tblBilling[Customer ID],$N239),"")</f>
        <v/>
      </c>
      <c r="C239" s="53">
        <f>IF($N239&lt;&gt;"",INDEX(tblBilling[Customer Name],$N239),CHOOSE(MIN(MAX($O239,0),7)+1,"","TOTAL","","Total Customers: "&amp;PC_Count,"Total Recovered: "&amp;CFG_CurrencySymbol&amp;" "&amp;TEXT(PC_TotalPaid,"#,##0"),"","Collector Signature: ____________",""))</f>
        <v/>
      </c>
      <c r="D239" s="53">
        <f>IF($N239&lt;&gt;"",INDEX(tblBilling[Full Address],$N239),CHOOSE(MIN(MAX($O239,0),7)+1,"","","","Total Billing: "&amp;CFG_CurrencySymbol&amp;" "&amp;TEXT(PC_TotalFee,"#,##0"),"Total Pending: "&amp;CFG_CurrencySymbol&amp;" "&amp;TEXT(PC_TotalBalance,"#,##0"),"","Office Verification: ____________",""))</f>
        <v/>
      </c>
      <c r="E239" s="53">
        <f>IF($N239&lt;&gt;"",INDEX(tblBilling[VLAN ID],$N239),"")</f>
        <v/>
      </c>
      <c r="F239" s="52">
        <f>IF($N239&lt;&gt;"",INDEX(tblBilling[Due Date],$N239),"")</f>
        <v/>
      </c>
      <c r="G239" s="54">
        <f>IF($N239&lt;&gt;"",INDEX(tblBilling[Monthly Fee],$N239),IF($O239=1,PC_TotalFee,""))</f>
        <v/>
      </c>
      <c r="H239" s="54">
        <f>IF($N239&lt;&gt;"",INDEX(tblBilling[Amount Paid],$N239),IF($O239=1,PC_TotalPaid,""))</f>
        <v/>
      </c>
      <c r="I239" s="54">
        <f>IF($N239&lt;&gt;"",INDEX(tblBilling[Balance],$N239),IF($O239=1,PC_TotalBalance,""))</f>
        <v/>
      </c>
      <c r="J239" s="53">
        <f>IF($N239&lt;&gt;"",INDEX(tblBilling[Payment Status],$N239),"")</f>
        <v/>
      </c>
      <c r="K239" s="55">
        <f>IF($N239&lt;&gt;"",IF(INDEX(tblBilling[Last Payment Date],$N239)="","",INDEX(tblBilling[Last Payment Date],$N239)),"")</f>
        <v/>
      </c>
      <c r="L239" s="53">
        <f>IF($N239&lt;&gt;"",INDEX(tblBilling[Collector Name],$N239),"")</f>
        <v/>
      </c>
      <c r="N239">
        <f>IF(N238="","",IFERROR(N238+MATCH(1,INDEX(tblBilling[Print Match],N238+1):INDEX(tblBilling[Print Match],ROWS(tblBilling[Print Match])),0),""))</f>
        <v/>
      </c>
      <c r="O239">
        <f>ROW()-9-MIN(PC_Count,500)</f>
        <v/>
      </c>
    </row>
    <row r="240" ht="20" customHeight="1">
      <c r="A240" s="52">
        <f>IF($N240="","",ROW()-9)</f>
        <v/>
      </c>
      <c r="B240" s="53">
        <f>IF($N240&lt;&gt;"",INDEX(tblBilling[Customer ID],$N240),"")</f>
        <v/>
      </c>
      <c r="C240" s="53">
        <f>IF($N240&lt;&gt;"",INDEX(tblBilling[Customer Name],$N240),CHOOSE(MIN(MAX($O240,0),7)+1,"","TOTAL","","Total Customers: "&amp;PC_Count,"Total Recovered: "&amp;CFG_CurrencySymbol&amp;" "&amp;TEXT(PC_TotalPaid,"#,##0"),"","Collector Signature: ____________",""))</f>
        <v/>
      </c>
      <c r="D240" s="53">
        <f>IF($N240&lt;&gt;"",INDEX(tblBilling[Full Address],$N240),CHOOSE(MIN(MAX($O240,0),7)+1,"","","","Total Billing: "&amp;CFG_CurrencySymbol&amp;" "&amp;TEXT(PC_TotalFee,"#,##0"),"Total Pending: "&amp;CFG_CurrencySymbol&amp;" "&amp;TEXT(PC_TotalBalance,"#,##0"),"","Office Verification: ____________",""))</f>
        <v/>
      </c>
      <c r="E240" s="53">
        <f>IF($N240&lt;&gt;"",INDEX(tblBilling[VLAN ID],$N240),"")</f>
        <v/>
      </c>
      <c r="F240" s="52">
        <f>IF($N240&lt;&gt;"",INDEX(tblBilling[Due Date],$N240),"")</f>
        <v/>
      </c>
      <c r="G240" s="54">
        <f>IF($N240&lt;&gt;"",INDEX(tblBilling[Monthly Fee],$N240),IF($O240=1,PC_TotalFee,""))</f>
        <v/>
      </c>
      <c r="H240" s="54">
        <f>IF($N240&lt;&gt;"",INDEX(tblBilling[Amount Paid],$N240),IF($O240=1,PC_TotalPaid,""))</f>
        <v/>
      </c>
      <c r="I240" s="54">
        <f>IF($N240&lt;&gt;"",INDEX(tblBilling[Balance],$N240),IF($O240=1,PC_TotalBalance,""))</f>
        <v/>
      </c>
      <c r="J240" s="53">
        <f>IF($N240&lt;&gt;"",INDEX(tblBilling[Payment Status],$N240),"")</f>
        <v/>
      </c>
      <c r="K240" s="55">
        <f>IF($N240&lt;&gt;"",IF(INDEX(tblBilling[Last Payment Date],$N240)="","",INDEX(tblBilling[Last Payment Date],$N240)),"")</f>
        <v/>
      </c>
      <c r="L240" s="53">
        <f>IF($N240&lt;&gt;"",INDEX(tblBilling[Collector Name],$N240),"")</f>
        <v/>
      </c>
      <c r="N240">
        <f>IF(N239="","",IFERROR(N239+MATCH(1,INDEX(tblBilling[Print Match],N239+1):INDEX(tblBilling[Print Match],ROWS(tblBilling[Print Match])),0),""))</f>
        <v/>
      </c>
      <c r="O240">
        <f>ROW()-9-MIN(PC_Count,500)</f>
        <v/>
      </c>
    </row>
    <row r="241" ht="20" customHeight="1">
      <c r="A241" s="52">
        <f>IF($N241="","",ROW()-9)</f>
        <v/>
      </c>
      <c r="B241" s="53">
        <f>IF($N241&lt;&gt;"",INDEX(tblBilling[Customer ID],$N241),"")</f>
        <v/>
      </c>
      <c r="C241" s="53">
        <f>IF($N241&lt;&gt;"",INDEX(tblBilling[Customer Name],$N241),CHOOSE(MIN(MAX($O241,0),7)+1,"","TOTAL","","Total Customers: "&amp;PC_Count,"Total Recovered: "&amp;CFG_CurrencySymbol&amp;" "&amp;TEXT(PC_TotalPaid,"#,##0"),"","Collector Signature: ____________",""))</f>
        <v/>
      </c>
      <c r="D241" s="53">
        <f>IF($N241&lt;&gt;"",INDEX(tblBilling[Full Address],$N241),CHOOSE(MIN(MAX($O241,0),7)+1,"","","","Total Billing: "&amp;CFG_CurrencySymbol&amp;" "&amp;TEXT(PC_TotalFee,"#,##0"),"Total Pending: "&amp;CFG_CurrencySymbol&amp;" "&amp;TEXT(PC_TotalBalance,"#,##0"),"","Office Verification: ____________",""))</f>
        <v/>
      </c>
      <c r="E241" s="53">
        <f>IF($N241&lt;&gt;"",INDEX(tblBilling[VLAN ID],$N241),"")</f>
        <v/>
      </c>
      <c r="F241" s="52">
        <f>IF($N241&lt;&gt;"",INDEX(tblBilling[Due Date],$N241),"")</f>
        <v/>
      </c>
      <c r="G241" s="54">
        <f>IF($N241&lt;&gt;"",INDEX(tblBilling[Monthly Fee],$N241),IF($O241=1,PC_TotalFee,""))</f>
        <v/>
      </c>
      <c r="H241" s="54">
        <f>IF($N241&lt;&gt;"",INDEX(tblBilling[Amount Paid],$N241),IF($O241=1,PC_TotalPaid,""))</f>
        <v/>
      </c>
      <c r="I241" s="54">
        <f>IF($N241&lt;&gt;"",INDEX(tblBilling[Balance],$N241),IF($O241=1,PC_TotalBalance,""))</f>
        <v/>
      </c>
      <c r="J241" s="53">
        <f>IF($N241&lt;&gt;"",INDEX(tblBilling[Payment Status],$N241),"")</f>
        <v/>
      </c>
      <c r="K241" s="55">
        <f>IF($N241&lt;&gt;"",IF(INDEX(tblBilling[Last Payment Date],$N241)="","",INDEX(tblBilling[Last Payment Date],$N241)),"")</f>
        <v/>
      </c>
      <c r="L241" s="53">
        <f>IF($N241&lt;&gt;"",INDEX(tblBilling[Collector Name],$N241),"")</f>
        <v/>
      </c>
      <c r="N241">
        <f>IF(N240="","",IFERROR(N240+MATCH(1,INDEX(tblBilling[Print Match],N240+1):INDEX(tblBilling[Print Match],ROWS(tblBilling[Print Match])),0),""))</f>
        <v/>
      </c>
      <c r="O241">
        <f>ROW()-9-MIN(PC_Count,500)</f>
        <v/>
      </c>
    </row>
    <row r="242" ht="20" customHeight="1">
      <c r="A242" s="52">
        <f>IF($N242="","",ROW()-9)</f>
        <v/>
      </c>
      <c r="B242" s="53">
        <f>IF($N242&lt;&gt;"",INDEX(tblBilling[Customer ID],$N242),"")</f>
        <v/>
      </c>
      <c r="C242" s="53">
        <f>IF($N242&lt;&gt;"",INDEX(tblBilling[Customer Name],$N242),CHOOSE(MIN(MAX($O242,0),7)+1,"","TOTAL","","Total Customers: "&amp;PC_Count,"Total Recovered: "&amp;CFG_CurrencySymbol&amp;" "&amp;TEXT(PC_TotalPaid,"#,##0"),"","Collector Signature: ____________",""))</f>
        <v/>
      </c>
      <c r="D242" s="53">
        <f>IF($N242&lt;&gt;"",INDEX(tblBilling[Full Address],$N242),CHOOSE(MIN(MAX($O242,0),7)+1,"","","","Total Billing: "&amp;CFG_CurrencySymbol&amp;" "&amp;TEXT(PC_TotalFee,"#,##0"),"Total Pending: "&amp;CFG_CurrencySymbol&amp;" "&amp;TEXT(PC_TotalBalance,"#,##0"),"","Office Verification: ____________",""))</f>
        <v/>
      </c>
      <c r="E242" s="53">
        <f>IF($N242&lt;&gt;"",INDEX(tblBilling[VLAN ID],$N242),"")</f>
        <v/>
      </c>
      <c r="F242" s="52">
        <f>IF($N242&lt;&gt;"",INDEX(tblBilling[Due Date],$N242),"")</f>
        <v/>
      </c>
      <c r="G242" s="54">
        <f>IF($N242&lt;&gt;"",INDEX(tblBilling[Monthly Fee],$N242),IF($O242=1,PC_TotalFee,""))</f>
        <v/>
      </c>
      <c r="H242" s="54">
        <f>IF($N242&lt;&gt;"",INDEX(tblBilling[Amount Paid],$N242),IF($O242=1,PC_TotalPaid,""))</f>
        <v/>
      </c>
      <c r="I242" s="54">
        <f>IF($N242&lt;&gt;"",INDEX(tblBilling[Balance],$N242),IF($O242=1,PC_TotalBalance,""))</f>
        <v/>
      </c>
      <c r="J242" s="53">
        <f>IF($N242&lt;&gt;"",INDEX(tblBilling[Payment Status],$N242),"")</f>
        <v/>
      </c>
      <c r="K242" s="55">
        <f>IF($N242&lt;&gt;"",IF(INDEX(tblBilling[Last Payment Date],$N242)="","",INDEX(tblBilling[Last Payment Date],$N242)),"")</f>
        <v/>
      </c>
      <c r="L242" s="53">
        <f>IF($N242&lt;&gt;"",INDEX(tblBilling[Collector Name],$N242),"")</f>
        <v/>
      </c>
      <c r="N242">
        <f>IF(N241="","",IFERROR(N241+MATCH(1,INDEX(tblBilling[Print Match],N241+1):INDEX(tblBilling[Print Match],ROWS(tblBilling[Print Match])),0),""))</f>
        <v/>
      </c>
      <c r="O242">
        <f>ROW()-9-MIN(PC_Count,500)</f>
        <v/>
      </c>
    </row>
    <row r="243" ht="20" customHeight="1">
      <c r="A243" s="52">
        <f>IF($N243="","",ROW()-9)</f>
        <v/>
      </c>
      <c r="B243" s="53">
        <f>IF($N243&lt;&gt;"",INDEX(tblBilling[Customer ID],$N243),"")</f>
        <v/>
      </c>
      <c r="C243" s="53">
        <f>IF($N243&lt;&gt;"",INDEX(tblBilling[Customer Name],$N243),CHOOSE(MIN(MAX($O243,0),7)+1,"","TOTAL","","Total Customers: "&amp;PC_Count,"Total Recovered: "&amp;CFG_CurrencySymbol&amp;" "&amp;TEXT(PC_TotalPaid,"#,##0"),"","Collector Signature: ____________",""))</f>
        <v/>
      </c>
      <c r="D243" s="53">
        <f>IF($N243&lt;&gt;"",INDEX(tblBilling[Full Address],$N243),CHOOSE(MIN(MAX($O243,0),7)+1,"","","","Total Billing: "&amp;CFG_CurrencySymbol&amp;" "&amp;TEXT(PC_TotalFee,"#,##0"),"Total Pending: "&amp;CFG_CurrencySymbol&amp;" "&amp;TEXT(PC_TotalBalance,"#,##0"),"","Office Verification: ____________",""))</f>
        <v/>
      </c>
      <c r="E243" s="53">
        <f>IF($N243&lt;&gt;"",INDEX(tblBilling[VLAN ID],$N243),"")</f>
        <v/>
      </c>
      <c r="F243" s="52">
        <f>IF($N243&lt;&gt;"",INDEX(tblBilling[Due Date],$N243),"")</f>
        <v/>
      </c>
      <c r="G243" s="54">
        <f>IF($N243&lt;&gt;"",INDEX(tblBilling[Monthly Fee],$N243),IF($O243=1,PC_TotalFee,""))</f>
        <v/>
      </c>
      <c r="H243" s="54">
        <f>IF($N243&lt;&gt;"",INDEX(tblBilling[Amount Paid],$N243),IF($O243=1,PC_TotalPaid,""))</f>
        <v/>
      </c>
      <c r="I243" s="54">
        <f>IF($N243&lt;&gt;"",INDEX(tblBilling[Balance],$N243),IF($O243=1,PC_TotalBalance,""))</f>
        <v/>
      </c>
      <c r="J243" s="53">
        <f>IF($N243&lt;&gt;"",INDEX(tblBilling[Payment Status],$N243),"")</f>
        <v/>
      </c>
      <c r="K243" s="55">
        <f>IF($N243&lt;&gt;"",IF(INDEX(tblBilling[Last Payment Date],$N243)="","",INDEX(tblBilling[Last Payment Date],$N243)),"")</f>
        <v/>
      </c>
      <c r="L243" s="53">
        <f>IF($N243&lt;&gt;"",INDEX(tblBilling[Collector Name],$N243),"")</f>
        <v/>
      </c>
      <c r="N243">
        <f>IF(N242="","",IFERROR(N242+MATCH(1,INDEX(tblBilling[Print Match],N242+1):INDEX(tblBilling[Print Match],ROWS(tblBilling[Print Match])),0),""))</f>
        <v/>
      </c>
      <c r="O243">
        <f>ROW()-9-MIN(PC_Count,500)</f>
        <v/>
      </c>
    </row>
    <row r="244" ht="20" customHeight="1">
      <c r="A244" s="52">
        <f>IF($N244="","",ROW()-9)</f>
        <v/>
      </c>
      <c r="B244" s="53">
        <f>IF($N244&lt;&gt;"",INDEX(tblBilling[Customer ID],$N244),"")</f>
        <v/>
      </c>
      <c r="C244" s="53">
        <f>IF($N244&lt;&gt;"",INDEX(tblBilling[Customer Name],$N244),CHOOSE(MIN(MAX($O244,0),7)+1,"","TOTAL","","Total Customers: "&amp;PC_Count,"Total Recovered: "&amp;CFG_CurrencySymbol&amp;" "&amp;TEXT(PC_TotalPaid,"#,##0"),"","Collector Signature: ____________",""))</f>
        <v/>
      </c>
      <c r="D244" s="53">
        <f>IF($N244&lt;&gt;"",INDEX(tblBilling[Full Address],$N244),CHOOSE(MIN(MAX($O244,0),7)+1,"","","","Total Billing: "&amp;CFG_CurrencySymbol&amp;" "&amp;TEXT(PC_TotalFee,"#,##0"),"Total Pending: "&amp;CFG_CurrencySymbol&amp;" "&amp;TEXT(PC_TotalBalance,"#,##0"),"","Office Verification: ____________",""))</f>
        <v/>
      </c>
      <c r="E244" s="53">
        <f>IF($N244&lt;&gt;"",INDEX(tblBilling[VLAN ID],$N244),"")</f>
        <v/>
      </c>
      <c r="F244" s="52">
        <f>IF($N244&lt;&gt;"",INDEX(tblBilling[Due Date],$N244),"")</f>
        <v/>
      </c>
      <c r="G244" s="54">
        <f>IF($N244&lt;&gt;"",INDEX(tblBilling[Monthly Fee],$N244),IF($O244=1,PC_TotalFee,""))</f>
        <v/>
      </c>
      <c r="H244" s="54">
        <f>IF($N244&lt;&gt;"",INDEX(tblBilling[Amount Paid],$N244),IF($O244=1,PC_TotalPaid,""))</f>
        <v/>
      </c>
      <c r="I244" s="54">
        <f>IF($N244&lt;&gt;"",INDEX(tblBilling[Balance],$N244),IF($O244=1,PC_TotalBalance,""))</f>
        <v/>
      </c>
      <c r="J244" s="53">
        <f>IF($N244&lt;&gt;"",INDEX(tblBilling[Payment Status],$N244),"")</f>
        <v/>
      </c>
      <c r="K244" s="55">
        <f>IF($N244&lt;&gt;"",IF(INDEX(tblBilling[Last Payment Date],$N244)="","",INDEX(tblBilling[Last Payment Date],$N244)),"")</f>
        <v/>
      </c>
      <c r="L244" s="53">
        <f>IF($N244&lt;&gt;"",INDEX(tblBilling[Collector Name],$N244),"")</f>
        <v/>
      </c>
      <c r="N244">
        <f>IF(N243="","",IFERROR(N243+MATCH(1,INDEX(tblBilling[Print Match],N243+1):INDEX(tblBilling[Print Match],ROWS(tblBilling[Print Match])),0),""))</f>
        <v/>
      </c>
      <c r="O244">
        <f>ROW()-9-MIN(PC_Count,500)</f>
        <v/>
      </c>
    </row>
    <row r="245" ht="20" customHeight="1">
      <c r="A245" s="52">
        <f>IF($N245="","",ROW()-9)</f>
        <v/>
      </c>
      <c r="B245" s="53">
        <f>IF($N245&lt;&gt;"",INDEX(tblBilling[Customer ID],$N245),"")</f>
        <v/>
      </c>
      <c r="C245" s="53">
        <f>IF($N245&lt;&gt;"",INDEX(tblBilling[Customer Name],$N245),CHOOSE(MIN(MAX($O245,0),7)+1,"","TOTAL","","Total Customers: "&amp;PC_Count,"Total Recovered: "&amp;CFG_CurrencySymbol&amp;" "&amp;TEXT(PC_TotalPaid,"#,##0"),"","Collector Signature: ____________",""))</f>
        <v/>
      </c>
      <c r="D245" s="53">
        <f>IF($N245&lt;&gt;"",INDEX(tblBilling[Full Address],$N245),CHOOSE(MIN(MAX($O245,0),7)+1,"","","","Total Billing: "&amp;CFG_CurrencySymbol&amp;" "&amp;TEXT(PC_TotalFee,"#,##0"),"Total Pending: "&amp;CFG_CurrencySymbol&amp;" "&amp;TEXT(PC_TotalBalance,"#,##0"),"","Office Verification: ____________",""))</f>
        <v/>
      </c>
      <c r="E245" s="53">
        <f>IF($N245&lt;&gt;"",INDEX(tblBilling[VLAN ID],$N245),"")</f>
        <v/>
      </c>
      <c r="F245" s="52">
        <f>IF($N245&lt;&gt;"",INDEX(tblBilling[Due Date],$N245),"")</f>
        <v/>
      </c>
      <c r="G245" s="54">
        <f>IF($N245&lt;&gt;"",INDEX(tblBilling[Monthly Fee],$N245),IF($O245=1,PC_TotalFee,""))</f>
        <v/>
      </c>
      <c r="H245" s="54">
        <f>IF($N245&lt;&gt;"",INDEX(tblBilling[Amount Paid],$N245),IF($O245=1,PC_TotalPaid,""))</f>
        <v/>
      </c>
      <c r="I245" s="54">
        <f>IF($N245&lt;&gt;"",INDEX(tblBilling[Balance],$N245),IF($O245=1,PC_TotalBalance,""))</f>
        <v/>
      </c>
      <c r="J245" s="53">
        <f>IF($N245&lt;&gt;"",INDEX(tblBilling[Payment Status],$N245),"")</f>
        <v/>
      </c>
      <c r="K245" s="55">
        <f>IF($N245&lt;&gt;"",IF(INDEX(tblBilling[Last Payment Date],$N245)="","",INDEX(tblBilling[Last Payment Date],$N245)),"")</f>
        <v/>
      </c>
      <c r="L245" s="53">
        <f>IF($N245&lt;&gt;"",INDEX(tblBilling[Collector Name],$N245),"")</f>
        <v/>
      </c>
      <c r="N245">
        <f>IF(N244="","",IFERROR(N244+MATCH(1,INDEX(tblBilling[Print Match],N244+1):INDEX(tblBilling[Print Match],ROWS(tblBilling[Print Match])),0),""))</f>
        <v/>
      </c>
      <c r="O245">
        <f>ROW()-9-MIN(PC_Count,500)</f>
        <v/>
      </c>
    </row>
    <row r="246" ht="20" customHeight="1">
      <c r="A246" s="52">
        <f>IF($N246="","",ROW()-9)</f>
        <v/>
      </c>
      <c r="B246" s="53">
        <f>IF($N246&lt;&gt;"",INDEX(tblBilling[Customer ID],$N246),"")</f>
        <v/>
      </c>
      <c r="C246" s="53">
        <f>IF($N246&lt;&gt;"",INDEX(tblBilling[Customer Name],$N246),CHOOSE(MIN(MAX($O246,0),7)+1,"","TOTAL","","Total Customers: "&amp;PC_Count,"Total Recovered: "&amp;CFG_CurrencySymbol&amp;" "&amp;TEXT(PC_TotalPaid,"#,##0"),"","Collector Signature: ____________",""))</f>
        <v/>
      </c>
      <c r="D246" s="53">
        <f>IF($N246&lt;&gt;"",INDEX(tblBilling[Full Address],$N246),CHOOSE(MIN(MAX($O246,0),7)+1,"","","","Total Billing: "&amp;CFG_CurrencySymbol&amp;" "&amp;TEXT(PC_TotalFee,"#,##0"),"Total Pending: "&amp;CFG_CurrencySymbol&amp;" "&amp;TEXT(PC_TotalBalance,"#,##0"),"","Office Verification: ____________",""))</f>
        <v/>
      </c>
      <c r="E246" s="53">
        <f>IF($N246&lt;&gt;"",INDEX(tblBilling[VLAN ID],$N246),"")</f>
        <v/>
      </c>
      <c r="F246" s="52">
        <f>IF($N246&lt;&gt;"",INDEX(tblBilling[Due Date],$N246),"")</f>
        <v/>
      </c>
      <c r="G246" s="54">
        <f>IF($N246&lt;&gt;"",INDEX(tblBilling[Monthly Fee],$N246),IF($O246=1,PC_TotalFee,""))</f>
        <v/>
      </c>
      <c r="H246" s="54">
        <f>IF($N246&lt;&gt;"",INDEX(tblBilling[Amount Paid],$N246),IF($O246=1,PC_TotalPaid,""))</f>
        <v/>
      </c>
      <c r="I246" s="54">
        <f>IF($N246&lt;&gt;"",INDEX(tblBilling[Balance],$N246),IF($O246=1,PC_TotalBalance,""))</f>
        <v/>
      </c>
      <c r="J246" s="53">
        <f>IF($N246&lt;&gt;"",INDEX(tblBilling[Payment Status],$N246),"")</f>
        <v/>
      </c>
      <c r="K246" s="55">
        <f>IF($N246&lt;&gt;"",IF(INDEX(tblBilling[Last Payment Date],$N246)="","",INDEX(tblBilling[Last Payment Date],$N246)),"")</f>
        <v/>
      </c>
      <c r="L246" s="53">
        <f>IF($N246&lt;&gt;"",INDEX(tblBilling[Collector Name],$N246),"")</f>
        <v/>
      </c>
      <c r="N246">
        <f>IF(N245="","",IFERROR(N245+MATCH(1,INDEX(tblBilling[Print Match],N245+1):INDEX(tblBilling[Print Match],ROWS(tblBilling[Print Match])),0),""))</f>
        <v/>
      </c>
      <c r="O246">
        <f>ROW()-9-MIN(PC_Count,500)</f>
        <v/>
      </c>
    </row>
    <row r="247" ht="20" customHeight="1">
      <c r="A247" s="52">
        <f>IF($N247="","",ROW()-9)</f>
        <v/>
      </c>
      <c r="B247" s="53">
        <f>IF($N247&lt;&gt;"",INDEX(tblBilling[Customer ID],$N247),"")</f>
        <v/>
      </c>
      <c r="C247" s="53">
        <f>IF($N247&lt;&gt;"",INDEX(tblBilling[Customer Name],$N247),CHOOSE(MIN(MAX($O247,0),7)+1,"","TOTAL","","Total Customers: "&amp;PC_Count,"Total Recovered: "&amp;CFG_CurrencySymbol&amp;" "&amp;TEXT(PC_TotalPaid,"#,##0"),"","Collector Signature: ____________",""))</f>
        <v/>
      </c>
      <c r="D247" s="53">
        <f>IF($N247&lt;&gt;"",INDEX(tblBilling[Full Address],$N247),CHOOSE(MIN(MAX($O247,0),7)+1,"","","","Total Billing: "&amp;CFG_CurrencySymbol&amp;" "&amp;TEXT(PC_TotalFee,"#,##0"),"Total Pending: "&amp;CFG_CurrencySymbol&amp;" "&amp;TEXT(PC_TotalBalance,"#,##0"),"","Office Verification: ____________",""))</f>
        <v/>
      </c>
      <c r="E247" s="53">
        <f>IF($N247&lt;&gt;"",INDEX(tblBilling[VLAN ID],$N247),"")</f>
        <v/>
      </c>
      <c r="F247" s="52">
        <f>IF($N247&lt;&gt;"",INDEX(tblBilling[Due Date],$N247),"")</f>
        <v/>
      </c>
      <c r="G247" s="54">
        <f>IF($N247&lt;&gt;"",INDEX(tblBilling[Monthly Fee],$N247),IF($O247=1,PC_TotalFee,""))</f>
        <v/>
      </c>
      <c r="H247" s="54">
        <f>IF($N247&lt;&gt;"",INDEX(tblBilling[Amount Paid],$N247),IF($O247=1,PC_TotalPaid,""))</f>
        <v/>
      </c>
      <c r="I247" s="54">
        <f>IF($N247&lt;&gt;"",INDEX(tblBilling[Balance],$N247),IF($O247=1,PC_TotalBalance,""))</f>
        <v/>
      </c>
      <c r="J247" s="53">
        <f>IF($N247&lt;&gt;"",INDEX(tblBilling[Payment Status],$N247),"")</f>
        <v/>
      </c>
      <c r="K247" s="55">
        <f>IF($N247&lt;&gt;"",IF(INDEX(tblBilling[Last Payment Date],$N247)="","",INDEX(tblBilling[Last Payment Date],$N247)),"")</f>
        <v/>
      </c>
      <c r="L247" s="53">
        <f>IF($N247&lt;&gt;"",INDEX(tblBilling[Collector Name],$N247),"")</f>
        <v/>
      </c>
      <c r="N247">
        <f>IF(N246="","",IFERROR(N246+MATCH(1,INDEX(tblBilling[Print Match],N246+1):INDEX(tblBilling[Print Match],ROWS(tblBilling[Print Match])),0),""))</f>
        <v/>
      </c>
      <c r="O247">
        <f>ROW()-9-MIN(PC_Count,500)</f>
        <v/>
      </c>
    </row>
    <row r="248" ht="20" customHeight="1">
      <c r="A248" s="52">
        <f>IF($N248="","",ROW()-9)</f>
        <v/>
      </c>
      <c r="B248" s="53">
        <f>IF($N248&lt;&gt;"",INDEX(tblBilling[Customer ID],$N248),"")</f>
        <v/>
      </c>
      <c r="C248" s="53">
        <f>IF($N248&lt;&gt;"",INDEX(tblBilling[Customer Name],$N248),CHOOSE(MIN(MAX($O248,0),7)+1,"","TOTAL","","Total Customers: "&amp;PC_Count,"Total Recovered: "&amp;CFG_CurrencySymbol&amp;" "&amp;TEXT(PC_TotalPaid,"#,##0"),"","Collector Signature: ____________",""))</f>
        <v/>
      </c>
      <c r="D248" s="53">
        <f>IF($N248&lt;&gt;"",INDEX(tblBilling[Full Address],$N248),CHOOSE(MIN(MAX($O248,0),7)+1,"","","","Total Billing: "&amp;CFG_CurrencySymbol&amp;" "&amp;TEXT(PC_TotalFee,"#,##0"),"Total Pending: "&amp;CFG_CurrencySymbol&amp;" "&amp;TEXT(PC_TotalBalance,"#,##0"),"","Office Verification: ____________",""))</f>
        <v/>
      </c>
      <c r="E248" s="53">
        <f>IF($N248&lt;&gt;"",INDEX(tblBilling[VLAN ID],$N248),"")</f>
        <v/>
      </c>
      <c r="F248" s="52">
        <f>IF($N248&lt;&gt;"",INDEX(tblBilling[Due Date],$N248),"")</f>
        <v/>
      </c>
      <c r="G248" s="54">
        <f>IF($N248&lt;&gt;"",INDEX(tblBilling[Monthly Fee],$N248),IF($O248=1,PC_TotalFee,""))</f>
        <v/>
      </c>
      <c r="H248" s="54">
        <f>IF($N248&lt;&gt;"",INDEX(tblBilling[Amount Paid],$N248),IF($O248=1,PC_TotalPaid,""))</f>
        <v/>
      </c>
      <c r="I248" s="54">
        <f>IF($N248&lt;&gt;"",INDEX(tblBilling[Balance],$N248),IF($O248=1,PC_TotalBalance,""))</f>
        <v/>
      </c>
      <c r="J248" s="53">
        <f>IF($N248&lt;&gt;"",INDEX(tblBilling[Payment Status],$N248),"")</f>
        <v/>
      </c>
      <c r="K248" s="55">
        <f>IF($N248&lt;&gt;"",IF(INDEX(tblBilling[Last Payment Date],$N248)="","",INDEX(tblBilling[Last Payment Date],$N248)),"")</f>
        <v/>
      </c>
      <c r="L248" s="53">
        <f>IF($N248&lt;&gt;"",INDEX(tblBilling[Collector Name],$N248),"")</f>
        <v/>
      </c>
      <c r="N248">
        <f>IF(N247="","",IFERROR(N247+MATCH(1,INDEX(tblBilling[Print Match],N247+1):INDEX(tblBilling[Print Match],ROWS(tblBilling[Print Match])),0),""))</f>
        <v/>
      </c>
      <c r="O248">
        <f>ROW()-9-MIN(PC_Count,500)</f>
        <v/>
      </c>
    </row>
    <row r="249" ht="20" customHeight="1">
      <c r="A249" s="52">
        <f>IF($N249="","",ROW()-9)</f>
        <v/>
      </c>
      <c r="B249" s="53">
        <f>IF($N249&lt;&gt;"",INDEX(tblBilling[Customer ID],$N249),"")</f>
        <v/>
      </c>
      <c r="C249" s="53">
        <f>IF($N249&lt;&gt;"",INDEX(tblBilling[Customer Name],$N249),CHOOSE(MIN(MAX($O249,0),7)+1,"","TOTAL","","Total Customers: "&amp;PC_Count,"Total Recovered: "&amp;CFG_CurrencySymbol&amp;" "&amp;TEXT(PC_TotalPaid,"#,##0"),"","Collector Signature: ____________",""))</f>
        <v/>
      </c>
      <c r="D249" s="53">
        <f>IF($N249&lt;&gt;"",INDEX(tblBilling[Full Address],$N249),CHOOSE(MIN(MAX($O249,0),7)+1,"","","","Total Billing: "&amp;CFG_CurrencySymbol&amp;" "&amp;TEXT(PC_TotalFee,"#,##0"),"Total Pending: "&amp;CFG_CurrencySymbol&amp;" "&amp;TEXT(PC_TotalBalance,"#,##0"),"","Office Verification: ____________",""))</f>
        <v/>
      </c>
      <c r="E249" s="53">
        <f>IF($N249&lt;&gt;"",INDEX(tblBilling[VLAN ID],$N249),"")</f>
        <v/>
      </c>
      <c r="F249" s="52">
        <f>IF($N249&lt;&gt;"",INDEX(tblBilling[Due Date],$N249),"")</f>
        <v/>
      </c>
      <c r="G249" s="54">
        <f>IF($N249&lt;&gt;"",INDEX(tblBilling[Monthly Fee],$N249),IF($O249=1,PC_TotalFee,""))</f>
        <v/>
      </c>
      <c r="H249" s="54">
        <f>IF($N249&lt;&gt;"",INDEX(tblBilling[Amount Paid],$N249),IF($O249=1,PC_TotalPaid,""))</f>
        <v/>
      </c>
      <c r="I249" s="54">
        <f>IF($N249&lt;&gt;"",INDEX(tblBilling[Balance],$N249),IF($O249=1,PC_TotalBalance,""))</f>
        <v/>
      </c>
      <c r="J249" s="53">
        <f>IF($N249&lt;&gt;"",INDEX(tblBilling[Payment Status],$N249),"")</f>
        <v/>
      </c>
      <c r="K249" s="55">
        <f>IF($N249&lt;&gt;"",IF(INDEX(tblBilling[Last Payment Date],$N249)="","",INDEX(tblBilling[Last Payment Date],$N249)),"")</f>
        <v/>
      </c>
      <c r="L249" s="53">
        <f>IF($N249&lt;&gt;"",INDEX(tblBilling[Collector Name],$N249),"")</f>
        <v/>
      </c>
      <c r="N249">
        <f>IF(N248="","",IFERROR(N248+MATCH(1,INDEX(tblBilling[Print Match],N248+1):INDEX(tblBilling[Print Match],ROWS(tblBilling[Print Match])),0),""))</f>
        <v/>
      </c>
      <c r="O249">
        <f>ROW()-9-MIN(PC_Count,500)</f>
        <v/>
      </c>
    </row>
    <row r="250" ht="20" customHeight="1">
      <c r="A250" s="52">
        <f>IF($N250="","",ROW()-9)</f>
        <v/>
      </c>
      <c r="B250" s="53">
        <f>IF($N250&lt;&gt;"",INDEX(tblBilling[Customer ID],$N250),"")</f>
        <v/>
      </c>
      <c r="C250" s="53">
        <f>IF($N250&lt;&gt;"",INDEX(tblBilling[Customer Name],$N250),CHOOSE(MIN(MAX($O250,0),7)+1,"","TOTAL","","Total Customers: "&amp;PC_Count,"Total Recovered: "&amp;CFG_CurrencySymbol&amp;" "&amp;TEXT(PC_TotalPaid,"#,##0"),"","Collector Signature: ____________",""))</f>
        <v/>
      </c>
      <c r="D250" s="53">
        <f>IF($N250&lt;&gt;"",INDEX(tblBilling[Full Address],$N250),CHOOSE(MIN(MAX($O250,0),7)+1,"","","","Total Billing: "&amp;CFG_CurrencySymbol&amp;" "&amp;TEXT(PC_TotalFee,"#,##0"),"Total Pending: "&amp;CFG_CurrencySymbol&amp;" "&amp;TEXT(PC_TotalBalance,"#,##0"),"","Office Verification: ____________",""))</f>
        <v/>
      </c>
      <c r="E250" s="53">
        <f>IF($N250&lt;&gt;"",INDEX(tblBilling[VLAN ID],$N250),"")</f>
        <v/>
      </c>
      <c r="F250" s="52">
        <f>IF($N250&lt;&gt;"",INDEX(tblBilling[Due Date],$N250),"")</f>
        <v/>
      </c>
      <c r="G250" s="54">
        <f>IF($N250&lt;&gt;"",INDEX(tblBilling[Monthly Fee],$N250),IF($O250=1,PC_TotalFee,""))</f>
        <v/>
      </c>
      <c r="H250" s="54">
        <f>IF($N250&lt;&gt;"",INDEX(tblBilling[Amount Paid],$N250),IF($O250=1,PC_TotalPaid,""))</f>
        <v/>
      </c>
      <c r="I250" s="54">
        <f>IF($N250&lt;&gt;"",INDEX(tblBilling[Balance],$N250),IF($O250=1,PC_TotalBalance,""))</f>
        <v/>
      </c>
      <c r="J250" s="53">
        <f>IF($N250&lt;&gt;"",INDEX(tblBilling[Payment Status],$N250),"")</f>
        <v/>
      </c>
      <c r="K250" s="55">
        <f>IF($N250&lt;&gt;"",IF(INDEX(tblBilling[Last Payment Date],$N250)="","",INDEX(tblBilling[Last Payment Date],$N250)),"")</f>
        <v/>
      </c>
      <c r="L250" s="53">
        <f>IF($N250&lt;&gt;"",INDEX(tblBilling[Collector Name],$N250),"")</f>
        <v/>
      </c>
      <c r="N250">
        <f>IF(N249="","",IFERROR(N249+MATCH(1,INDEX(tblBilling[Print Match],N249+1):INDEX(tblBilling[Print Match],ROWS(tblBilling[Print Match])),0),""))</f>
        <v/>
      </c>
      <c r="O250">
        <f>ROW()-9-MIN(PC_Count,500)</f>
        <v/>
      </c>
    </row>
    <row r="251" ht="20" customHeight="1">
      <c r="A251" s="52">
        <f>IF($N251="","",ROW()-9)</f>
        <v/>
      </c>
      <c r="B251" s="53">
        <f>IF($N251&lt;&gt;"",INDEX(tblBilling[Customer ID],$N251),"")</f>
        <v/>
      </c>
      <c r="C251" s="53">
        <f>IF($N251&lt;&gt;"",INDEX(tblBilling[Customer Name],$N251),CHOOSE(MIN(MAX($O251,0),7)+1,"","TOTAL","","Total Customers: "&amp;PC_Count,"Total Recovered: "&amp;CFG_CurrencySymbol&amp;" "&amp;TEXT(PC_TotalPaid,"#,##0"),"","Collector Signature: ____________",""))</f>
        <v/>
      </c>
      <c r="D251" s="53">
        <f>IF($N251&lt;&gt;"",INDEX(tblBilling[Full Address],$N251),CHOOSE(MIN(MAX($O251,0),7)+1,"","","","Total Billing: "&amp;CFG_CurrencySymbol&amp;" "&amp;TEXT(PC_TotalFee,"#,##0"),"Total Pending: "&amp;CFG_CurrencySymbol&amp;" "&amp;TEXT(PC_TotalBalance,"#,##0"),"","Office Verification: ____________",""))</f>
        <v/>
      </c>
      <c r="E251" s="53">
        <f>IF($N251&lt;&gt;"",INDEX(tblBilling[VLAN ID],$N251),"")</f>
        <v/>
      </c>
      <c r="F251" s="52">
        <f>IF($N251&lt;&gt;"",INDEX(tblBilling[Due Date],$N251),"")</f>
        <v/>
      </c>
      <c r="G251" s="54">
        <f>IF($N251&lt;&gt;"",INDEX(tblBilling[Monthly Fee],$N251),IF($O251=1,PC_TotalFee,""))</f>
        <v/>
      </c>
      <c r="H251" s="54">
        <f>IF($N251&lt;&gt;"",INDEX(tblBilling[Amount Paid],$N251),IF($O251=1,PC_TotalPaid,""))</f>
        <v/>
      </c>
      <c r="I251" s="54">
        <f>IF($N251&lt;&gt;"",INDEX(tblBilling[Balance],$N251),IF($O251=1,PC_TotalBalance,""))</f>
        <v/>
      </c>
      <c r="J251" s="53">
        <f>IF($N251&lt;&gt;"",INDEX(tblBilling[Payment Status],$N251),"")</f>
        <v/>
      </c>
      <c r="K251" s="55">
        <f>IF($N251&lt;&gt;"",IF(INDEX(tblBilling[Last Payment Date],$N251)="","",INDEX(tblBilling[Last Payment Date],$N251)),"")</f>
        <v/>
      </c>
      <c r="L251" s="53">
        <f>IF($N251&lt;&gt;"",INDEX(tblBilling[Collector Name],$N251),"")</f>
        <v/>
      </c>
      <c r="N251">
        <f>IF(N250="","",IFERROR(N250+MATCH(1,INDEX(tblBilling[Print Match],N250+1):INDEX(tblBilling[Print Match],ROWS(tblBilling[Print Match])),0),""))</f>
        <v/>
      </c>
      <c r="O251">
        <f>ROW()-9-MIN(PC_Count,500)</f>
        <v/>
      </c>
    </row>
    <row r="252" ht="20" customHeight="1">
      <c r="A252" s="52">
        <f>IF($N252="","",ROW()-9)</f>
        <v/>
      </c>
      <c r="B252" s="53">
        <f>IF($N252&lt;&gt;"",INDEX(tblBilling[Customer ID],$N252),"")</f>
        <v/>
      </c>
      <c r="C252" s="53">
        <f>IF($N252&lt;&gt;"",INDEX(tblBilling[Customer Name],$N252),CHOOSE(MIN(MAX($O252,0),7)+1,"","TOTAL","","Total Customers: "&amp;PC_Count,"Total Recovered: "&amp;CFG_CurrencySymbol&amp;" "&amp;TEXT(PC_TotalPaid,"#,##0"),"","Collector Signature: ____________",""))</f>
        <v/>
      </c>
      <c r="D252" s="53">
        <f>IF($N252&lt;&gt;"",INDEX(tblBilling[Full Address],$N252),CHOOSE(MIN(MAX($O252,0),7)+1,"","","","Total Billing: "&amp;CFG_CurrencySymbol&amp;" "&amp;TEXT(PC_TotalFee,"#,##0"),"Total Pending: "&amp;CFG_CurrencySymbol&amp;" "&amp;TEXT(PC_TotalBalance,"#,##0"),"","Office Verification: ____________",""))</f>
        <v/>
      </c>
      <c r="E252" s="53">
        <f>IF($N252&lt;&gt;"",INDEX(tblBilling[VLAN ID],$N252),"")</f>
        <v/>
      </c>
      <c r="F252" s="52">
        <f>IF($N252&lt;&gt;"",INDEX(tblBilling[Due Date],$N252),"")</f>
        <v/>
      </c>
      <c r="G252" s="54">
        <f>IF($N252&lt;&gt;"",INDEX(tblBilling[Monthly Fee],$N252),IF($O252=1,PC_TotalFee,""))</f>
        <v/>
      </c>
      <c r="H252" s="54">
        <f>IF($N252&lt;&gt;"",INDEX(tblBilling[Amount Paid],$N252),IF($O252=1,PC_TotalPaid,""))</f>
        <v/>
      </c>
      <c r="I252" s="54">
        <f>IF($N252&lt;&gt;"",INDEX(tblBilling[Balance],$N252),IF($O252=1,PC_TotalBalance,""))</f>
        <v/>
      </c>
      <c r="J252" s="53">
        <f>IF($N252&lt;&gt;"",INDEX(tblBilling[Payment Status],$N252),"")</f>
        <v/>
      </c>
      <c r="K252" s="55">
        <f>IF($N252&lt;&gt;"",IF(INDEX(tblBilling[Last Payment Date],$N252)="","",INDEX(tblBilling[Last Payment Date],$N252)),"")</f>
        <v/>
      </c>
      <c r="L252" s="53">
        <f>IF($N252&lt;&gt;"",INDEX(tblBilling[Collector Name],$N252),"")</f>
        <v/>
      </c>
      <c r="N252">
        <f>IF(N251="","",IFERROR(N251+MATCH(1,INDEX(tblBilling[Print Match],N251+1):INDEX(tblBilling[Print Match],ROWS(tblBilling[Print Match])),0),""))</f>
        <v/>
      </c>
      <c r="O252">
        <f>ROW()-9-MIN(PC_Count,500)</f>
        <v/>
      </c>
    </row>
    <row r="253" ht="20" customHeight="1">
      <c r="A253" s="52">
        <f>IF($N253="","",ROW()-9)</f>
        <v/>
      </c>
      <c r="B253" s="53">
        <f>IF($N253&lt;&gt;"",INDEX(tblBilling[Customer ID],$N253),"")</f>
        <v/>
      </c>
      <c r="C253" s="53">
        <f>IF($N253&lt;&gt;"",INDEX(tblBilling[Customer Name],$N253),CHOOSE(MIN(MAX($O253,0),7)+1,"","TOTAL","","Total Customers: "&amp;PC_Count,"Total Recovered: "&amp;CFG_CurrencySymbol&amp;" "&amp;TEXT(PC_TotalPaid,"#,##0"),"","Collector Signature: ____________",""))</f>
        <v/>
      </c>
      <c r="D253" s="53">
        <f>IF($N253&lt;&gt;"",INDEX(tblBilling[Full Address],$N253),CHOOSE(MIN(MAX($O253,0),7)+1,"","","","Total Billing: "&amp;CFG_CurrencySymbol&amp;" "&amp;TEXT(PC_TotalFee,"#,##0"),"Total Pending: "&amp;CFG_CurrencySymbol&amp;" "&amp;TEXT(PC_TotalBalance,"#,##0"),"","Office Verification: ____________",""))</f>
        <v/>
      </c>
      <c r="E253" s="53">
        <f>IF($N253&lt;&gt;"",INDEX(tblBilling[VLAN ID],$N253),"")</f>
        <v/>
      </c>
      <c r="F253" s="52">
        <f>IF($N253&lt;&gt;"",INDEX(tblBilling[Due Date],$N253),"")</f>
        <v/>
      </c>
      <c r="G253" s="54">
        <f>IF($N253&lt;&gt;"",INDEX(tblBilling[Monthly Fee],$N253),IF($O253=1,PC_TotalFee,""))</f>
        <v/>
      </c>
      <c r="H253" s="54">
        <f>IF($N253&lt;&gt;"",INDEX(tblBilling[Amount Paid],$N253),IF($O253=1,PC_TotalPaid,""))</f>
        <v/>
      </c>
      <c r="I253" s="54">
        <f>IF($N253&lt;&gt;"",INDEX(tblBilling[Balance],$N253),IF($O253=1,PC_TotalBalance,""))</f>
        <v/>
      </c>
      <c r="J253" s="53">
        <f>IF($N253&lt;&gt;"",INDEX(tblBilling[Payment Status],$N253),"")</f>
        <v/>
      </c>
      <c r="K253" s="55">
        <f>IF($N253&lt;&gt;"",IF(INDEX(tblBilling[Last Payment Date],$N253)="","",INDEX(tblBilling[Last Payment Date],$N253)),"")</f>
        <v/>
      </c>
      <c r="L253" s="53">
        <f>IF($N253&lt;&gt;"",INDEX(tblBilling[Collector Name],$N253),"")</f>
        <v/>
      </c>
      <c r="N253">
        <f>IF(N252="","",IFERROR(N252+MATCH(1,INDEX(tblBilling[Print Match],N252+1):INDEX(tblBilling[Print Match],ROWS(tblBilling[Print Match])),0),""))</f>
        <v/>
      </c>
      <c r="O253">
        <f>ROW()-9-MIN(PC_Count,500)</f>
        <v/>
      </c>
    </row>
    <row r="254" ht="20" customHeight="1">
      <c r="A254" s="52">
        <f>IF($N254="","",ROW()-9)</f>
        <v/>
      </c>
      <c r="B254" s="53">
        <f>IF($N254&lt;&gt;"",INDEX(tblBilling[Customer ID],$N254),"")</f>
        <v/>
      </c>
      <c r="C254" s="53">
        <f>IF($N254&lt;&gt;"",INDEX(tblBilling[Customer Name],$N254),CHOOSE(MIN(MAX($O254,0),7)+1,"","TOTAL","","Total Customers: "&amp;PC_Count,"Total Recovered: "&amp;CFG_CurrencySymbol&amp;" "&amp;TEXT(PC_TotalPaid,"#,##0"),"","Collector Signature: ____________",""))</f>
        <v/>
      </c>
      <c r="D254" s="53">
        <f>IF($N254&lt;&gt;"",INDEX(tblBilling[Full Address],$N254),CHOOSE(MIN(MAX($O254,0),7)+1,"","","","Total Billing: "&amp;CFG_CurrencySymbol&amp;" "&amp;TEXT(PC_TotalFee,"#,##0"),"Total Pending: "&amp;CFG_CurrencySymbol&amp;" "&amp;TEXT(PC_TotalBalance,"#,##0"),"","Office Verification: ____________",""))</f>
        <v/>
      </c>
      <c r="E254" s="53">
        <f>IF($N254&lt;&gt;"",INDEX(tblBilling[VLAN ID],$N254),"")</f>
        <v/>
      </c>
      <c r="F254" s="52">
        <f>IF($N254&lt;&gt;"",INDEX(tblBilling[Due Date],$N254),"")</f>
        <v/>
      </c>
      <c r="G254" s="54">
        <f>IF($N254&lt;&gt;"",INDEX(tblBilling[Monthly Fee],$N254),IF($O254=1,PC_TotalFee,""))</f>
        <v/>
      </c>
      <c r="H254" s="54">
        <f>IF($N254&lt;&gt;"",INDEX(tblBilling[Amount Paid],$N254),IF($O254=1,PC_TotalPaid,""))</f>
        <v/>
      </c>
      <c r="I254" s="54">
        <f>IF($N254&lt;&gt;"",INDEX(tblBilling[Balance],$N254),IF($O254=1,PC_TotalBalance,""))</f>
        <v/>
      </c>
      <c r="J254" s="53">
        <f>IF($N254&lt;&gt;"",INDEX(tblBilling[Payment Status],$N254),"")</f>
        <v/>
      </c>
      <c r="K254" s="55">
        <f>IF($N254&lt;&gt;"",IF(INDEX(tblBilling[Last Payment Date],$N254)="","",INDEX(tblBilling[Last Payment Date],$N254)),"")</f>
        <v/>
      </c>
      <c r="L254" s="53">
        <f>IF($N254&lt;&gt;"",INDEX(tblBilling[Collector Name],$N254),"")</f>
        <v/>
      </c>
      <c r="N254">
        <f>IF(N253="","",IFERROR(N253+MATCH(1,INDEX(tblBilling[Print Match],N253+1):INDEX(tblBilling[Print Match],ROWS(tblBilling[Print Match])),0),""))</f>
        <v/>
      </c>
      <c r="O254">
        <f>ROW()-9-MIN(PC_Count,500)</f>
        <v/>
      </c>
    </row>
    <row r="255" ht="20" customHeight="1">
      <c r="A255" s="52">
        <f>IF($N255="","",ROW()-9)</f>
        <v/>
      </c>
      <c r="B255" s="53">
        <f>IF($N255&lt;&gt;"",INDEX(tblBilling[Customer ID],$N255),"")</f>
        <v/>
      </c>
      <c r="C255" s="53">
        <f>IF($N255&lt;&gt;"",INDEX(tblBilling[Customer Name],$N255),CHOOSE(MIN(MAX($O255,0),7)+1,"","TOTAL","","Total Customers: "&amp;PC_Count,"Total Recovered: "&amp;CFG_CurrencySymbol&amp;" "&amp;TEXT(PC_TotalPaid,"#,##0"),"","Collector Signature: ____________",""))</f>
        <v/>
      </c>
      <c r="D255" s="53">
        <f>IF($N255&lt;&gt;"",INDEX(tblBilling[Full Address],$N255),CHOOSE(MIN(MAX($O255,0),7)+1,"","","","Total Billing: "&amp;CFG_CurrencySymbol&amp;" "&amp;TEXT(PC_TotalFee,"#,##0"),"Total Pending: "&amp;CFG_CurrencySymbol&amp;" "&amp;TEXT(PC_TotalBalance,"#,##0"),"","Office Verification: ____________",""))</f>
        <v/>
      </c>
      <c r="E255" s="53">
        <f>IF($N255&lt;&gt;"",INDEX(tblBilling[VLAN ID],$N255),"")</f>
        <v/>
      </c>
      <c r="F255" s="52">
        <f>IF($N255&lt;&gt;"",INDEX(tblBilling[Due Date],$N255),"")</f>
        <v/>
      </c>
      <c r="G255" s="54">
        <f>IF($N255&lt;&gt;"",INDEX(tblBilling[Monthly Fee],$N255),IF($O255=1,PC_TotalFee,""))</f>
        <v/>
      </c>
      <c r="H255" s="54">
        <f>IF($N255&lt;&gt;"",INDEX(tblBilling[Amount Paid],$N255),IF($O255=1,PC_TotalPaid,""))</f>
        <v/>
      </c>
      <c r="I255" s="54">
        <f>IF($N255&lt;&gt;"",INDEX(tblBilling[Balance],$N255),IF($O255=1,PC_TotalBalance,""))</f>
        <v/>
      </c>
      <c r="J255" s="53">
        <f>IF($N255&lt;&gt;"",INDEX(tblBilling[Payment Status],$N255),"")</f>
        <v/>
      </c>
      <c r="K255" s="55">
        <f>IF($N255&lt;&gt;"",IF(INDEX(tblBilling[Last Payment Date],$N255)="","",INDEX(tblBilling[Last Payment Date],$N255)),"")</f>
        <v/>
      </c>
      <c r="L255" s="53">
        <f>IF($N255&lt;&gt;"",INDEX(tblBilling[Collector Name],$N255),"")</f>
        <v/>
      </c>
      <c r="N255">
        <f>IF(N254="","",IFERROR(N254+MATCH(1,INDEX(tblBilling[Print Match],N254+1):INDEX(tblBilling[Print Match],ROWS(tblBilling[Print Match])),0),""))</f>
        <v/>
      </c>
      <c r="O255">
        <f>ROW()-9-MIN(PC_Count,500)</f>
        <v/>
      </c>
    </row>
    <row r="256" ht="20" customHeight="1">
      <c r="A256" s="52">
        <f>IF($N256="","",ROW()-9)</f>
        <v/>
      </c>
      <c r="B256" s="53">
        <f>IF($N256&lt;&gt;"",INDEX(tblBilling[Customer ID],$N256),"")</f>
        <v/>
      </c>
      <c r="C256" s="53">
        <f>IF($N256&lt;&gt;"",INDEX(tblBilling[Customer Name],$N256),CHOOSE(MIN(MAX($O256,0),7)+1,"","TOTAL","","Total Customers: "&amp;PC_Count,"Total Recovered: "&amp;CFG_CurrencySymbol&amp;" "&amp;TEXT(PC_TotalPaid,"#,##0"),"","Collector Signature: ____________",""))</f>
        <v/>
      </c>
      <c r="D256" s="53">
        <f>IF($N256&lt;&gt;"",INDEX(tblBilling[Full Address],$N256),CHOOSE(MIN(MAX($O256,0),7)+1,"","","","Total Billing: "&amp;CFG_CurrencySymbol&amp;" "&amp;TEXT(PC_TotalFee,"#,##0"),"Total Pending: "&amp;CFG_CurrencySymbol&amp;" "&amp;TEXT(PC_TotalBalance,"#,##0"),"","Office Verification: ____________",""))</f>
        <v/>
      </c>
      <c r="E256" s="53">
        <f>IF($N256&lt;&gt;"",INDEX(tblBilling[VLAN ID],$N256),"")</f>
        <v/>
      </c>
      <c r="F256" s="52">
        <f>IF($N256&lt;&gt;"",INDEX(tblBilling[Due Date],$N256),"")</f>
        <v/>
      </c>
      <c r="G256" s="54">
        <f>IF($N256&lt;&gt;"",INDEX(tblBilling[Monthly Fee],$N256),IF($O256=1,PC_TotalFee,""))</f>
        <v/>
      </c>
      <c r="H256" s="54">
        <f>IF($N256&lt;&gt;"",INDEX(tblBilling[Amount Paid],$N256),IF($O256=1,PC_TotalPaid,""))</f>
        <v/>
      </c>
      <c r="I256" s="54">
        <f>IF($N256&lt;&gt;"",INDEX(tblBilling[Balance],$N256),IF($O256=1,PC_TotalBalance,""))</f>
        <v/>
      </c>
      <c r="J256" s="53">
        <f>IF($N256&lt;&gt;"",INDEX(tblBilling[Payment Status],$N256),"")</f>
        <v/>
      </c>
      <c r="K256" s="55">
        <f>IF($N256&lt;&gt;"",IF(INDEX(tblBilling[Last Payment Date],$N256)="","",INDEX(tblBilling[Last Payment Date],$N256)),"")</f>
        <v/>
      </c>
      <c r="L256" s="53">
        <f>IF($N256&lt;&gt;"",INDEX(tblBilling[Collector Name],$N256),"")</f>
        <v/>
      </c>
      <c r="N256">
        <f>IF(N255="","",IFERROR(N255+MATCH(1,INDEX(tblBilling[Print Match],N255+1):INDEX(tblBilling[Print Match],ROWS(tblBilling[Print Match])),0),""))</f>
        <v/>
      </c>
      <c r="O256">
        <f>ROW()-9-MIN(PC_Count,500)</f>
        <v/>
      </c>
    </row>
    <row r="257" ht="20" customHeight="1">
      <c r="A257" s="52">
        <f>IF($N257="","",ROW()-9)</f>
        <v/>
      </c>
      <c r="B257" s="53">
        <f>IF($N257&lt;&gt;"",INDEX(tblBilling[Customer ID],$N257),"")</f>
        <v/>
      </c>
      <c r="C257" s="53">
        <f>IF($N257&lt;&gt;"",INDEX(tblBilling[Customer Name],$N257),CHOOSE(MIN(MAX($O257,0),7)+1,"","TOTAL","","Total Customers: "&amp;PC_Count,"Total Recovered: "&amp;CFG_CurrencySymbol&amp;" "&amp;TEXT(PC_TotalPaid,"#,##0"),"","Collector Signature: ____________",""))</f>
        <v/>
      </c>
      <c r="D257" s="53">
        <f>IF($N257&lt;&gt;"",INDEX(tblBilling[Full Address],$N257),CHOOSE(MIN(MAX($O257,0),7)+1,"","","","Total Billing: "&amp;CFG_CurrencySymbol&amp;" "&amp;TEXT(PC_TotalFee,"#,##0"),"Total Pending: "&amp;CFG_CurrencySymbol&amp;" "&amp;TEXT(PC_TotalBalance,"#,##0"),"","Office Verification: ____________",""))</f>
        <v/>
      </c>
      <c r="E257" s="53">
        <f>IF($N257&lt;&gt;"",INDEX(tblBilling[VLAN ID],$N257),"")</f>
        <v/>
      </c>
      <c r="F257" s="52">
        <f>IF($N257&lt;&gt;"",INDEX(tblBilling[Due Date],$N257),"")</f>
        <v/>
      </c>
      <c r="G257" s="54">
        <f>IF($N257&lt;&gt;"",INDEX(tblBilling[Monthly Fee],$N257),IF($O257=1,PC_TotalFee,""))</f>
        <v/>
      </c>
      <c r="H257" s="54">
        <f>IF($N257&lt;&gt;"",INDEX(tblBilling[Amount Paid],$N257),IF($O257=1,PC_TotalPaid,""))</f>
        <v/>
      </c>
      <c r="I257" s="54">
        <f>IF($N257&lt;&gt;"",INDEX(tblBilling[Balance],$N257),IF($O257=1,PC_TotalBalance,""))</f>
        <v/>
      </c>
      <c r="J257" s="53">
        <f>IF($N257&lt;&gt;"",INDEX(tblBilling[Payment Status],$N257),"")</f>
        <v/>
      </c>
      <c r="K257" s="55">
        <f>IF($N257&lt;&gt;"",IF(INDEX(tblBilling[Last Payment Date],$N257)="","",INDEX(tblBilling[Last Payment Date],$N257)),"")</f>
        <v/>
      </c>
      <c r="L257" s="53">
        <f>IF($N257&lt;&gt;"",INDEX(tblBilling[Collector Name],$N257),"")</f>
        <v/>
      </c>
      <c r="N257">
        <f>IF(N256="","",IFERROR(N256+MATCH(1,INDEX(tblBilling[Print Match],N256+1):INDEX(tblBilling[Print Match],ROWS(tblBilling[Print Match])),0),""))</f>
        <v/>
      </c>
      <c r="O257">
        <f>ROW()-9-MIN(PC_Count,500)</f>
        <v/>
      </c>
    </row>
    <row r="258" ht="20" customHeight="1">
      <c r="A258" s="52">
        <f>IF($N258="","",ROW()-9)</f>
        <v/>
      </c>
      <c r="B258" s="53">
        <f>IF($N258&lt;&gt;"",INDEX(tblBilling[Customer ID],$N258),"")</f>
        <v/>
      </c>
      <c r="C258" s="53">
        <f>IF($N258&lt;&gt;"",INDEX(tblBilling[Customer Name],$N258),CHOOSE(MIN(MAX($O258,0),7)+1,"","TOTAL","","Total Customers: "&amp;PC_Count,"Total Recovered: "&amp;CFG_CurrencySymbol&amp;" "&amp;TEXT(PC_TotalPaid,"#,##0"),"","Collector Signature: ____________",""))</f>
        <v/>
      </c>
      <c r="D258" s="53">
        <f>IF($N258&lt;&gt;"",INDEX(tblBilling[Full Address],$N258),CHOOSE(MIN(MAX($O258,0),7)+1,"","","","Total Billing: "&amp;CFG_CurrencySymbol&amp;" "&amp;TEXT(PC_TotalFee,"#,##0"),"Total Pending: "&amp;CFG_CurrencySymbol&amp;" "&amp;TEXT(PC_TotalBalance,"#,##0"),"","Office Verification: ____________",""))</f>
        <v/>
      </c>
      <c r="E258" s="53">
        <f>IF($N258&lt;&gt;"",INDEX(tblBilling[VLAN ID],$N258),"")</f>
        <v/>
      </c>
      <c r="F258" s="52">
        <f>IF($N258&lt;&gt;"",INDEX(tblBilling[Due Date],$N258),"")</f>
        <v/>
      </c>
      <c r="G258" s="54">
        <f>IF($N258&lt;&gt;"",INDEX(tblBilling[Monthly Fee],$N258),IF($O258=1,PC_TotalFee,""))</f>
        <v/>
      </c>
      <c r="H258" s="54">
        <f>IF($N258&lt;&gt;"",INDEX(tblBilling[Amount Paid],$N258),IF($O258=1,PC_TotalPaid,""))</f>
        <v/>
      </c>
      <c r="I258" s="54">
        <f>IF($N258&lt;&gt;"",INDEX(tblBilling[Balance],$N258),IF($O258=1,PC_TotalBalance,""))</f>
        <v/>
      </c>
      <c r="J258" s="53">
        <f>IF($N258&lt;&gt;"",INDEX(tblBilling[Payment Status],$N258),"")</f>
        <v/>
      </c>
      <c r="K258" s="55">
        <f>IF($N258&lt;&gt;"",IF(INDEX(tblBilling[Last Payment Date],$N258)="","",INDEX(tblBilling[Last Payment Date],$N258)),"")</f>
        <v/>
      </c>
      <c r="L258" s="53">
        <f>IF($N258&lt;&gt;"",INDEX(tblBilling[Collector Name],$N258),"")</f>
        <v/>
      </c>
      <c r="N258">
        <f>IF(N257="","",IFERROR(N257+MATCH(1,INDEX(tblBilling[Print Match],N257+1):INDEX(tblBilling[Print Match],ROWS(tblBilling[Print Match])),0),""))</f>
        <v/>
      </c>
      <c r="O258">
        <f>ROW()-9-MIN(PC_Count,500)</f>
        <v/>
      </c>
    </row>
    <row r="259" ht="20" customHeight="1">
      <c r="A259" s="52">
        <f>IF($N259="","",ROW()-9)</f>
        <v/>
      </c>
      <c r="B259" s="53">
        <f>IF($N259&lt;&gt;"",INDEX(tblBilling[Customer ID],$N259),"")</f>
        <v/>
      </c>
      <c r="C259" s="53">
        <f>IF($N259&lt;&gt;"",INDEX(tblBilling[Customer Name],$N259),CHOOSE(MIN(MAX($O259,0),7)+1,"","TOTAL","","Total Customers: "&amp;PC_Count,"Total Recovered: "&amp;CFG_CurrencySymbol&amp;" "&amp;TEXT(PC_TotalPaid,"#,##0"),"","Collector Signature: ____________",""))</f>
        <v/>
      </c>
      <c r="D259" s="53">
        <f>IF($N259&lt;&gt;"",INDEX(tblBilling[Full Address],$N259),CHOOSE(MIN(MAX($O259,0),7)+1,"","","","Total Billing: "&amp;CFG_CurrencySymbol&amp;" "&amp;TEXT(PC_TotalFee,"#,##0"),"Total Pending: "&amp;CFG_CurrencySymbol&amp;" "&amp;TEXT(PC_TotalBalance,"#,##0"),"","Office Verification: ____________",""))</f>
        <v/>
      </c>
      <c r="E259" s="53">
        <f>IF($N259&lt;&gt;"",INDEX(tblBilling[VLAN ID],$N259),"")</f>
        <v/>
      </c>
      <c r="F259" s="52">
        <f>IF($N259&lt;&gt;"",INDEX(tblBilling[Due Date],$N259),"")</f>
        <v/>
      </c>
      <c r="G259" s="54">
        <f>IF($N259&lt;&gt;"",INDEX(tblBilling[Monthly Fee],$N259),IF($O259=1,PC_TotalFee,""))</f>
        <v/>
      </c>
      <c r="H259" s="54">
        <f>IF($N259&lt;&gt;"",INDEX(tblBilling[Amount Paid],$N259),IF($O259=1,PC_TotalPaid,""))</f>
        <v/>
      </c>
      <c r="I259" s="54">
        <f>IF($N259&lt;&gt;"",INDEX(tblBilling[Balance],$N259),IF($O259=1,PC_TotalBalance,""))</f>
        <v/>
      </c>
      <c r="J259" s="53">
        <f>IF($N259&lt;&gt;"",INDEX(tblBilling[Payment Status],$N259),"")</f>
        <v/>
      </c>
      <c r="K259" s="55">
        <f>IF($N259&lt;&gt;"",IF(INDEX(tblBilling[Last Payment Date],$N259)="","",INDEX(tblBilling[Last Payment Date],$N259)),"")</f>
        <v/>
      </c>
      <c r="L259" s="53">
        <f>IF($N259&lt;&gt;"",INDEX(tblBilling[Collector Name],$N259),"")</f>
        <v/>
      </c>
      <c r="N259">
        <f>IF(N258="","",IFERROR(N258+MATCH(1,INDEX(tblBilling[Print Match],N258+1):INDEX(tblBilling[Print Match],ROWS(tblBilling[Print Match])),0),""))</f>
        <v/>
      </c>
      <c r="O259">
        <f>ROW()-9-MIN(PC_Count,500)</f>
        <v/>
      </c>
    </row>
    <row r="260" ht="20" customHeight="1">
      <c r="A260" s="52">
        <f>IF($N260="","",ROW()-9)</f>
        <v/>
      </c>
      <c r="B260" s="53">
        <f>IF($N260&lt;&gt;"",INDEX(tblBilling[Customer ID],$N260),"")</f>
        <v/>
      </c>
      <c r="C260" s="53">
        <f>IF($N260&lt;&gt;"",INDEX(tblBilling[Customer Name],$N260),CHOOSE(MIN(MAX($O260,0),7)+1,"","TOTAL","","Total Customers: "&amp;PC_Count,"Total Recovered: "&amp;CFG_CurrencySymbol&amp;" "&amp;TEXT(PC_TotalPaid,"#,##0"),"","Collector Signature: ____________",""))</f>
        <v/>
      </c>
      <c r="D260" s="53">
        <f>IF($N260&lt;&gt;"",INDEX(tblBilling[Full Address],$N260),CHOOSE(MIN(MAX($O260,0),7)+1,"","","","Total Billing: "&amp;CFG_CurrencySymbol&amp;" "&amp;TEXT(PC_TotalFee,"#,##0"),"Total Pending: "&amp;CFG_CurrencySymbol&amp;" "&amp;TEXT(PC_TotalBalance,"#,##0"),"","Office Verification: ____________",""))</f>
        <v/>
      </c>
      <c r="E260" s="53">
        <f>IF($N260&lt;&gt;"",INDEX(tblBilling[VLAN ID],$N260),"")</f>
        <v/>
      </c>
      <c r="F260" s="52">
        <f>IF($N260&lt;&gt;"",INDEX(tblBilling[Due Date],$N260),"")</f>
        <v/>
      </c>
      <c r="G260" s="54">
        <f>IF($N260&lt;&gt;"",INDEX(tblBilling[Monthly Fee],$N260),IF($O260=1,PC_TotalFee,""))</f>
        <v/>
      </c>
      <c r="H260" s="54">
        <f>IF($N260&lt;&gt;"",INDEX(tblBilling[Amount Paid],$N260),IF($O260=1,PC_TotalPaid,""))</f>
        <v/>
      </c>
      <c r="I260" s="54">
        <f>IF($N260&lt;&gt;"",INDEX(tblBilling[Balance],$N260),IF($O260=1,PC_TotalBalance,""))</f>
        <v/>
      </c>
      <c r="J260" s="53">
        <f>IF($N260&lt;&gt;"",INDEX(tblBilling[Payment Status],$N260),"")</f>
        <v/>
      </c>
      <c r="K260" s="55">
        <f>IF($N260&lt;&gt;"",IF(INDEX(tblBilling[Last Payment Date],$N260)="","",INDEX(tblBilling[Last Payment Date],$N260)),"")</f>
        <v/>
      </c>
      <c r="L260" s="53">
        <f>IF($N260&lt;&gt;"",INDEX(tblBilling[Collector Name],$N260),"")</f>
        <v/>
      </c>
      <c r="N260">
        <f>IF(N259="","",IFERROR(N259+MATCH(1,INDEX(tblBilling[Print Match],N259+1):INDEX(tblBilling[Print Match],ROWS(tblBilling[Print Match])),0),""))</f>
        <v/>
      </c>
      <c r="O260">
        <f>ROW()-9-MIN(PC_Count,500)</f>
        <v/>
      </c>
    </row>
    <row r="261" ht="20" customHeight="1">
      <c r="A261" s="52">
        <f>IF($N261="","",ROW()-9)</f>
        <v/>
      </c>
      <c r="B261" s="53">
        <f>IF($N261&lt;&gt;"",INDEX(tblBilling[Customer ID],$N261),"")</f>
        <v/>
      </c>
      <c r="C261" s="53">
        <f>IF($N261&lt;&gt;"",INDEX(tblBilling[Customer Name],$N261),CHOOSE(MIN(MAX($O261,0),7)+1,"","TOTAL","","Total Customers: "&amp;PC_Count,"Total Recovered: "&amp;CFG_CurrencySymbol&amp;" "&amp;TEXT(PC_TotalPaid,"#,##0"),"","Collector Signature: ____________",""))</f>
        <v/>
      </c>
      <c r="D261" s="53">
        <f>IF($N261&lt;&gt;"",INDEX(tblBilling[Full Address],$N261),CHOOSE(MIN(MAX($O261,0),7)+1,"","","","Total Billing: "&amp;CFG_CurrencySymbol&amp;" "&amp;TEXT(PC_TotalFee,"#,##0"),"Total Pending: "&amp;CFG_CurrencySymbol&amp;" "&amp;TEXT(PC_TotalBalance,"#,##0"),"","Office Verification: ____________",""))</f>
        <v/>
      </c>
      <c r="E261" s="53">
        <f>IF($N261&lt;&gt;"",INDEX(tblBilling[VLAN ID],$N261),"")</f>
        <v/>
      </c>
      <c r="F261" s="52">
        <f>IF($N261&lt;&gt;"",INDEX(tblBilling[Due Date],$N261),"")</f>
        <v/>
      </c>
      <c r="G261" s="54">
        <f>IF($N261&lt;&gt;"",INDEX(tblBilling[Monthly Fee],$N261),IF($O261=1,PC_TotalFee,""))</f>
        <v/>
      </c>
      <c r="H261" s="54">
        <f>IF($N261&lt;&gt;"",INDEX(tblBilling[Amount Paid],$N261),IF($O261=1,PC_TotalPaid,""))</f>
        <v/>
      </c>
      <c r="I261" s="54">
        <f>IF($N261&lt;&gt;"",INDEX(tblBilling[Balance],$N261),IF($O261=1,PC_TotalBalance,""))</f>
        <v/>
      </c>
      <c r="J261" s="53">
        <f>IF($N261&lt;&gt;"",INDEX(tblBilling[Payment Status],$N261),"")</f>
        <v/>
      </c>
      <c r="K261" s="55">
        <f>IF($N261&lt;&gt;"",IF(INDEX(tblBilling[Last Payment Date],$N261)="","",INDEX(tblBilling[Last Payment Date],$N261)),"")</f>
        <v/>
      </c>
      <c r="L261" s="53">
        <f>IF($N261&lt;&gt;"",INDEX(tblBilling[Collector Name],$N261),"")</f>
        <v/>
      </c>
      <c r="N261">
        <f>IF(N260="","",IFERROR(N260+MATCH(1,INDEX(tblBilling[Print Match],N260+1):INDEX(tblBilling[Print Match],ROWS(tblBilling[Print Match])),0),""))</f>
        <v/>
      </c>
      <c r="O261">
        <f>ROW()-9-MIN(PC_Count,500)</f>
        <v/>
      </c>
    </row>
    <row r="262" ht="20" customHeight="1">
      <c r="A262" s="52">
        <f>IF($N262="","",ROW()-9)</f>
        <v/>
      </c>
      <c r="B262" s="53">
        <f>IF($N262&lt;&gt;"",INDEX(tblBilling[Customer ID],$N262),"")</f>
        <v/>
      </c>
      <c r="C262" s="53">
        <f>IF($N262&lt;&gt;"",INDEX(tblBilling[Customer Name],$N262),CHOOSE(MIN(MAX($O262,0),7)+1,"","TOTAL","","Total Customers: "&amp;PC_Count,"Total Recovered: "&amp;CFG_CurrencySymbol&amp;" "&amp;TEXT(PC_TotalPaid,"#,##0"),"","Collector Signature: ____________",""))</f>
        <v/>
      </c>
      <c r="D262" s="53">
        <f>IF($N262&lt;&gt;"",INDEX(tblBilling[Full Address],$N262),CHOOSE(MIN(MAX($O262,0),7)+1,"","","","Total Billing: "&amp;CFG_CurrencySymbol&amp;" "&amp;TEXT(PC_TotalFee,"#,##0"),"Total Pending: "&amp;CFG_CurrencySymbol&amp;" "&amp;TEXT(PC_TotalBalance,"#,##0"),"","Office Verification: ____________",""))</f>
        <v/>
      </c>
      <c r="E262" s="53">
        <f>IF($N262&lt;&gt;"",INDEX(tblBilling[VLAN ID],$N262),"")</f>
        <v/>
      </c>
      <c r="F262" s="52">
        <f>IF($N262&lt;&gt;"",INDEX(tblBilling[Due Date],$N262),"")</f>
        <v/>
      </c>
      <c r="G262" s="54">
        <f>IF($N262&lt;&gt;"",INDEX(tblBilling[Monthly Fee],$N262),IF($O262=1,PC_TotalFee,""))</f>
        <v/>
      </c>
      <c r="H262" s="54">
        <f>IF($N262&lt;&gt;"",INDEX(tblBilling[Amount Paid],$N262),IF($O262=1,PC_TotalPaid,""))</f>
        <v/>
      </c>
      <c r="I262" s="54">
        <f>IF($N262&lt;&gt;"",INDEX(tblBilling[Balance],$N262),IF($O262=1,PC_TotalBalance,""))</f>
        <v/>
      </c>
      <c r="J262" s="53">
        <f>IF($N262&lt;&gt;"",INDEX(tblBilling[Payment Status],$N262),"")</f>
        <v/>
      </c>
      <c r="K262" s="55">
        <f>IF($N262&lt;&gt;"",IF(INDEX(tblBilling[Last Payment Date],$N262)="","",INDEX(tblBilling[Last Payment Date],$N262)),"")</f>
        <v/>
      </c>
      <c r="L262" s="53">
        <f>IF($N262&lt;&gt;"",INDEX(tblBilling[Collector Name],$N262),"")</f>
        <v/>
      </c>
      <c r="N262">
        <f>IF(N261="","",IFERROR(N261+MATCH(1,INDEX(tblBilling[Print Match],N261+1):INDEX(tblBilling[Print Match],ROWS(tblBilling[Print Match])),0),""))</f>
        <v/>
      </c>
      <c r="O262">
        <f>ROW()-9-MIN(PC_Count,500)</f>
        <v/>
      </c>
    </row>
    <row r="263" ht="20" customHeight="1">
      <c r="A263" s="52">
        <f>IF($N263="","",ROW()-9)</f>
        <v/>
      </c>
      <c r="B263" s="53">
        <f>IF($N263&lt;&gt;"",INDEX(tblBilling[Customer ID],$N263),"")</f>
        <v/>
      </c>
      <c r="C263" s="53">
        <f>IF($N263&lt;&gt;"",INDEX(tblBilling[Customer Name],$N263),CHOOSE(MIN(MAX($O263,0),7)+1,"","TOTAL","","Total Customers: "&amp;PC_Count,"Total Recovered: "&amp;CFG_CurrencySymbol&amp;" "&amp;TEXT(PC_TotalPaid,"#,##0"),"","Collector Signature: ____________",""))</f>
        <v/>
      </c>
      <c r="D263" s="53">
        <f>IF($N263&lt;&gt;"",INDEX(tblBilling[Full Address],$N263),CHOOSE(MIN(MAX($O263,0),7)+1,"","","","Total Billing: "&amp;CFG_CurrencySymbol&amp;" "&amp;TEXT(PC_TotalFee,"#,##0"),"Total Pending: "&amp;CFG_CurrencySymbol&amp;" "&amp;TEXT(PC_TotalBalance,"#,##0"),"","Office Verification: ____________",""))</f>
        <v/>
      </c>
      <c r="E263" s="53">
        <f>IF($N263&lt;&gt;"",INDEX(tblBilling[VLAN ID],$N263),"")</f>
        <v/>
      </c>
      <c r="F263" s="52">
        <f>IF($N263&lt;&gt;"",INDEX(tblBilling[Due Date],$N263),"")</f>
        <v/>
      </c>
      <c r="G263" s="54">
        <f>IF($N263&lt;&gt;"",INDEX(tblBilling[Monthly Fee],$N263),IF($O263=1,PC_TotalFee,""))</f>
        <v/>
      </c>
      <c r="H263" s="54">
        <f>IF($N263&lt;&gt;"",INDEX(tblBilling[Amount Paid],$N263),IF($O263=1,PC_TotalPaid,""))</f>
        <v/>
      </c>
      <c r="I263" s="54">
        <f>IF($N263&lt;&gt;"",INDEX(tblBilling[Balance],$N263),IF($O263=1,PC_TotalBalance,""))</f>
        <v/>
      </c>
      <c r="J263" s="53">
        <f>IF($N263&lt;&gt;"",INDEX(tblBilling[Payment Status],$N263),"")</f>
        <v/>
      </c>
      <c r="K263" s="55">
        <f>IF($N263&lt;&gt;"",IF(INDEX(tblBilling[Last Payment Date],$N263)="","",INDEX(tblBilling[Last Payment Date],$N263)),"")</f>
        <v/>
      </c>
      <c r="L263" s="53">
        <f>IF($N263&lt;&gt;"",INDEX(tblBilling[Collector Name],$N263),"")</f>
        <v/>
      </c>
      <c r="N263">
        <f>IF(N262="","",IFERROR(N262+MATCH(1,INDEX(tblBilling[Print Match],N262+1):INDEX(tblBilling[Print Match],ROWS(tblBilling[Print Match])),0),""))</f>
        <v/>
      </c>
      <c r="O263">
        <f>ROW()-9-MIN(PC_Count,500)</f>
        <v/>
      </c>
    </row>
    <row r="264" ht="20" customHeight="1">
      <c r="A264" s="52">
        <f>IF($N264="","",ROW()-9)</f>
        <v/>
      </c>
      <c r="B264" s="53">
        <f>IF($N264&lt;&gt;"",INDEX(tblBilling[Customer ID],$N264),"")</f>
        <v/>
      </c>
      <c r="C264" s="53">
        <f>IF($N264&lt;&gt;"",INDEX(tblBilling[Customer Name],$N264),CHOOSE(MIN(MAX($O264,0),7)+1,"","TOTAL","","Total Customers: "&amp;PC_Count,"Total Recovered: "&amp;CFG_CurrencySymbol&amp;" "&amp;TEXT(PC_TotalPaid,"#,##0"),"","Collector Signature: ____________",""))</f>
        <v/>
      </c>
      <c r="D264" s="53">
        <f>IF($N264&lt;&gt;"",INDEX(tblBilling[Full Address],$N264),CHOOSE(MIN(MAX($O264,0),7)+1,"","","","Total Billing: "&amp;CFG_CurrencySymbol&amp;" "&amp;TEXT(PC_TotalFee,"#,##0"),"Total Pending: "&amp;CFG_CurrencySymbol&amp;" "&amp;TEXT(PC_TotalBalance,"#,##0"),"","Office Verification: ____________",""))</f>
        <v/>
      </c>
      <c r="E264" s="53">
        <f>IF($N264&lt;&gt;"",INDEX(tblBilling[VLAN ID],$N264),"")</f>
        <v/>
      </c>
      <c r="F264" s="52">
        <f>IF($N264&lt;&gt;"",INDEX(tblBilling[Due Date],$N264),"")</f>
        <v/>
      </c>
      <c r="G264" s="54">
        <f>IF($N264&lt;&gt;"",INDEX(tblBilling[Monthly Fee],$N264),IF($O264=1,PC_TotalFee,""))</f>
        <v/>
      </c>
      <c r="H264" s="54">
        <f>IF($N264&lt;&gt;"",INDEX(tblBilling[Amount Paid],$N264),IF($O264=1,PC_TotalPaid,""))</f>
        <v/>
      </c>
      <c r="I264" s="54">
        <f>IF($N264&lt;&gt;"",INDEX(tblBilling[Balance],$N264),IF($O264=1,PC_TotalBalance,""))</f>
        <v/>
      </c>
      <c r="J264" s="53">
        <f>IF($N264&lt;&gt;"",INDEX(tblBilling[Payment Status],$N264),"")</f>
        <v/>
      </c>
      <c r="K264" s="55">
        <f>IF($N264&lt;&gt;"",IF(INDEX(tblBilling[Last Payment Date],$N264)="","",INDEX(tblBilling[Last Payment Date],$N264)),"")</f>
        <v/>
      </c>
      <c r="L264" s="53">
        <f>IF($N264&lt;&gt;"",INDEX(tblBilling[Collector Name],$N264),"")</f>
        <v/>
      </c>
      <c r="N264">
        <f>IF(N263="","",IFERROR(N263+MATCH(1,INDEX(tblBilling[Print Match],N263+1):INDEX(tblBilling[Print Match],ROWS(tblBilling[Print Match])),0),""))</f>
        <v/>
      </c>
      <c r="O264">
        <f>ROW()-9-MIN(PC_Count,500)</f>
        <v/>
      </c>
    </row>
    <row r="265" ht="20" customHeight="1">
      <c r="A265" s="52">
        <f>IF($N265="","",ROW()-9)</f>
        <v/>
      </c>
      <c r="B265" s="53">
        <f>IF($N265&lt;&gt;"",INDEX(tblBilling[Customer ID],$N265),"")</f>
        <v/>
      </c>
      <c r="C265" s="53">
        <f>IF($N265&lt;&gt;"",INDEX(tblBilling[Customer Name],$N265),CHOOSE(MIN(MAX($O265,0),7)+1,"","TOTAL","","Total Customers: "&amp;PC_Count,"Total Recovered: "&amp;CFG_CurrencySymbol&amp;" "&amp;TEXT(PC_TotalPaid,"#,##0"),"","Collector Signature: ____________",""))</f>
        <v/>
      </c>
      <c r="D265" s="53">
        <f>IF($N265&lt;&gt;"",INDEX(tblBilling[Full Address],$N265),CHOOSE(MIN(MAX($O265,0),7)+1,"","","","Total Billing: "&amp;CFG_CurrencySymbol&amp;" "&amp;TEXT(PC_TotalFee,"#,##0"),"Total Pending: "&amp;CFG_CurrencySymbol&amp;" "&amp;TEXT(PC_TotalBalance,"#,##0"),"","Office Verification: ____________",""))</f>
        <v/>
      </c>
      <c r="E265" s="53">
        <f>IF($N265&lt;&gt;"",INDEX(tblBilling[VLAN ID],$N265),"")</f>
        <v/>
      </c>
      <c r="F265" s="52">
        <f>IF($N265&lt;&gt;"",INDEX(tblBilling[Due Date],$N265),"")</f>
        <v/>
      </c>
      <c r="G265" s="54">
        <f>IF($N265&lt;&gt;"",INDEX(tblBilling[Monthly Fee],$N265),IF($O265=1,PC_TotalFee,""))</f>
        <v/>
      </c>
      <c r="H265" s="54">
        <f>IF($N265&lt;&gt;"",INDEX(tblBilling[Amount Paid],$N265),IF($O265=1,PC_TotalPaid,""))</f>
        <v/>
      </c>
      <c r="I265" s="54">
        <f>IF($N265&lt;&gt;"",INDEX(tblBilling[Balance],$N265),IF($O265=1,PC_TotalBalance,""))</f>
        <v/>
      </c>
      <c r="J265" s="53">
        <f>IF($N265&lt;&gt;"",INDEX(tblBilling[Payment Status],$N265),"")</f>
        <v/>
      </c>
      <c r="K265" s="55">
        <f>IF($N265&lt;&gt;"",IF(INDEX(tblBilling[Last Payment Date],$N265)="","",INDEX(tblBilling[Last Payment Date],$N265)),"")</f>
        <v/>
      </c>
      <c r="L265" s="53">
        <f>IF($N265&lt;&gt;"",INDEX(tblBilling[Collector Name],$N265),"")</f>
        <v/>
      </c>
      <c r="N265">
        <f>IF(N264="","",IFERROR(N264+MATCH(1,INDEX(tblBilling[Print Match],N264+1):INDEX(tblBilling[Print Match],ROWS(tblBilling[Print Match])),0),""))</f>
        <v/>
      </c>
      <c r="O265">
        <f>ROW()-9-MIN(PC_Count,500)</f>
        <v/>
      </c>
    </row>
    <row r="266" ht="20" customHeight="1">
      <c r="A266" s="52">
        <f>IF($N266="","",ROW()-9)</f>
        <v/>
      </c>
      <c r="B266" s="53">
        <f>IF($N266&lt;&gt;"",INDEX(tblBilling[Customer ID],$N266),"")</f>
        <v/>
      </c>
      <c r="C266" s="53">
        <f>IF($N266&lt;&gt;"",INDEX(tblBilling[Customer Name],$N266),CHOOSE(MIN(MAX($O266,0),7)+1,"","TOTAL","","Total Customers: "&amp;PC_Count,"Total Recovered: "&amp;CFG_CurrencySymbol&amp;" "&amp;TEXT(PC_TotalPaid,"#,##0"),"","Collector Signature: ____________",""))</f>
        <v/>
      </c>
      <c r="D266" s="53">
        <f>IF($N266&lt;&gt;"",INDEX(tblBilling[Full Address],$N266),CHOOSE(MIN(MAX($O266,0),7)+1,"","","","Total Billing: "&amp;CFG_CurrencySymbol&amp;" "&amp;TEXT(PC_TotalFee,"#,##0"),"Total Pending: "&amp;CFG_CurrencySymbol&amp;" "&amp;TEXT(PC_TotalBalance,"#,##0"),"","Office Verification: ____________",""))</f>
        <v/>
      </c>
      <c r="E266" s="53">
        <f>IF($N266&lt;&gt;"",INDEX(tblBilling[VLAN ID],$N266),"")</f>
        <v/>
      </c>
      <c r="F266" s="52">
        <f>IF($N266&lt;&gt;"",INDEX(tblBilling[Due Date],$N266),"")</f>
        <v/>
      </c>
      <c r="G266" s="54">
        <f>IF($N266&lt;&gt;"",INDEX(tblBilling[Monthly Fee],$N266),IF($O266=1,PC_TotalFee,""))</f>
        <v/>
      </c>
      <c r="H266" s="54">
        <f>IF($N266&lt;&gt;"",INDEX(tblBilling[Amount Paid],$N266),IF($O266=1,PC_TotalPaid,""))</f>
        <v/>
      </c>
      <c r="I266" s="54">
        <f>IF($N266&lt;&gt;"",INDEX(tblBilling[Balance],$N266),IF($O266=1,PC_TotalBalance,""))</f>
        <v/>
      </c>
      <c r="J266" s="53">
        <f>IF($N266&lt;&gt;"",INDEX(tblBilling[Payment Status],$N266),"")</f>
        <v/>
      </c>
      <c r="K266" s="55">
        <f>IF($N266&lt;&gt;"",IF(INDEX(tblBilling[Last Payment Date],$N266)="","",INDEX(tblBilling[Last Payment Date],$N266)),"")</f>
        <v/>
      </c>
      <c r="L266" s="53">
        <f>IF($N266&lt;&gt;"",INDEX(tblBilling[Collector Name],$N266),"")</f>
        <v/>
      </c>
      <c r="N266">
        <f>IF(N265="","",IFERROR(N265+MATCH(1,INDEX(tblBilling[Print Match],N265+1):INDEX(tblBilling[Print Match],ROWS(tblBilling[Print Match])),0),""))</f>
        <v/>
      </c>
      <c r="O266">
        <f>ROW()-9-MIN(PC_Count,500)</f>
        <v/>
      </c>
    </row>
    <row r="267" ht="20" customHeight="1">
      <c r="A267" s="52">
        <f>IF($N267="","",ROW()-9)</f>
        <v/>
      </c>
      <c r="B267" s="53">
        <f>IF($N267&lt;&gt;"",INDEX(tblBilling[Customer ID],$N267),"")</f>
        <v/>
      </c>
      <c r="C267" s="53">
        <f>IF($N267&lt;&gt;"",INDEX(tblBilling[Customer Name],$N267),CHOOSE(MIN(MAX($O267,0),7)+1,"","TOTAL","","Total Customers: "&amp;PC_Count,"Total Recovered: "&amp;CFG_CurrencySymbol&amp;" "&amp;TEXT(PC_TotalPaid,"#,##0"),"","Collector Signature: ____________",""))</f>
        <v/>
      </c>
      <c r="D267" s="53">
        <f>IF($N267&lt;&gt;"",INDEX(tblBilling[Full Address],$N267),CHOOSE(MIN(MAX($O267,0),7)+1,"","","","Total Billing: "&amp;CFG_CurrencySymbol&amp;" "&amp;TEXT(PC_TotalFee,"#,##0"),"Total Pending: "&amp;CFG_CurrencySymbol&amp;" "&amp;TEXT(PC_TotalBalance,"#,##0"),"","Office Verification: ____________",""))</f>
        <v/>
      </c>
      <c r="E267" s="53">
        <f>IF($N267&lt;&gt;"",INDEX(tblBilling[VLAN ID],$N267),"")</f>
        <v/>
      </c>
      <c r="F267" s="52">
        <f>IF($N267&lt;&gt;"",INDEX(tblBilling[Due Date],$N267),"")</f>
        <v/>
      </c>
      <c r="G267" s="54">
        <f>IF($N267&lt;&gt;"",INDEX(tblBilling[Monthly Fee],$N267),IF($O267=1,PC_TotalFee,""))</f>
        <v/>
      </c>
      <c r="H267" s="54">
        <f>IF($N267&lt;&gt;"",INDEX(tblBilling[Amount Paid],$N267),IF($O267=1,PC_TotalPaid,""))</f>
        <v/>
      </c>
      <c r="I267" s="54">
        <f>IF($N267&lt;&gt;"",INDEX(tblBilling[Balance],$N267),IF($O267=1,PC_TotalBalance,""))</f>
        <v/>
      </c>
      <c r="J267" s="53">
        <f>IF($N267&lt;&gt;"",INDEX(tblBilling[Payment Status],$N267),"")</f>
        <v/>
      </c>
      <c r="K267" s="55">
        <f>IF($N267&lt;&gt;"",IF(INDEX(tblBilling[Last Payment Date],$N267)="","",INDEX(tblBilling[Last Payment Date],$N267)),"")</f>
        <v/>
      </c>
      <c r="L267" s="53">
        <f>IF($N267&lt;&gt;"",INDEX(tblBilling[Collector Name],$N267),"")</f>
        <v/>
      </c>
      <c r="N267">
        <f>IF(N266="","",IFERROR(N266+MATCH(1,INDEX(tblBilling[Print Match],N266+1):INDEX(tblBilling[Print Match],ROWS(tblBilling[Print Match])),0),""))</f>
        <v/>
      </c>
      <c r="O267">
        <f>ROW()-9-MIN(PC_Count,500)</f>
        <v/>
      </c>
    </row>
    <row r="268" ht="20" customHeight="1">
      <c r="A268" s="52">
        <f>IF($N268="","",ROW()-9)</f>
        <v/>
      </c>
      <c r="B268" s="53">
        <f>IF($N268&lt;&gt;"",INDEX(tblBilling[Customer ID],$N268),"")</f>
        <v/>
      </c>
      <c r="C268" s="53">
        <f>IF($N268&lt;&gt;"",INDEX(tblBilling[Customer Name],$N268),CHOOSE(MIN(MAX($O268,0),7)+1,"","TOTAL","","Total Customers: "&amp;PC_Count,"Total Recovered: "&amp;CFG_CurrencySymbol&amp;" "&amp;TEXT(PC_TotalPaid,"#,##0"),"","Collector Signature: ____________",""))</f>
        <v/>
      </c>
      <c r="D268" s="53">
        <f>IF($N268&lt;&gt;"",INDEX(tblBilling[Full Address],$N268),CHOOSE(MIN(MAX($O268,0),7)+1,"","","","Total Billing: "&amp;CFG_CurrencySymbol&amp;" "&amp;TEXT(PC_TotalFee,"#,##0"),"Total Pending: "&amp;CFG_CurrencySymbol&amp;" "&amp;TEXT(PC_TotalBalance,"#,##0"),"","Office Verification: ____________",""))</f>
        <v/>
      </c>
      <c r="E268" s="53">
        <f>IF($N268&lt;&gt;"",INDEX(tblBilling[VLAN ID],$N268),"")</f>
        <v/>
      </c>
      <c r="F268" s="52">
        <f>IF($N268&lt;&gt;"",INDEX(tblBilling[Due Date],$N268),"")</f>
        <v/>
      </c>
      <c r="G268" s="54">
        <f>IF($N268&lt;&gt;"",INDEX(tblBilling[Monthly Fee],$N268),IF($O268=1,PC_TotalFee,""))</f>
        <v/>
      </c>
      <c r="H268" s="54">
        <f>IF($N268&lt;&gt;"",INDEX(tblBilling[Amount Paid],$N268),IF($O268=1,PC_TotalPaid,""))</f>
        <v/>
      </c>
      <c r="I268" s="54">
        <f>IF($N268&lt;&gt;"",INDEX(tblBilling[Balance],$N268),IF($O268=1,PC_TotalBalance,""))</f>
        <v/>
      </c>
      <c r="J268" s="53">
        <f>IF($N268&lt;&gt;"",INDEX(tblBilling[Payment Status],$N268),"")</f>
        <v/>
      </c>
      <c r="K268" s="55">
        <f>IF($N268&lt;&gt;"",IF(INDEX(tblBilling[Last Payment Date],$N268)="","",INDEX(tblBilling[Last Payment Date],$N268)),"")</f>
        <v/>
      </c>
      <c r="L268" s="53">
        <f>IF($N268&lt;&gt;"",INDEX(tblBilling[Collector Name],$N268),"")</f>
        <v/>
      </c>
      <c r="N268">
        <f>IF(N267="","",IFERROR(N267+MATCH(1,INDEX(tblBilling[Print Match],N267+1):INDEX(tblBilling[Print Match],ROWS(tblBilling[Print Match])),0),""))</f>
        <v/>
      </c>
      <c r="O268">
        <f>ROW()-9-MIN(PC_Count,500)</f>
        <v/>
      </c>
    </row>
    <row r="269" ht="20" customHeight="1">
      <c r="A269" s="52">
        <f>IF($N269="","",ROW()-9)</f>
        <v/>
      </c>
      <c r="B269" s="53">
        <f>IF($N269&lt;&gt;"",INDEX(tblBilling[Customer ID],$N269),"")</f>
        <v/>
      </c>
      <c r="C269" s="53">
        <f>IF($N269&lt;&gt;"",INDEX(tblBilling[Customer Name],$N269),CHOOSE(MIN(MAX($O269,0),7)+1,"","TOTAL","","Total Customers: "&amp;PC_Count,"Total Recovered: "&amp;CFG_CurrencySymbol&amp;" "&amp;TEXT(PC_TotalPaid,"#,##0"),"","Collector Signature: ____________",""))</f>
        <v/>
      </c>
      <c r="D269" s="53">
        <f>IF($N269&lt;&gt;"",INDEX(tblBilling[Full Address],$N269),CHOOSE(MIN(MAX($O269,0),7)+1,"","","","Total Billing: "&amp;CFG_CurrencySymbol&amp;" "&amp;TEXT(PC_TotalFee,"#,##0"),"Total Pending: "&amp;CFG_CurrencySymbol&amp;" "&amp;TEXT(PC_TotalBalance,"#,##0"),"","Office Verification: ____________",""))</f>
        <v/>
      </c>
      <c r="E269" s="53">
        <f>IF($N269&lt;&gt;"",INDEX(tblBilling[VLAN ID],$N269),"")</f>
        <v/>
      </c>
      <c r="F269" s="52">
        <f>IF($N269&lt;&gt;"",INDEX(tblBilling[Due Date],$N269),"")</f>
        <v/>
      </c>
      <c r="G269" s="54">
        <f>IF($N269&lt;&gt;"",INDEX(tblBilling[Monthly Fee],$N269),IF($O269=1,PC_TotalFee,""))</f>
        <v/>
      </c>
      <c r="H269" s="54">
        <f>IF($N269&lt;&gt;"",INDEX(tblBilling[Amount Paid],$N269),IF($O269=1,PC_TotalPaid,""))</f>
        <v/>
      </c>
      <c r="I269" s="54">
        <f>IF($N269&lt;&gt;"",INDEX(tblBilling[Balance],$N269),IF($O269=1,PC_TotalBalance,""))</f>
        <v/>
      </c>
      <c r="J269" s="53">
        <f>IF($N269&lt;&gt;"",INDEX(tblBilling[Payment Status],$N269),"")</f>
        <v/>
      </c>
      <c r="K269" s="55">
        <f>IF($N269&lt;&gt;"",IF(INDEX(tblBilling[Last Payment Date],$N269)="","",INDEX(tblBilling[Last Payment Date],$N269)),"")</f>
        <v/>
      </c>
      <c r="L269" s="53">
        <f>IF($N269&lt;&gt;"",INDEX(tblBilling[Collector Name],$N269),"")</f>
        <v/>
      </c>
      <c r="N269">
        <f>IF(N268="","",IFERROR(N268+MATCH(1,INDEX(tblBilling[Print Match],N268+1):INDEX(tblBilling[Print Match],ROWS(tblBilling[Print Match])),0),""))</f>
        <v/>
      </c>
      <c r="O269">
        <f>ROW()-9-MIN(PC_Count,500)</f>
        <v/>
      </c>
    </row>
    <row r="270" ht="20" customHeight="1">
      <c r="A270" s="52">
        <f>IF($N270="","",ROW()-9)</f>
        <v/>
      </c>
      <c r="B270" s="53">
        <f>IF($N270&lt;&gt;"",INDEX(tblBilling[Customer ID],$N270),"")</f>
        <v/>
      </c>
      <c r="C270" s="53">
        <f>IF($N270&lt;&gt;"",INDEX(tblBilling[Customer Name],$N270),CHOOSE(MIN(MAX($O270,0),7)+1,"","TOTAL","","Total Customers: "&amp;PC_Count,"Total Recovered: "&amp;CFG_CurrencySymbol&amp;" "&amp;TEXT(PC_TotalPaid,"#,##0"),"","Collector Signature: ____________",""))</f>
        <v/>
      </c>
      <c r="D270" s="53">
        <f>IF($N270&lt;&gt;"",INDEX(tblBilling[Full Address],$N270),CHOOSE(MIN(MAX($O270,0),7)+1,"","","","Total Billing: "&amp;CFG_CurrencySymbol&amp;" "&amp;TEXT(PC_TotalFee,"#,##0"),"Total Pending: "&amp;CFG_CurrencySymbol&amp;" "&amp;TEXT(PC_TotalBalance,"#,##0"),"","Office Verification: ____________",""))</f>
        <v/>
      </c>
      <c r="E270" s="53">
        <f>IF($N270&lt;&gt;"",INDEX(tblBilling[VLAN ID],$N270),"")</f>
        <v/>
      </c>
      <c r="F270" s="52">
        <f>IF($N270&lt;&gt;"",INDEX(tblBilling[Due Date],$N270),"")</f>
        <v/>
      </c>
      <c r="G270" s="54">
        <f>IF($N270&lt;&gt;"",INDEX(tblBilling[Monthly Fee],$N270),IF($O270=1,PC_TotalFee,""))</f>
        <v/>
      </c>
      <c r="H270" s="54">
        <f>IF($N270&lt;&gt;"",INDEX(tblBilling[Amount Paid],$N270),IF($O270=1,PC_TotalPaid,""))</f>
        <v/>
      </c>
      <c r="I270" s="54">
        <f>IF($N270&lt;&gt;"",INDEX(tblBilling[Balance],$N270),IF($O270=1,PC_TotalBalance,""))</f>
        <v/>
      </c>
      <c r="J270" s="53">
        <f>IF($N270&lt;&gt;"",INDEX(tblBilling[Payment Status],$N270),"")</f>
        <v/>
      </c>
      <c r="K270" s="55">
        <f>IF($N270&lt;&gt;"",IF(INDEX(tblBilling[Last Payment Date],$N270)="","",INDEX(tblBilling[Last Payment Date],$N270)),"")</f>
        <v/>
      </c>
      <c r="L270" s="53">
        <f>IF($N270&lt;&gt;"",INDEX(tblBilling[Collector Name],$N270),"")</f>
        <v/>
      </c>
      <c r="N270">
        <f>IF(N269="","",IFERROR(N269+MATCH(1,INDEX(tblBilling[Print Match],N269+1):INDEX(tblBilling[Print Match],ROWS(tblBilling[Print Match])),0),""))</f>
        <v/>
      </c>
      <c r="O270">
        <f>ROW()-9-MIN(PC_Count,500)</f>
        <v/>
      </c>
    </row>
    <row r="271" ht="20" customHeight="1">
      <c r="A271" s="52">
        <f>IF($N271="","",ROW()-9)</f>
        <v/>
      </c>
      <c r="B271" s="53">
        <f>IF($N271&lt;&gt;"",INDEX(tblBilling[Customer ID],$N271),"")</f>
        <v/>
      </c>
      <c r="C271" s="53">
        <f>IF($N271&lt;&gt;"",INDEX(tblBilling[Customer Name],$N271),CHOOSE(MIN(MAX($O271,0),7)+1,"","TOTAL","","Total Customers: "&amp;PC_Count,"Total Recovered: "&amp;CFG_CurrencySymbol&amp;" "&amp;TEXT(PC_TotalPaid,"#,##0"),"","Collector Signature: ____________",""))</f>
        <v/>
      </c>
      <c r="D271" s="53">
        <f>IF($N271&lt;&gt;"",INDEX(tblBilling[Full Address],$N271),CHOOSE(MIN(MAX($O271,0),7)+1,"","","","Total Billing: "&amp;CFG_CurrencySymbol&amp;" "&amp;TEXT(PC_TotalFee,"#,##0"),"Total Pending: "&amp;CFG_CurrencySymbol&amp;" "&amp;TEXT(PC_TotalBalance,"#,##0"),"","Office Verification: ____________",""))</f>
        <v/>
      </c>
      <c r="E271" s="53">
        <f>IF($N271&lt;&gt;"",INDEX(tblBilling[VLAN ID],$N271),"")</f>
        <v/>
      </c>
      <c r="F271" s="52">
        <f>IF($N271&lt;&gt;"",INDEX(tblBilling[Due Date],$N271),"")</f>
        <v/>
      </c>
      <c r="G271" s="54">
        <f>IF($N271&lt;&gt;"",INDEX(tblBilling[Monthly Fee],$N271),IF($O271=1,PC_TotalFee,""))</f>
        <v/>
      </c>
      <c r="H271" s="54">
        <f>IF($N271&lt;&gt;"",INDEX(tblBilling[Amount Paid],$N271),IF($O271=1,PC_TotalPaid,""))</f>
        <v/>
      </c>
      <c r="I271" s="54">
        <f>IF($N271&lt;&gt;"",INDEX(tblBilling[Balance],$N271),IF($O271=1,PC_TotalBalance,""))</f>
        <v/>
      </c>
      <c r="J271" s="53">
        <f>IF($N271&lt;&gt;"",INDEX(tblBilling[Payment Status],$N271),"")</f>
        <v/>
      </c>
      <c r="K271" s="55">
        <f>IF($N271&lt;&gt;"",IF(INDEX(tblBilling[Last Payment Date],$N271)="","",INDEX(tblBilling[Last Payment Date],$N271)),"")</f>
        <v/>
      </c>
      <c r="L271" s="53">
        <f>IF($N271&lt;&gt;"",INDEX(tblBilling[Collector Name],$N271),"")</f>
        <v/>
      </c>
      <c r="N271">
        <f>IF(N270="","",IFERROR(N270+MATCH(1,INDEX(tblBilling[Print Match],N270+1):INDEX(tblBilling[Print Match],ROWS(tblBilling[Print Match])),0),""))</f>
        <v/>
      </c>
      <c r="O271">
        <f>ROW()-9-MIN(PC_Count,500)</f>
        <v/>
      </c>
    </row>
    <row r="272" ht="20" customHeight="1">
      <c r="A272" s="52">
        <f>IF($N272="","",ROW()-9)</f>
        <v/>
      </c>
      <c r="B272" s="53">
        <f>IF($N272&lt;&gt;"",INDEX(tblBilling[Customer ID],$N272),"")</f>
        <v/>
      </c>
      <c r="C272" s="53">
        <f>IF($N272&lt;&gt;"",INDEX(tblBilling[Customer Name],$N272),CHOOSE(MIN(MAX($O272,0),7)+1,"","TOTAL","","Total Customers: "&amp;PC_Count,"Total Recovered: "&amp;CFG_CurrencySymbol&amp;" "&amp;TEXT(PC_TotalPaid,"#,##0"),"","Collector Signature: ____________",""))</f>
        <v/>
      </c>
      <c r="D272" s="53">
        <f>IF($N272&lt;&gt;"",INDEX(tblBilling[Full Address],$N272),CHOOSE(MIN(MAX($O272,0),7)+1,"","","","Total Billing: "&amp;CFG_CurrencySymbol&amp;" "&amp;TEXT(PC_TotalFee,"#,##0"),"Total Pending: "&amp;CFG_CurrencySymbol&amp;" "&amp;TEXT(PC_TotalBalance,"#,##0"),"","Office Verification: ____________",""))</f>
        <v/>
      </c>
      <c r="E272" s="53">
        <f>IF($N272&lt;&gt;"",INDEX(tblBilling[VLAN ID],$N272),"")</f>
        <v/>
      </c>
      <c r="F272" s="52">
        <f>IF($N272&lt;&gt;"",INDEX(tblBilling[Due Date],$N272),"")</f>
        <v/>
      </c>
      <c r="G272" s="54">
        <f>IF($N272&lt;&gt;"",INDEX(tblBilling[Monthly Fee],$N272),IF($O272=1,PC_TotalFee,""))</f>
        <v/>
      </c>
      <c r="H272" s="54">
        <f>IF($N272&lt;&gt;"",INDEX(tblBilling[Amount Paid],$N272),IF($O272=1,PC_TotalPaid,""))</f>
        <v/>
      </c>
      <c r="I272" s="54">
        <f>IF($N272&lt;&gt;"",INDEX(tblBilling[Balance],$N272),IF($O272=1,PC_TotalBalance,""))</f>
        <v/>
      </c>
      <c r="J272" s="53">
        <f>IF($N272&lt;&gt;"",INDEX(tblBilling[Payment Status],$N272),"")</f>
        <v/>
      </c>
      <c r="K272" s="55">
        <f>IF($N272&lt;&gt;"",IF(INDEX(tblBilling[Last Payment Date],$N272)="","",INDEX(tblBilling[Last Payment Date],$N272)),"")</f>
        <v/>
      </c>
      <c r="L272" s="53">
        <f>IF($N272&lt;&gt;"",INDEX(tblBilling[Collector Name],$N272),"")</f>
        <v/>
      </c>
      <c r="N272">
        <f>IF(N271="","",IFERROR(N271+MATCH(1,INDEX(tblBilling[Print Match],N271+1):INDEX(tblBilling[Print Match],ROWS(tblBilling[Print Match])),0),""))</f>
        <v/>
      </c>
      <c r="O272">
        <f>ROW()-9-MIN(PC_Count,500)</f>
        <v/>
      </c>
    </row>
    <row r="273" ht="20" customHeight="1">
      <c r="A273" s="52">
        <f>IF($N273="","",ROW()-9)</f>
        <v/>
      </c>
      <c r="B273" s="53">
        <f>IF($N273&lt;&gt;"",INDEX(tblBilling[Customer ID],$N273),"")</f>
        <v/>
      </c>
      <c r="C273" s="53">
        <f>IF($N273&lt;&gt;"",INDEX(tblBilling[Customer Name],$N273),CHOOSE(MIN(MAX($O273,0),7)+1,"","TOTAL","","Total Customers: "&amp;PC_Count,"Total Recovered: "&amp;CFG_CurrencySymbol&amp;" "&amp;TEXT(PC_TotalPaid,"#,##0"),"","Collector Signature: ____________",""))</f>
        <v/>
      </c>
      <c r="D273" s="53">
        <f>IF($N273&lt;&gt;"",INDEX(tblBilling[Full Address],$N273),CHOOSE(MIN(MAX($O273,0),7)+1,"","","","Total Billing: "&amp;CFG_CurrencySymbol&amp;" "&amp;TEXT(PC_TotalFee,"#,##0"),"Total Pending: "&amp;CFG_CurrencySymbol&amp;" "&amp;TEXT(PC_TotalBalance,"#,##0"),"","Office Verification: ____________",""))</f>
        <v/>
      </c>
      <c r="E273" s="53">
        <f>IF($N273&lt;&gt;"",INDEX(tblBilling[VLAN ID],$N273),"")</f>
        <v/>
      </c>
      <c r="F273" s="52">
        <f>IF($N273&lt;&gt;"",INDEX(tblBilling[Due Date],$N273),"")</f>
        <v/>
      </c>
      <c r="G273" s="54">
        <f>IF($N273&lt;&gt;"",INDEX(tblBilling[Monthly Fee],$N273),IF($O273=1,PC_TotalFee,""))</f>
        <v/>
      </c>
      <c r="H273" s="54">
        <f>IF($N273&lt;&gt;"",INDEX(tblBilling[Amount Paid],$N273),IF($O273=1,PC_TotalPaid,""))</f>
        <v/>
      </c>
      <c r="I273" s="54">
        <f>IF($N273&lt;&gt;"",INDEX(tblBilling[Balance],$N273),IF($O273=1,PC_TotalBalance,""))</f>
        <v/>
      </c>
      <c r="J273" s="53">
        <f>IF($N273&lt;&gt;"",INDEX(tblBilling[Payment Status],$N273),"")</f>
        <v/>
      </c>
      <c r="K273" s="55">
        <f>IF($N273&lt;&gt;"",IF(INDEX(tblBilling[Last Payment Date],$N273)="","",INDEX(tblBilling[Last Payment Date],$N273)),"")</f>
        <v/>
      </c>
      <c r="L273" s="53">
        <f>IF($N273&lt;&gt;"",INDEX(tblBilling[Collector Name],$N273),"")</f>
        <v/>
      </c>
      <c r="N273">
        <f>IF(N272="","",IFERROR(N272+MATCH(1,INDEX(tblBilling[Print Match],N272+1):INDEX(tblBilling[Print Match],ROWS(tblBilling[Print Match])),0),""))</f>
        <v/>
      </c>
      <c r="O273">
        <f>ROW()-9-MIN(PC_Count,500)</f>
        <v/>
      </c>
    </row>
    <row r="274" ht="20" customHeight="1">
      <c r="A274" s="52">
        <f>IF($N274="","",ROW()-9)</f>
        <v/>
      </c>
      <c r="B274" s="53">
        <f>IF($N274&lt;&gt;"",INDEX(tblBilling[Customer ID],$N274),"")</f>
        <v/>
      </c>
      <c r="C274" s="53">
        <f>IF($N274&lt;&gt;"",INDEX(tblBilling[Customer Name],$N274),CHOOSE(MIN(MAX($O274,0),7)+1,"","TOTAL","","Total Customers: "&amp;PC_Count,"Total Recovered: "&amp;CFG_CurrencySymbol&amp;" "&amp;TEXT(PC_TotalPaid,"#,##0"),"","Collector Signature: ____________",""))</f>
        <v/>
      </c>
      <c r="D274" s="53">
        <f>IF($N274&lt;&gt;"",INDEX(tblBilling[Full Address],$N274),CHOOSE(MIN(MAX($O274,0),7)+1,"","","","Total Billing: "&amp;CFG_CurrencySymbol&amp;" "&amp;TEXT(PC_TotalFee,"#,##0"),"Total Pending: "&amp;CFG_CurrencySymbol&amp;" "&amp;TEXT(PC_TotalBalance,"#,##0"),"","Office Verification: ____________",""))</f>
        <v/>
      </c>
      <c r="E274" s="53">
        <f>IF($N274&lt;&gt;"",INDEX(tblBilling[VLAN ID],$N274),"")</f>
        <v/>
      </c>
      <c r="F274" s="52">
        <f>IF($N274&lt;&gt;"",INDEX(tblBilling[Due Date],$N274),"")</f>
        <v/>
      </c>
      <c r="G274" s="54">
        <f>IF($N274&lt;&gt;"",INDEX(tblBilling[Monthly Fee],$N274),IF($O274=1,PC_TotalFee,""))</f>
        <v/>
      </c>
      <c r="H274" s="54">
        <f>IF($N274&lt;&gt;"",INDEX(tblBilling[Amount Paid],$N274),IF($O274=1,PC_TotalPaid,""))</f>
        <v/>
      </c>
      <c r="I274" s="54">
        <f>IF($N274&lt;&gt;"",INDEX(tblBilling[Balance],$N274),IF($O274=1,PC_TotalBalance,""))</f>
        <v/>
      </c>
      <c r="J274" s="53">
        <f>IF($N274&lt;&gt;"",INDEX(tblBilling[Payment Status],$N274),"")</f>
        <v/>
      </c>
      <c r="K274" s="55">
        <f>IF($N274&lt;&gt;"",IF(INDEX(tblBilling[Last Payment Date],$N274)="","",INDEX(tblBilling[Last Payment Date],$N274)),"")</f>
        <v/>
      </c>
      <c r="L274" s="53">
        <f>IF($N274&lt;&gt;"",INDEX(tblBilling[Collector Name],$N274),"")</f>
        <v/>
      </c>
      <c r="N274">
        <f>IF(N273="","",IFERROR(N273+MATCH(1,INDEX(tblBilling[Print Match],N273+1):INDEX(tblBilling[Print Match],ROWS(tblBilling[Print Match])),0),""))</f>
        <v/>
      </c>
      <c r="O274">
        <f>ROW()-9-MIN(PC_Count,500)</f>
        <v/>
      </c>
    </row>
    <row r="275" ht="20" customHeight="1">
      <c r="A275" s="52">
        <f>IF($N275="","",ROW()-9)</f>
        <v/>
      </c>
      <c r="B275" s="53">
        <f>IF($N275&lt;&gt;"",INDEX(tblBilling[Customer ID],$N275),"")</f>
        <v/>
      </c>
      <c r="C275" s="53">
        <f>IF($N275&lt;&gt;"",INDEX(tblBilling[Customer Name],$N275),CHOOSE(MIN(MAX($O275,0),7)+1,"","TOTAL","","Total Customers: "&amp;PC_Count,"Total Recovered: "&amp;CFG_CurrencySymbol&amp;" "&amp;TEXT(PC_TotalPaid,"#,##0"),"","Collector Signature: ____________",""))</f>
        <v/>
      </c>
      <c r="D275" s="53">
        <f>IF($N275&lt;&gt;"",INDEX(tblBilling[Full Address],$N275),CHOOSE(MIN(MAX($O275,0),7)+1,"","","","Total Billing: "&amp;CFG_CurrencySymbol&amp;" "&amp;TEXT(PC_TotalFee,"#,##0"),"Total Pending: "&amp;CFG_CurrencySymbol&amp;" "&amp;TEXT(PC_TotalBalance,"#,##0"),"","Office Verification: ____________",""))</f>
        <v/>
      </c>
      <c r="E275" s="53">
        <f>IF($N275&lt;&gt;"",INDEX(tblBilling[VLAN ID],$N275),"")</f>
        <v/>
      </c>
      <c r="F275" s="52">
        <f>IF($N275&lt;&gt;"",INDEX(tblBilling[Due Date],$N275),"")</f>
        <v/>
      </c>
      <c r="G275" s="54">
        <f>IF($N275&lt;&gt;"",INDEX(tblBilling[Monthly Fee],$N275),IF($O275=1,PC_TotalFee,""))</f>
        <v/>
      </c>
      <c r="H275" s="54">
        <f>IF($N275&lt;&gt;"",INDEX(tblBilling[Amount Paid],$N275),IF($O275=1,PC_TotalPaid,""))</f>
        <v/>
      </c>
      <c r="I275" s="54">
        <f>IF($N275&lt;&gt;"",INDEX(tblBilling[Balance],$N275),IF($O275=1,PC_TotalBalance,""))</f>
        <v/>
      </c>
      <c r="J275" s="53">
        <f>IF($N275&lt;&gt;"",INDEX(tblBilling[Payment Status],$N275),"")</f>
        <v/>
      </c>
      <c r="K275" s="55">
        <f>IF($N275&lt;&gt;"",IF(INDEX(tblBilling[Last Payment Date],$N275)="","",INDEX(tblBilling[Last Payment Date],$N275)),"")</f>
        <v/>
      </c>
      <c r="L275" s="53">
        <f>IF($N275&lt;&gt;"",INDEX(tblBilling[Collector Name],$N275),"")</f>
        <v/>
      </c>
      <c r="N275">
        <f>IF(N274="","",IFERROR(N274+MATCH(1,INDEX(tblBilling[Print Match],N274+1):INDEX(tblBilling[Print Match],ROWS(tblBilling[Print Match])),0),""))</f>
        <v/>
      </c>
      <c r="O275">
        <f>ROW()-9-MIN(PC_Count,500)</f>
        <v/>
      </c>
    </row>
    <row r="276" ht="20" customHeight="1">
      <c r="A276" s="52">
        <f>IF($N276="","",ROW()-9)</f>
        <v/>
      </c>
      <c r="B276" s="53">
        <f>IF($N276&lt;&gt;"",INDEX(tblBilling[Customer ID],$N276),"")</f>
        <v/>
      </c>
      <c r="C276" s="53">
        <f>IF($N276&lt;&gt;"",INDEX(tblBilling[Customer Name],$N276),CHOOSE(MIN(MAX($O276,0),7)+1,"","TOTAL","","Total Customers: "&amp;PC_Count,"Total Recovered: "&amp;CFG_CurrencySymbol&amp;" "&amp;TEXT(PC_TotalPaid,"#,##0"),"","Collector Signature: ____________",""))</f>
        <v/>
      </c>
      <c r="D276" s="53">
        <f>IF($N276&lt;&gt;"",INDEX(tblBilling[Full Address],$N276),CHOOSE(MIN(MAX($O276,0),7)+1,"","","","Total Billing: "&amp;CFG_CurrencySymbol&amp;" "&amp;TEXT(PC_TotalFee,"#,##0"),"Total Pending: "&amp;CFG_CurrencySymbol&amp;" "&amp;TEXT(PC_TotalBalance,"#,##0"),"","Office Verification: ____________",""))</f>
        <v/>
      </c>
      <c r="E276" s="53">
        <f>IF($N276&lt;&gt;"",INDEX(tblBilling[VLAN ID],$N276),"")</f>
        <v/>
      </c>
      <c r="F276" s="52">
        <f>IF($N276&lt;&gt;"",INDEX(tblBilling[Due Date],$N276),"")</f>
        <v/>
      </c>
      <c r="G276" s="54">
        <f>IF($N276&lt;&gt;"",INDEX(tblBilling[Monthly Fee],$N276),IF($O276=1,PC_TotalFee,""))</f>
        <v/>
      </c>
      <c r="H276" s="54">
        <f>IF($N276&lt;&gt;"",INDEX(tblBilling[Amount Paid],$N276),IF($O276=1,PC_TotalPaid,""))</f>
        <v/>
      </c>
      <c r="I276" s="54">
        <f>IF($N276&lt;&gt;"",INDEX(tblBilling[Balance],$N276),IF($O276=1,PC_TotalBalance,""))</f>
        <v/>
      </c>
      <c r="J276" s="53">
        <f>IF($N276&lt;&gt;"",INDEX(tblBilling[Payment Status],$N276),"")</f>
        <v/>
      </c>
      <c r="K276" s="55">
        <f>IF($N276&lt;&gt;"",IF(INDEX(tblBilling[Last Payment Date],$N276)="","",INDEX(tblBilling[Last Payment Date],$N276)),"")</f>
        <v/>
      </c>
      <c r="L276" s="53">
        <f>IF($N276&lt;&gt;"",INDEX(tblBilling[Collector Name],$N276),"")</f>
        <v/>
      </c>
      <c r="N276">
        <f>IF(N275="","",IFERROR(N275+MATCH(1,INDEX(tblBilling[Print Match],N275+1):INDEX(tblBilling[Print Match],ROWS(tblBilling[Print Match])),0),""))</f>
        <v/>
      </c>
      <c r="O276">
        <f>ROW()-9-MIN(PC_Count,500)</f>
        <v/>
      </c>
    </row>
    <row r="277" ht="20" customHeight="1">
      <c r="A277" s="52">
        <f>IF($N277="","",ROW()-9)</f>
        <v/>
      </c>
      <c r="B277" s="53">
        <f>IF($N277&lt;&gt;"",INDEX(tblBilling[Customer ID],$N277),"")</f>
        <v/>
      </c>
      <c r="C277" s="53">
        <f>IF($N277&lt;&gt;"",INDEX(tblBilling[Customer Name],$N277),CHOOSE(MIN(MAX($O277,0),7)+1,"","TOTAL","","Total Customers: "&amp;PC_Count,"Total Recovered: "&amp;CFG_CurrencySymbol&amp;" "&amp;TEXT(PC_TotalPaid,"#,##0"),"","Collector Signature: ____________",""))</f>
        <v/>
      </c>
      <c r="D277" s="53">
        <f>IF($N277&lt;&gt;"",INDEX(tblBilling[Full Address],$N277),CHOOSE(MIN(MAX($O277,0),7)+1,"","","","Total Billing: "&amp;CFG_CurrencySymbol&amp;" "&amp;TEXT(PC_TotalFee,"#,##0"),"Total Pending: "&amp;CFG_CurrencySymbol&amp;" "&amp;TEXT(PC_TotalBalance,"#,##0"),"","Office Verification: ____________",""))</f>
        <v/>
      </c>
      <c r="E277" s="53">
        <f>IF($N277&lt;&gt;"",INDEX(tblBilling[VLAN ID],$N277),"")</f>
        <v/>
      </c>
      <c r="F277" s="52">
        <f>IF($N277&lt;&gt;"",INDEX(tblBilling[Due Date],$N277),"")</f>
        <v/>
      </c>
      <c r="G277" s="54">
        <f>IF($N277&lt;&gt;"",INDEX(tblBilling[Monthly Fee],$N277),IF($O277=1,PC_TotalFee,""))</f>
        <v/>
      </c>
      <c r="H277" s="54">
        <f>IF($N277&lt;&gt;"",INDEX(tblBilling[Amount Paid],$N277),IF($O277=1,PC_TotalPaid,""))</f>
        <v/>
      </c>
      <c r="I277" s="54">
        <f>IF($N277&lt;&gt;"",INDEX(tblBilling[Balance],$N277),IF($O277=1,PC_TotalBalance,""))</f>
        <v/>
      </c>
      <c r="J277" s="53">
        <f>IF($N277&lt;&gt;"",INDEX(tblBilling[Payment Status],$N277),"")</f>
        <v/>
      </c>
      <c r="K277" s="55">
        <f>IF($N277&lt;&gt;"",IF(INDEX(tblBilling[Last Payment Date],$N277)="","",INDEX(tblBilling[Last Payment Date],$N277)),"")</f>
        <v/>
      </c>
      <c r="L277" s="53">
        <f>IF($N277&lt;&gt;"",INDEX(tblBilling[Collector Name],$N277),"")</f>
        <v/>
      </c>
      <c r="N277">
        <f>IF(N276="","",IFERROR(N276+MATCH(1,INDEX(tblBilling[Print Match],N276+1):INDEX(tblBilling[Print Match],ROWS(tblBilling[Print Match])),0),""))</f>
        <v/>
      </c>
      <c r="O277">
        <f>ROW()-9-MIN(PC_Count,500)</f>
        <v/>
      </c>
    </row>
    <row r="278" ht="20" customHeight="1">
      <c r="A278" s="52">
        <f>IF($N278="","",ROW()-9)</f>
        <v/>
      </c>
      <c r="B278" s="53">
        <f>IF($N278&lt;&gt;"",INDEX(tblBilling[Customer ID],$N278),"")</f>
        <v/>
      </c>
      <c r="C278" s="53">
        <f>IF($N278&lt;&gt;"",INDEX(tblBilling[Customer Name],$N278),CHOOSE(MIN(MAX($O278,0),7)+1,"","TOTAL","","Total Customers: "&amp;PC_Count,"Total Recovered: "&amp;CFG_CurrencySymbol&amp;" "&amp;TEXT(PC_TotalPaid,"#,##0"),"","Collector Signature: ____________",""))</f>
        <v/>
      </c>
      <c r="D278" s="53">
        <f>IF($N278&lt;&gt;"",INDEX(tblBilling[Full Address],$N278),CHOOSE(MIN(MAX($O278,0),7)+1,"","","","Total Billing: "&amp;CFG_CurrencySymbol&amp;" "&amp;TEXT(PC_TotalFee,"#,##0"),"Total Pending: "&amp;CFG_CurrencySymbol&amp;" "&amp;TEXT(PC_TotalBalance,"#,##0"),"","Office Verification: ____________",""))</f>
        <v/>
      </c>
      <c r="E278" s="53">
        <f>IF($N278&lt;&gt;"",INDEX(tblBilling[VLAN ID],$N278),"")</f>
        <v/>
      </c>
      <c r="F278" s="52">
        <f>IF($N278&lt;&gt;"",INDEX(tblBilling[Due Date],$N278),"")</f>
        <v/>
      </c>
      <c r="G278" s="54">
        <f>IF($N278&lt;&gt;"",INDEX(tblBilling[Monthly Fee],$N278),IF($O278=1,PC_TotalFee,""))</f>
        <v/>
      </c>
      <c r="H278" s="54">
        <f>IF($N278&lt;&gt;"",INDEX(tblBilling[Amount Paid],$N278),IF($O278=1,PC_TotalPaid,""))</f>
        <v/>
      </c>
      <c r="I278" s="54">
        <f>IF($N278&lt;&gt;"",INDEX(tblBilling[Balance],$N278),IF($O278=1,PC_TotalBalance,""))</f>
        <v/>
      </c>
      <c r="J278" s="53">
        <f>IF($N278&lt;&gt;"",INDEX(tblBilling[Payment Status],$N278),"")</f>
        <v/>
      </c>
      <c r="K278" s="55">
        <f>IF($N278&lt;&gt;"",IF(INDEX(tblBilling[Last Payment Date],$N278)="","",INDEX(tblBilling[Last Payment Date],$N278)),"")</f>
        <v/>
      </c>
      <c r="L278" s="53">
        <f>IF($N278&lt;&gt;"",INDEX(tblBilling[Collector Name],$N278),"")</f>
        <v/>
      </c>
      <c r="N278">
        <f>IF(N277="","",IFERROR(N277+MATCH(1,INDEX(tblBilling[Print Match],N277+1):INDEX(tblBilling[Print Match],ROWS(tblBilling[Print Match])),0),""))</f>
        <v/>
      </c>
      <c r="O278">
        <f>ROW()-9-MIN(PC_Count,500)</f>
        <v/>
      </c>
    </row>
    <row r="279" ht="20" customHeight="1">
      <c r="A279" s="52">
        <f>IF($N279="","",ROW()-9)</f>
        <v/>
      </c>
      <c r="B279" s="53">
        <f>IF($N279&lt;&gt;"",INDEX(tblBilling[Customer ID],$N279),"")</f>
        <v/>
      </c>
      <c r="C279" s="53">
        <f>IF($N279&lt;&gt;"",INDEX(tblBilling[Customer Name],$N279),CHOOSE(MIN(MAX($O279,0),7)+1,"","TOTAL","","Total Customers: "&amp;PC_Count,"Total Recovered: "&amp;CFG_CurrencySymbol&amp;" "&amp;TEXT(PC_TotalPaid,"#,##0"),"","Collector Signature: ____________",""))</f>
        <v/>
      </c>
      <c r="D279" s="53">
        <f>IF($N279&lt;&gt;"",INDEX(tblBilling[Full Address],$N279),CHOOSE(MIN(MAX($O279,0),7)+1,"","","","Total Billing: "&amp;CFG_CurrencySymbol&amp;" "&amp;TEXT(PC_TotalFee,"#,##0"),"Total Pending: "&amp;CFG_CurrencySymbol&amp;" "&amp;TEXT(PC_TotalBalance,"#,##0"),"","Office Verification: ____________",""))</f>
        <v/>
      </c>
      <c r="E279" s="53">
        <f>IF($N279&lt;&gt;"",INDEX(tblBilling[VLAN ID],$N279),"")</f>
        <v/>
      </c>
      <c r="F279" s="52">
        <f>IF($N279&lt;&gt;"",INDEX(tblBilling[Due Date],$N279),"")</f>
        <v/>
      </c>
      <c r="G279" s="54">
        <f>IF($N279&lt;&gt;"",INDEX(tblBilling[Monthly Fee],$N279),IF($O279=1,PC_TotalFee,""))</f>
        <v/>
      </c>
      <c r="H279" s="54">
        <f>IF($N279&lt;&gt;"",INDEX(tblBilling[Amount Paid],$N279),IF($O279=1,PC_TotalPaid,""))</f>
        <v/>
      </c>
      <c r="I279" s="54">
        <f>IF($N279&lt;&gt;"",INDEX(tblBilling[Balance],$N279),IF($O279=1,PC_TotalBalance,""))</f>
        <v/>
      </c>
      <c r="J279" s="53">
        <f>IF($N279&lt;&gt;"",INDEX(tblBilling[Payment Status],$N279),"")</f>
        <v/>
      </c>
      <c r="K279" s="55">
        <f>IF($N279&lt;&gt;"",IF(INDEX(tblBilling[Last Payment Date],$N279)="","",INDEX(tblBilling[Last Payment Date],$N279)),"")</f>
        <v/>
      </c>
      <c r="L279" s="53">
        <f>IF($N279&lt;&gt;"",INDEX(tblBilling[Collector Name],$N279),"")</f>
        <v/>
      </c>
      <c r="N279">
        <f>IF(N278="","",IFERROR(N278+MATCH(1,INDEX(tblBilling[Print Match],N278+1):INDEX(tblBilling[Print Match],ROWS(tblBilling[Print Match])),0),""))</f>
        <v/>
      </c>
      <c r="O279">
        <f>ROW()-9-MIN(PC_Count,500)</f>
        <v/>
      </c>
    </row>
    <row r="280" ht="20" customHeight="1">
      <c r="A280" s="52">
        <f>IF($N280="","",ROW()-9)</f>
        <v/>
      </c>
      <c r="B280" s="53">
        <f>IF($N280&lt;&gt;"",INDEX(tblBilling[Customer ID],$N280),"")</f>
        <v/>
      </c>
      <c r="C280" s="53">
        <f>IF($N280&lt;&gt;"",INDEX(tblBilling[Customer Name],$N280),CHOOSE(MIN(MAX($O280,0),7)+1,"","TOTAL","","Total Customers: "&amp;PC_Count,"Total Recovered: "&amp;CFG_CurrencySymbol&amp;" "&amp;TEXT(PC_TotalPaid,"#,##0"),"","Collector Signature: ____________",""))</f>
        <v/>
      </c>
      <c r="D280" s="53">
        <f>IF($N280&lt;&gt;"",INDEX(tblBilling[Full Address],$N280),CHOOSE(MIN(MAX($O280,0),7)+1,"","","","Total Billing: "&amp;CFG_CurrencySymbol&amp;" "&amp;TEXT(PC_TotalFee,"#,##0"),"Total Pending: "&amp;CFG_CurrencySymbol&amp;" "&amp;TEXT(PC_TotalBalance,"#,##0"),"","Office Verification: ____________",""))</f>
        <v/>
      </c>
      <c r="E280" s="53">
        <f>IF($N280&lt;&gt;"",INDEX(tblBilling[VLAN ID],$N280),"")</f>
        <v/>
      </c>
      <c r="F280" s="52">
        <f>IF($N280&lt;&gt;"",INDEX(tblBilling[Due Date],$N280),"")</f>
        <v/>
      </c>
      <c r="G280" s="54">
        <f>IF($N280&lt;&gt;"",INDEX(tblBilling[Monthly Fee],$N280),IF($O280=1,PC_TotalFee,""))</f>
        <v/>
      </c>
      <c r="H280" s="54">
        <f>IF($N280&lt;&gt;"",INDEX(tblBilling[Amount Paid],$N280),IF($O280=1,PC_TotalPaid,""))</f>
        <v/>
      </c>
      <c r="I280" s="54">
        <f>IF($N280&lt;&gt;"",INDEX(tblBilling[Balance],$N280),IF($O280=1,PC_TotalBalance,""))</f>
        <v/>
      </c>
      <c r="J280" s="53">
        <f>IF($N280&lt;&gt;"",INDEX(tblBilling[Payment Status],$N280),"")</f>
        <v/>
      </c>
      <c r="K280" s="55">
        <f>IF($N280&lt;&gt;"",IF(INDEX(tblBilling[Last Payment Date],$N280)="","",INDEX(tblBilling[Last Payment Date],$N280)),"")</f>
        <v/>
      </c>
      <c r="L280" s="53">
        <f>IF($N280&lt;&gt;"",INDEX(tblBilling[Collector Name],$N280),"")</f>
        <v/>
      </c>
      <c r="N280">
        <f>IF(N279="","",IFERROR(N279+MATCH(1,INDEX(tblBilling[Print Match],N279+1):INDEX(tblBilling[Print Match],ROWS(tblBilling[Print Match])),0),""))</f>
        <v/>
      </c>
      <c r="O280">
        <f>ROW()-9-MIN(PC_Count,500)</f>
        <v/>
      </c>
    </row>
    <row r="281" ht="20" customHeight="1">
      <c r="A281" s="52">
        <f>IF($N281="","",ROW()-9)</f>
        <v/>
      </c>
      <c r="B281" s="53">
        <f>IF($N281&lt;&gt;"",INDEX(tblBilling[Customer ID],$N281),"")</f>
        <v/>
      </c>
      <c r="C281" s="53">
        <f>IF($N281&lt;&gt;"",INDEX(tblBilling[Customer Name],$N281),CHOOSE(MIN(MAX($O281,0),7)+1,"","TOTAL","","Total Customers: "&amp;PC_Count,"Total Recovered: "&amp;CFG_CurrencySymbol&amp;" "&amp;TEXT(PC_TotalPaid,"#,##0"),"","Collector Signature: ____________",""))</f>
        <v/>
      </c>
      <c r="D281" s="53">
        <f>IF($N281&lt;&gt;"",INDEX(tblBilling[Full Address],$N281),CHOOSE(MIN(MAX($O281,0),7)+1,"","","","Total Billing: "&amp;CFG_CurrencySymbol&amp;" "&amp;TEXT(PC_TotalFee,"#,##0"),"Total Pending: "&amp;CFG_CurrencySymbol&amp;" "&amp;TEXT(PC_TotalBalance,"#,##0"),"","Office Verification: ____________",""))</f>
        <v/>
      </c>
      <c r="E281" s="53">
        <f>IF($N281&lt;&gt;"",INDEX(tblBilling[VLAN ID],$N281),"")</f>
        <v/>
      </c>
      <c r="F281" s="52">
        <f>IF($N281&lt;&gt;"",INDEX(tblBilling[Due Date],$N281),"")</f>
        <v/>
      </c>
      <c r="G281" s="54">
        <f>IF($N281&lt;&gt;"",INDEX(tblBilling[Monthly Fee],$N281),IF($O281=1,PC_TotalFee,""))</f>
        <v/>
      </c>
      <c r="H281" s="54">
        <f>IF($N281&lt;&gt;"",INDEX(tblBilling[Amount Paid],$N281),IF($O281=1,PC_TotalPaid,""))</f>
        <v/>
      </c>
      <c r="I281" s="54">
        <f>IF($N281&lt;&gt;"",INDEX(tblBilling[Balance],$N281),IF($O281=1,PC_TotalBalance,""))</f>
        <v/>
      </c>
      <c r="J281" s="53">
        <f>IF($N281&lt;&gt;"",INDEX(tblBilling[Payment Status],$N281),"")</f>
        <v/>
      </c>
      <c r="K281" s="55">
        <f>IF($N281&lt;&gt;"",IF(INDEX(tblBilling[Last Payment Date],$N281)="","",INDEX(tblBilling[Last Payment Date],$N281)),"")</f>
        <v/>
      </c>
      <c r="L281" s="53">
        <f>IF($N281&lt;&gt;"",INDEX(tblBilling[Collector Name],$N281),"")</f>
        <v/>
      </c>
      <c r="N281">
        <f>IF(N280="","",IFERROR(N280+MATCH(1,INDEX(tblBilling[Print Match],N280+1):INDEX(tblBilling[Print Match],ROWS(tblBilling[Print Match])),0),""))</f>
        <v/>
      </c>
      <c r="O281">
        <f>ROW()-9-MIN(PC_Count,500)</f>
        <v/>
      </c>
    </row>
    <row r="282" ht="20" customHeight="1">
      <c r="A282" s="52">
        <f>IF($N282="","",ROW()-9)</f>
        <v/>
      </c>
      <c r="B282" s="53">
        <f>IF($N282&lt;&gt;"",INDEX(tblBilling[Customer ID],$N282),"")</f>
        <v/>
      </c>
      <c r="C282" s="53">
        <f>IF($N282&lt;&gt;"",INDEX(tblBilling[Customer Name],$N282),CHOOSE(MIN(MAX($O282,0),7)+1,"","TOTAL","","Total Customers: "&amp;PC_Count,"Total Recovered: "&amp;CFG_CurrencySymbol&amp;" "&amp;TEXT(PC_TotalPaid,"#,##0"),"","Collector Signature: ____________",""))</f>
        <v/>
      </c>
      <c r="D282" s="53">
        <f>IF($N282&lt;&gt;"",INDEX(tblBilling[Full Address],$N282),CHOOSE(MIN(MAX($O282,0),7)+1,"","","","Total Billing: "&amp;CFG_CurrencySymbol&amp;" "&amp;TEXT(PC_TotalFee,"#,##0"),"Total Pending: "&amp;CFG_CurrencySymbol&amp;" "&amp;TEXT(PC_TotalBalance,"#,##0"),"","Office Verification: ____________",""))</f>
        <v/>
      </c>
      <c r="E282" s="53">
        <f>IF($N282&lt;&gt;"",INDEX(tblBilling[VLAN ID],$N282),"")</f>
        <v/>
      </c>
      <c r="F282" s="52">
        <f>IF($N282&lt;&gt;"",INDEX(tblBilling[Due Date],$N282),"")</f>
        <v/>
      </c>
      <c r="G282" s="54">
        <f>IF($N282&lt;&gt;"",INDEX(tblBilling[Monthly Fee],$N282),IF($O282=1,PC_TotalFee,""))</f>
        <v/>
      </c>
      <c r="H282" s="54">
        <f>IF($N282&lt;&gt;"",INDEX(tblBilling[Amount Paid],$N282),IF($O282=1,PC_TotalPaid,""))</f>
        <v/>
      </c>
      <c r="I282" s="54">
        <f>IF($N282&lt;&gt;"",INDEX(tblBilling[Balance],$N282),IF($O282=1,PC_TotalBalance,""))</f>
        <v/>
      </c>
      <c r="J282" s="53">
        <f>IF($N282&lt;&gt;"",INDEX(tblBilling[Payment Status],$N282),"")</f>
        <v/>
      </c>
      <c r="K282" s="55">
        <f>IF($N282&lt;&gt;"",IF(INDEX(tblBilling[Last Payment Date],$N282)="","",INDEX(tblBilling[Last Payment Date],$N282)),"")</f>
        <v/>
      </c>
      <c r="L282" s="53">
        <f>IF($N282&lt;&gt;"",INDEX(tblBilling[Collector Name],$N282),"")</f>
        <v/>
      </c>
      <c r="N282">
        <f>IF(N281="","",IFERROR(N281+MATCH(1,INDEX(tblBilling[Print Match],N281+1):INDEX(tblBilling[Print Match],ROWS(tblBilling[Print Match])),0),""))</f>
        <v/>
      </c>
      <c r="O282">
        <f>ROW()-9-MIN(PC_Count,500)</f>
        <v/>
      </c>
    </row>
    <row r="283" ht="20" customHeight="1">
      <c r="A283" s="52">
        <f>IF($N283="","",ROW()-9)</f>
        <v/>
      </c>
      <c r="B283" s="53">
        <f>IF($N283&lt;&gt;"",INDEX(tblBilling[Customer ID],$N283),"")</f>
        <v/>
      </c>
      <c r="C283" s="53">
        <f>IF($N283&lt;&gt;"",INDEX(tblBilling[Customer Name],$N283),CHOOSE(MIN(MAX($O283,0),7)+1,"","TOTAL","","Total Customers: "&amp;PC_Count,"Total Recovered: "&amp;CFG_CurrencySymbol&amp;" "&amp;TEXT(PC_TotalPaid,"#,##0"),"","Collector Signature: ____________",""))</f>
        <v/>
      </c>
      <c r="D283" s="53">
        <f>IF($N283&lt;&gt;"",INDEX(tblBilling[Full Address],$N283),CHOOSE(MIN(MAX($O283,0),7)+1,"","","","Total Billing: "&amp;CFG_CurrencySymbol&amp;" "&amp;TEXT(PC_TotalFee,"#,##0"),"Total Pending: "&amp;CFG_CurrencySymbol&amp;" "&amp;TEXT(PC_TotalBalance,"#,##0"),"","Office Verification: ____________",""))</f>
        <v/>
      </c>
      <c r="E283" s="53">
        <f>IF($N283&lt;&gt;"",INDEX(tblBilling[VLAN ID],$N283),"")</f>
        <v/>
      </c>
      <c r="F283" s="52">
        <f>IF($N283&lt;&gt;"",INDEX(tblBilling[Due Date],$N283),"")</f>
        <v/>
      </c>
      <c r="G283" s="54">
        <f>IF($N283&lt;&gt;"",INDEX(tblBilling[Monthly Fee],$N283),IF($O283=1,PC_TotalFee,""))</f>
        <v/>
      </c>
      <c r="H283" s="54">
        <f>IF($N283&lt;&gt;"",INDEX(tblBilling[Amount Paid],$N283),IF($O283=1,PC_TotalPaid,""))</f>
        <v/>
      </c>
      <c r="I283" s="54">
        <f>IF($N283&lt;&gt;"",INDEX(tblBilling[Balance],$N283),IF($O283=1,PC_TotalBalance,""))</f>
        <v/>
      </c>
      <c r="J283" s="53">
        <f>IF($N283&lt;&gt;"",INDEX(tblBilling[Payment Status],$N283),"")</f>
        <v/>
      </c>
      <c r="K283" s="55">
        <f>IF($N283&lt;&gt;"",IF(INDEX(tblBilling[Last Payment Date],$N283)="","",INDEX(tblBilling[Last Payment Date],$N283)),"")</f>
        <v/>
      </c>
      <c r="L283" s="53">
        <f>IF($N283&lt;&gt;"",INDEX(tblBilling[Collector Name],$N283),"")</f>
        <v/>
      </c>
      <c r="N283">
        <f>IF(N282="","",IFERROR(N282+MATCH(1,INDEX(tblBilling[Print Match],N282+1):INDEX(tblBilling[Print Match],ROWS(tblBilling[Print Match])),0),""))</f>
        <v/>
      </c>
      <c r="O283">
        <f>ROW()-9-MIN(PC_Count,500)</f>
        <v/>
      </c>
    </row>
    <row r="284" ht="20" customHeight="1">
      <c r="A284" s="52">
        <f>IF($N284="","",ROW()-9)</f>
        <v/>
      </c>
      <c r="B284" s="53">
        <f>IF($N284&lt;&gt;"",INDEX(tblBilling[Customer ID],$N284),"")</f>
        <v/>
      </c>
      <c r="C284" s="53">
        <f>IF($N284&lt;&gt;"",INDEX(tblBilling[Customer Name],$N284),CHOOSE(MIN(MAX($O284,0),7)+1,"","TOTAL","","Total Customers: "&amp;PC_Count,"Total Recovered: "&amp;CFG_CurrencySymbol&amp;" "&amp;TEXT(PC_TotalPaid,"#,##0"),"","Collector Signature: ____________",""))</f>
        <v/>
      </c>
      <c r="D284" s="53">
        <f>IF($N284&lt;&gt;"",INDEX(tblBilling[Full Address],$N284),CHOOSE(MIN(MAX($O284,0),7)+1,"","","","Total Billing: "&amp;CFG_CurrencySymbol&amp;" "&amp;TEXT(PC_TotalFee,"#,##0"),"Total Pending: "&amp;CFG_CurrencySymbol&amp;" "&amp;TEXT(PC_TotalBalance,"#,##0"),"","Office Verification: ____________",""))</f>
        <v/>
      </c>
      <c r="E284" s="53">
        <f>IF($N284&lt;&gt;"",INDEX(tblBilling[VLAN ID],$N284),"")</f>
        <v/>
      </c>
      <c r="F284" s="52">
        <f>IF($N284&lt;&gt;"",INDEX(tblBilling[Due Date],$N284),"")</f>
        <v/>
      </c>
      <c r="G284" s="54">
        <f>IF($N284&lt;&gt;"",INDEX(tblBilling[Monthly Fee],$N284),IF($O284=1,PC_TotalFee,""))</f>
        <v/>
      </c>
      <c r="H284" s="54">
        <f>IF($N284&lt;&gt;"",INDEX(tblBilling[Amount Paid],$N284),IF($O284=1,PC_TotalPaid,""))</f>
        <v/>
      </c>
      <c r="I284" s="54">
        <f>IF($N284&lt;&gt;"",INDEX(tblBilling[Balance],$N284),IF($O284=1,PC_TotalBalance,""))</f>
        <v/>
      </c>
      <c r="J284" s="53">
        <f>IF($N284&lt;&gt;"",INDEX(tblBilling[Payment Status],$N284),"")</f>
        <v/>
      </c>
      <c r="K284" s="55">
        <f>IF($N284&lt;&gt;"",IF(INDEX(tblBilling[Last Payment Date],$N284)="","",INDEX(tblBilling[Last Payment Date],$N284)),"")</f>
        <v/>
      </c>
      <c r="L284" s="53">
        <f>IF($N284&lt;&gt;"",INDEX(tblBilling[Collector Name],$N284),"")</f>
        <v/>
      </c>
      <c r="N284">
        <f>IF(N283="","",IFERROR(N283+MATCH(1,INDEX(tblBilling[Print Match],N283+1):INDEX(tblBilling[Print Match],ROWS(tblBilling[Print Match])),0),""))</f>
        <v/>
      </c>
      <c r="O284">
        <f>ROW()-9-MIN(PC_Count,500)</f>
        <v/>
      </c>
    </row>
    <row r="285" ht="20" customHeight="1">
      <c r="A285" s="52">
        <f>IF($N285="","",ROW()-9)</f>
        <v/>
      </c>
      <c r="B285" s="53">
        <f>IF($N285&lt;&gt;"",INDEX(tblBilling[Customer ID],$N285),"")</f>
        <v/>
      </c>
      <c r="C285" s="53">
        <f>IF($N285&lt;&gt;"",INDEX(tblBilling[Customer Name],$N285),CHOOSE(MIN(MAX($O285,0),7)+1,"","TOTAL","","Total Customers: "&amp;PC_Count,"Total Recovered: "&amp;CFG_CurrencySymbol&amp;" "&amp;TEXT(PC_TotalPaid,"#,##0"),"","Collector Signature: ____________",""))</f>
        <v/>
      </c>
      <c r="D285" s="53">
        <f>IF($N285&lt;&gt;"",INDEX(tblBilling[Full Address],$N285),CHOOSE(MIN(MAX($O285,0),7)+1,"","","","Total Billing: "&amp;CFG_CurrencySymbol&amp;" "&amp;TEXT(PC_TotalFee,"#,##0"),"Total Pending: "&amp;CFG_CurrencySymbol&amp;" "&amp;TEXT(PC_TotalBalance,"#,##0"),"","Office Verification: ____________",""))</f>
        <v/>
      </c>
      <c r="E285" s="53">
        <f>IF($N285&lt;&gt;"",INDEX(tblBilling[VLAN ID],$N285),"")</f>
        <v/>
      </c>
      <c r="F285" s="52">
        <f>IF($N285&lt;&gt;"",INDEX(tblBilling[Due Date],$N285),"")</f>
        <v/>
      </c>
      <c r="G285" s="54">
        <f>IF($N285&lt;&gt;"",INDEX(tblBilling[Monthly Fee],$N285),IF($O285=1,PC_TotalFee,""))</f>
        <v/>
      </c>
      <c r="H285" s="54">
        <f>IF($N285&lt;&gt;"",INDEX(tblBilling[Amount Paid],$N285),IF($O285=1,PC_TotalPaid,""))</f>
        <v/>
      </c>
      <c r="I285" s="54">
        <f>IF($N285&lt;&gt;"",INDEX(tblBilling[Balance],$N285),IF($O285=1,PC_TotalBalance,""))</f>
        <v/>
      </c>
      <c r="J285" s="53">
        <f>IF($N285&lt;&gt;"",INDEX(tblBilling[Payment Status],$N285),"")</f>
        <v/>
      </c>
      <c r="K285" s="55">
        <f>IF($N285&lt;&gt;"",IF(INDEX(tblBilling[Last Payment Date],$N285)="","",INDEX(tblBilling[Last Payment Date],$N285)),"")</f>
        <v/>
      </c>
      <c r="L285" s="53">
        <f>IF($N285&lt;&gt;"",INDEX(tblBilling[Collector Name],$N285),"")</f>
        <v/>
      </c>
      <c r="N285">
        <f>IF(N284="","",IFERROR(N284+MATCH(1,INDEX(tblBilling[Print Match],N284+1):INDEX(tblBilling[Print Match],ROWS(tblBilling[Print Match])),0),""))</f>
        <v/>
      </c>
      <c r="O285">
        <f>ROW()-9-MIN(PC_Count,500)</f>
        <v/>
      </c>
    </row>
    <row r="286" ht="20" customHeight="1">
      <c r="A286" s="52">
        <f>IF($N286="","",ROW()-9)</f>
        <v/>
      </c>
      <c r="B286" s="53">
        <f>IF($N286&lt;&gt;"",INDEX(tblBilling[Customer ID],$N286),"")</f>
        <v/>
      </c>
      <c r="C286" s="53">
        <f>IF($N286&lt;&gt;"",INDEX(tblBilling[Customer Name],$N286),CHOOSE(MIN(MAX($O286,0),7)+1,"","TOTAL","","Total Customers: "&amp;PC_Count,"Total Recovered: "&amp;CFG_CurrencySymbol&amp;" "&amp;TEXT(PC_TotalPaid,"#,##0"),"","Collector Signature: ____________",""))</f>
        <v/>
      </c>
      <c r="D286" s="53">
        <f>IF($N286&lt;&gt;"",INDEX(tblBilling[Full Address],$N286),CHOOSE(MIN(MAX($O286,0),7)+1,"","","","Total Billing: "&amp;CFG_CurrencySymbol&amp;" "&amp;TEXT(PC_TotalFee,"#,##0"),"Total Pending: "&amp;CFG_CurrencySymbol&amp;" "&amp;TEXT(PC_TotalBalance,"#,##0"),"","Office Verification: ____________",""))</f>
        <v/>
      </c>
      <c r="E286" s="53">
        <f>IF($N286&lt;&gt;"",INDEX(tblBilling[VLAN ID],$N286),"")</f>
        <v/>
      </c>
      <c r="F286" s="52">
        <f>IF($N286&lt;&gt;"",INDEX(tblBilling[Due Date],$N286),"")</f>
        <v/>
      </c>
      <c r="G286" s="54">
        <f>IF($N286&lt;&gt;"",INDEX(tblBilling[Monthly Fee],$N286),IF($O286=1,PC_TotalFee,""))</f>
        <v/>
      </c>
      <c r="H286" s="54">
        <f>IF($N286&lt;&gt;"",INDEX(tblBilling[Amount Paid],$N286),IF($O286=1,PC_TotalPaid,""))</f>
        <v/>
      </c>
      <c r="I286" s="54">
        <f>IF($N286&lt;&gt;"",INDEX(tblBilling[Balance],$N286),IF($O286=1,PC_TotalBalance,""))</f>
        <v/>
      </c>
      <c r="J286" s="53">
        <f>IF($N286&lt;&gt;"",INDEX(tblBilling[Payment Status],$N286),"")</f>
        <v/>
      </c>
      <c r="K286" s="55">
        <f>IF($N286&lt;&gt;"",IF(INDEX(tblBilling[Last Payment Date],$N286)="","",INDEX(tblBilling[Last Payment Date],$N286)),"")</f>
        <v/>
      </c>
      <c r="L286" s="53">
        <f>IF($N286&lt;&gt;"",INDEX(tblBilling[Collector Name],$N286),"")</f>
        <v/>
      </c>
      <c r="N286">
        <f>IF(N285="","",IFERROR(N285+MATCH(1,INDEX(tblBilling[Print Match],N285+1):INDEX(tblBilling[Print Match],ROWS(tblBilling[Print Match])),0),""))</f>
        <v/>
      </c>
      <c r="O286">
        <f>ROW()-9-MIN(PC_Count,500)</f>
        <v/>
      </c>
    </row>
    <row r="287" ht="20" customHeight="1">
      <c r="A287" s="52">
        <f>IF($N287="","",ROW()-9)</f>
        <v/>
      </c>
      <c r="B287" s="53">
        <f>IF($N287&lt;&gt;"",INDEX(tblBilling[Customer ID],$N287),"")</f>
        <v/>
      </c>
      <c r="C287" s="53">
        <f>IF($N287&lt;&gt;"",INDEX(tblBilling[Customer Name],$N287),CHOOSE(MIN(MAX($O287,0),7)+1,"","TOTAL","","Total Customers: "&amp;PC_Count,"Total Recovered: "&amp;CFG_CurrencySymbol&amp;" "&amp;TEXT(PC_TotalPaid,"#,##0"),"","Collector Signature: ____________",""))</f>
        <v/>
      </c>
      <c r="D287" s="53">
        <f>IF($N287&lt;&gt;"",INDEX(tblBilling[Full Address],$N287),CHOOSE(MIN(MAX($O287,0),7)+1,"","","","Total Billing: "&amp;CFG_CurrencySymbol&amp;" "&amp;TEXT(PC_TotalFee,"#,##0"),"Total Pending: "&amp;CFG_CurrencySymbol&amp;" "&amp;TEXT(PC_TotalBalance,"#,##0"),"","Office Verification: ____________",""))</f>
        <v/>
      </c>
      <c r="E287" s="53">
        <f>IF($N287&lt;&gt;"",INDEX(tblBilling[VLAN ID],$N287),"")</f>
        <v/>
      </c>
      <c r="F287" s="52">
        <f>IF($N287&lt;&gt;"",INDEX(tblBilling[Due Date],$N287),"")</f>
        <v/>
      </c>
      <c r="G287" s="54">
        <f>IF($N287&lt;&gt;"",INDEX(tblBilling[Monthly Fee],$N287),IF($O287=1,PC_TotalFee,""))</f>
        <v/>
      </c>
      <c r="H287" s="54">
        <f>IF($N287&lt;&gt;"",INDEX(tblBilling[Amount Paid],$N287),IF($O287=1,PC_TotalPaid,""))</f>
        <v/>
      </c>
      <c r="I287" s="54">
        <f>IF($N287&lt;&gt;"",INDEX(tblBilling[Balance],$N287),IF($O287=1,PC_TotalBalance,""))</f>
        <v/>
      </c>
      <c r="J287" s="53">
        <f>IF($N287&lt;&gt;"",INDEX(tblBilling[Payment Status],$N287),"")</f>
        <v/>
      </c>
      <c r="K287" s="55">
        <f>IF($N287&lt;&gt;"",IF(INDEX(tblBilling[Last Payment Date],$N287)="","",INDEX(tblBilling[Last Payment Date],$N287)),"")</f>
        <v/>
      </c>
      <c r="L287" s="53">
        <f>IF($N287&lt;&gt;"",INDEX(tblBilling[Collector Name],$N287),"")</f>
        <v/>
      </c>
      <c r="N287">
        <f>IF(N286="","",IFERROR(N286+MATCH(1,INDEX(tblBilling[Print Match],N286+1):INDEX(tblBilling[Print Match],ROWS(tblBilling[Print Match])),0),""))</f>
        <v/>
      </c>
      <c r="O287">
        <f>ROW()-9-MIN(PC_Count,500)</f>
        <v/>
      </c>
    </row>
    <row r="288" ht="20" customHeight="1">
      <c r="A288" s="52">
        <f>IF($N288="","",ROW()-9)</f>
        <v/>
      </c>
      <c r="B288" s="53">
        <f>IF($N288&lt;&gt;"",INDEX(tblBilling[Customer ID],$N288),"")</f>
        <v/>
      </c>
      <c r="C288" s="53">
        <f>IF($N288&lt;&gt;"",INDEX(tblBilling[Customer Name],$N288),CHOOSE(MIN(MAX($O288,0),7)+1,"","TOTAL","","Total Customers: "&amp;PC_Count,"Total Recovered: "&amp;CFG_CurrencySymbol&amp;" "&amp;TEXT(PC_TotalPaid,"#,##0"),"","Collector Signature: ____________",""))</f>
        <v/>
      </c>
      <c r="D288" s="53">
        <f>IF($N288&lt;&gt;"",INDEX(tblBilling[Full Address],$N288),CHOOSE(MIN(MAX($O288,0),7)+1,"","","","Total Billing: "&amp;CFG_CurrencySymbol&amp;" "&amp;TEXT(PC_TotalFee,"#,##0"),"Total Pending: "&amp;CFG_CurrencySymbol&amp;" "&amp;TEXT(PC_TotalBalance,"#,##0"),"","Office Verification: ____________",""))</f>
        <v/>
      </c>
      <c r="E288" s="53">
        <f>IF($N288&lt;&gt;"",INDEX(tblBilling[VLAN ID],$N288),"")</f>
        <v/>
      </c>
      <c r="F288" s="52">
        <f>IF($N288&lt;&gt;"",INDEX(tblBilling[Due Date],$N288),"")</f>
        <v/>
      </c>
      <c r="G288" s="54">
        <f>IF($N288&lt;&gt;"",INDEX(tblBilling[Monthly Fee],$N288),IF($O288=1,PC_TotalFee,""))</f>
        <v/>
      </c>
      <c r="H288" s="54">
        <f>IF($N288&lt;&gt;"",INDEX(tblBilling[Amount Paid],$N288),IF($O288=1,PC_TotalPaid,""))</f>
        <v/>
      </c>
      <c r="I288" s="54">
        <f>IF($N288&lt;&gt;"",INDEX(tblBilling[Balance],$N288),IF($O288=1,PC_TotalBalance,""))</f>
        <v/>
      </c>
      <c r="J288" s="53">
        <f>IF($N288&lt;&gt;"",INDEX(tblBilling[Payment Status],$N288),"")</f>
        <v/>
      </c>
      <c r="K288" s="55">
        <f>IF($N288&lt;&gt;"",IF(INDEX(tblBilling[Last Payment Date],$N288)="","",INDEX(tblBilling[Last Payment Date],$N288)),"")</f>
        <v/>
      </c>
      <c r="L288" s="53">
        <f>IF($N288&lt;&gt;"",INDEX(tblBilling[Collector Name],$N288),"")</f>
        <v/>
      </c>
      <c r="N288">
        <f>IF(N287="","",IFERROR(N287+MATCH(1,INDEX(tblBilling[Print Match],N287+1):INDEX(tblBilling[Print Match],ROWS(tblBilling[Print Match])),0),""))</f>
        <v/>
      </c>
      <c r="O288">
        <f>ROW()-9-MIN(PC_Count,500)</f>
        <v/>
      </c>
    </row>
    <row r="289" ht="20" customHeight="1">
      <c r="A289" s="52">
        <f>IF($N289="","",ROW()-9)</f>
        <v/>
      </c>
      <c r="B289" s="53">
        <f>IF($N289&lt;&gt;"",INDEX(tblBilling[Customer ID],$N289),"")</f>
        <v/>
      </c>
      <c r="C289" s="53">
        <f>IF($N289&lt;&gt;"",INDEX(tblBilling[Customer Name],$N289),CHOOSE(MIN(MAX($O289,0),7)+1,"","TOTAL","","Total Customers: "&amp;PC_Count,"Total Recovered: "&amp;CFG_CurrencySymbol&amp;" "&amp;TEXT(PC_TotalPaid,"#,##0"),"","Collector Signature: ____________",""))</f>
        <v/>
      </c>
      <c r="D289" s="53">
        <f>IF($N289&lt;&gt;"",INDEX(tblBilling[Full Address],$N289),CHOOSE(MIN(MAX($O289,0),7)+1,"","","","Total Billing: "&amp;CFG_CurrencySymbol&amp;" "&amp;TEXT(PC_TotalFee,"#,##0"),"Total Pending: "&amp;CFG_CurrencySymbol&amp;" "&amp;TEXT(PC_TotalBalance,"#,##0"),"","Office Verification: ____________",""))</f>
        <v/>
      </c>
      <c r="E289" s="53">
        <f>IF($N289&lt;&gt;"",INDEX(tblBilling[VLAN ID],$N289),"")</f>
        <v/>
      </c>
      <c r="F289" s="52">
        <f>IF($N289&lt;&gt;"",INDEX(tblBilling[Due Date],$N289),"")</f>
        <v/>
      </c>
      <c r="G289" s="54">
        <f>IF($N289&lt;&gt;"",INDEX(tblBilling[Monthly Fee],$N289),IF($O289=1,PC_TotalFee,""))</f>
        <v/>
      </c>
      <c r="H289" s="54">
        <f>IF($N289&lt;&gt;"",INDEX(tblBilling[Amount Paid],$N289),IF($O289=1,PC_TotalPaid,""))</f>
        <v/>
      </c>
      <c r="I289" s="54">
        <f>IF($N289&lt;&gt;"",INDEX(tblBilling[Balance],$N289),IF($O289=1,PC_TotalBalance,""))</f>
        <v/>
      </c>
      <c r="J289" s="53">
        <f>IF($N289&lt;&gt;"",INDEX(tblBilling[Payment Status],$N289),"")</f>
        <v/>
      </c>
      <c r="K289" s="55">
        <f>IF($N289&lt;&gt;"",IF(INDEX(tblBilling[Last Payment Date],$N289)="","",INDEX(tblBilling[Last Payment Date],$N289)),"")</f>
        <v/>
      </c>
      <c r="L289" s="53">
        <f>IF($N289&lt;&gt;"",INDEX(tblBilling[Collector Name],$N289),"")</f>
        <v/>
      </c>
      <c r="N289">
        <f>IF(N288="","",IFERROR(N288+MATCH(1,INDEX(tblBilling[Print Match],N288+1):INDEX(tblBilling[Print Match],ROWS(tblBilling[Print Match])),0),""))</f>
        <v/>
      </c>
      <c r="O289">
        <f>ROW()-9-MIN(PC_Count,500)</f>
        <v/>
      </c>
    </row>
    <row r="290" ht="20" customHeight="1">
      <c r="A290" s="52">
        <f>IF($N290="","",ROW()-9)</f>
        <v/>
      </c>
      <c r="B290" s="53">
        <f>IF($N290&lt;&gt;"",INDEX(tblBilling[Customer ID],$N290),"")</f>
        <v/>
      </c>
      <c r="C290" s="53">
        <f>IF($N290&lt;&gt;"",INDEX(tblBilling[Customer Name],$N290),CHOOSE(MIN(MAX($O290,0),7)+1,"","TOTAL","","Total Customers: "&amp;PC_Count,"Total Recovered: "&amp;CFG_CurrencySymbol&amp;" "&amp;TEXT(PC_TotalPaid,"#,##0"),"","Collector Signature: ____________",""))</f>
        <v/>
      </c>
      <c r="D290" s="53">
        <f>IF($N290&lt;&gt;"",INDEX(tblBilling[Full Address],$N290),CHOOSE(MIN(MAX($O290,0),7)+1,"","","","Total Billing: "&amp;CFG_CurrencySymbol&amp;" "&amp;TEXT(PC_TotalFee,"#,##0"),"Total Pending: "&amp;CFG_CurrencySymbol&amp;" "&amp;TEXT(PC_TotalBalance,"#,##0"),"","Office Verification: ____________",""))</f>
        <v/>
      </c>
      <c r="E290" s="53">
        <f>IF($N290&lt;&gt;"",INDEX(tblBilling[VLAN ID],$N290),"")</f>
        <v/>
      </c>
      <c r="F290" s="52">
        <f>IF($N290&lt;&gt;"",INDEX(tblBilling[Due Date],$N290),"")</f>
        <v/>
      </c>
      <c r="G290" s="54">
        <f>IF($N290&lt;&gt;"",INDEX(tblBilling[Monthly Fee],$N290),IF($O290=1,PC_TotalFee,""))</f>
        <v/>
      </c>
      <c r="H290" s="54">
        <f>IF($N290&lt;&gt;"",INDEX(tblBilling[Amount Paid],$N290),IF($O290=1,PC_TotalPaid,""))</f>
        <v/>
      </c>
      <c r="I290" s="54">
        <f>IF($N290&lt;&gt;"",INDEX(tblBilling[Balance],$N290),IF($O290=1,PC_TotalBalance,""))</f>
        <v/>
      </c>
      <c r="J290" s="53">
        <f>IF($N290&lt;&gt;"",INDEX(tblBilling[Payment Status],$N290),"")</f>
        <v/>
      </c>
      <c r="K290" s="55">
        <f>IF($N290&lt;&gt;"",IF(INDEX(tblBilling[Last Payment Date],$N290)="","",INDEX(tblBilling[Last Payment Date],$N290)),"")</f>
        <v/>
      </c>
      <c r="L290" s="53">
        <f>IF($N290&lt;&gt;"",INDEX(tblBilling[Collector Name],$N290),"")</f>
        <v/>
      </c>
      <c r="N290">
        <f>IF(N289="","",IFERROR(N289+MATCH(1,INDEX(tblBilling[Print Match],N289+1):INDEX(tblBilling[Print Match],ROWS(tblBilling[Print Match])),0),""))</f>
        <v/>
      </c>
      <c r="O290">
        <f>ROW()-9-MIN(PC_Count,500)</f>
        <v/>
      </c>
    </row>
    <row r="291" ht="20" customHeight="1">
      <c r="A291" s="52">
        <f>IF($N291="","",ROW()-9)</f>
        <v/>
      </c>
      <c r="B291" s="53">
        <f>IF($N291&lt;&gt;"",INDEX(tblBilling[Customer ID],$N291),"")</f>
        <v/>
      </c>
      <c r="C291" s="53">
        <f>IF($N291&lt;&gt;"",INDEX(tblBilling[Customer Name],$N291),CHOOSE(MIN(MAX($O291,0),7)+1,"","TOTAL","","Total Customers: "&amp;PC_Count,"Total Recovered: "&amp;CFG_CurrencySymbol&amp;" "&amp;TEXT(PC_TotalPaid,"#,##0"),"","Collector Signature: ____________",""))</f>
        <v/>
      </c>
      <c r="D291" s="53">
        <f>IF($N291&lt;&gt;"",INDEX(tblBilling[Full Address],$N291),CHOOSE(MIN(MAX($O291,0),7)+1,"","","","Total Billing: "&amp;CFG_CurrencySymbol&amp;" "&amp;TEXT(PC_TotalFee,"#,##0"),"Total Pending: "&amp;CFG_CurrencySymbol&amp;" "&amp;TEXT(PC_TotalBalance,"#,##0"),"","Office Verification: ____________",""))</f>
        <v/>
      </c>
      <c r="E291" s="53">
        <f>IF($N291&lt;&gt;"",INDEX(tblBilling[VLAN ID],$N291),"")</f>
        <v/>
      </c>
      <c r="F291" s="52">
        <f>IF($N291&lt;&gt;"",INDEX(tblBilling[Due Date],$N291),"")</f>
        <v/>
      </c>
      <c r="G291" s="54">
        <f>IF($N291&lt;&gt;"",INDEX(tblBilling[Monthly Fee],$N291),IF($O291=1,PC_TotalFee,""))</f>
        <v/>
      </c>
      <c r="H291" s="54">
        <f>IF($N291&lt;&gt;"",INDEX(tblBilling[Amount Paid],$N291),IF($O291=1,PC_TotalPaid,""))</f>
        <v/>
      </c>
      <c r="I291" s="54">
        <f>IF($N291&lt;&gt;"",INDEX(tblBilling[Balance],$N291),IF($O291=1,PC_TotalBalance,""))</f>
        <v/>
      </c>
      <c r="J291" s="53">
        <f>IF($N291&lt;&gt;"",INDEX(tblBilling[Payment Status],$N291),"")</f>
        <v/>
      </c>
      <c r="K291" s="55">
        <f>IF($N291&lt;&gt;"",IF(INDEX(tblBilling[Last Payment Date],$N291)="","",INDEX(tblBilling[Last Payment Date],$N291)),"")</f>
        <v/>
      </c>
      <c r="L291" s="53">
        <f>IF($N291&lt;&gt;"",INDEX(tblBilling[Collector Name],$N291),"")</f>
        <v/>
      </c>
      <c r="N291">
        <f>IF(N290="","",IFERROR(N290+MATCH(1,INDEX(tblBilling[Print Match],N290+1):INDEX(tblBilling[Print Match],ROWS(tblBilling[Print Match])),0),""))</f>
        <v/>
      </c>
      <c r="O291">
        <f>ROW()-9-MIN(PC_Count,500)</f>
        <v/>
      </c>
    </row>
    <row r="292" ht="20" customHeight="1">
      <c r="A292" s="52">
        <f>IF($N292="","",ROW()-9)</f>
        <v/>
      </c>
      <c r="B292" s="53">
        <f>IF($N292&lt;&gt;"",INDEX(tblBilling[Customer ID],$N292),"")</f>
        <v/>
      </c>
      <c r="C292" s="53">
        <f>IF($N292&lt;&gt;"",INDEX(tblBilling[Customer Name],$N292),CHOOSE(MIN(MAX($O292,0),7)+1,"","TOTAL","","Total Customers: "&amp;PC_Count,"Total Recovered: "&amp;CFG_CurrencySymbol&amp;" "&amp;TEXT(PC_TotalPaid,"#,##0"),"","Collector Signature: ____________",""))</f>
        <v/>
      </c>
      <c r="D292" s="53">
        <f>IF($N292&lt;&gt;"",INDEX(tblBilling[Full Address],$N292),CHOOSE(MIN(MAX($O292,0),7)+1,"","","","Total Billing: "&amp;CFG_CurrencySymbol&amp;" "&amp;TEXT(PC_TotalFee,"#,##0"),"Total Pending: "&amp;CFG_CurrencySymbol&amp;" "&amp;TEXT(PC_TotalBalance,"#,##0"),"","Office Verification: ____________",""))</f>
        <v/>
      </c>
      <c r="E292" s="53">
        <f>IF($N292&lt;&gt;"",INDEX(tblBilling[VLAN ID],$N292),"")</f>
        <v/>
      </c>
      <c r="F292" s="52">
        <f>IF($N292&lt;&gt;"",INDEX(tblBilling[Due Date],$N292),"")</f>
        <v/>
      </c>
      <c r="G292" s="54">
        <f>IF($N292&lt;&gt;"",INDEX(tblBilling[Monthly Fee],$N292),IF($O292=1,PC_TotalFee,""))</f>
        <v/>
      </c>
      <c r="H292" s="54">
        <f>IF($N292&lt;&gt;"",INDEX(tblBilling[Amount Paid],$N292),IF($O292=1,PC_TotalPaid,""))</f>
        <v/>
      </c>
      <c r="I292" s="54">
        <f>IF($N292&lt;&gt;"",INDEX(tblBilling[Balance],$N292),IF($O292=1,PC_TotalBalance,""))</f>
        <v/>
      </c>
      <c r="J292" s="53">
        <f>IF($N292&lt;&gt;"",INDEX(tblBilling[Payment Status],$N292),"")</f>
        <v/>
      </c>
      <c r="K292" s="55">
        <f>IF($N292&lt;&gt;"",IF(INDEX(tblBilling[Last Payment Date],$N292)="","",INDEX(tblBilling[Last Payment Date],$N292)),"")</f>
        <v/>
      </c>
      <c r="L292" s="53">
        <f>IF($N292&lt;&gt;"",INDEX(tblBilling[Collector Name],$N292),"")</f>
        <v/>
      </c>
      <c r="N292">
        <f>IF(N291="","",IFERROR(N291+MATCH(1,INDEX(tblBilling[Print Match],N291+1):INDEX(tblBilling[Print Match],ROWS(tblBilling[Print Match])),0),""))</f>
        <v/>
      </c>
      <c r="O292">
        <f>ROW()-9-MIN(PC_Count,500)</f>
        <v/>
      </c>
    </row>
    <row r="293" ht="20" customHeight="1">
      <c r="A293" s="52">
        <f>IF($N293="","",ROW()-9)</f>
        <v/>
      </c>
      <c r="B293" s="53">
        <f>IF($N293&lt;&gt;"",INDEX(tblBilling[Customer ID],$N293),"")</f>
        <v/>
      </c>
      <c r="C293" s="53">
        <f>IF($N293&lt;&gt;"",INDEX(tblBilling[Customer Name],$N293),CHOOSE(MIN(MAX($O293,0),7)+1,"","TOTAL","","Total Customers: "&amp;PC_Count,"Total Recovered: "&amp;CFG_CurrencySymbol&amp;" "&amp;TEXT(PC_TotalPaid,"#,##0"),"","Collector Signature: ____________",""))</f>
        <v/>
      </c>
      <c r="D293" s="53">
        <f>IF($N293&lt;&gt;"",INDEX(tblBilling[Full Address],$N293),CHOOSE(MIN(MAX($O293,0),7)+1,"","","","Total Billing: "&amp;CFG_CurrencySymbol&amp;" "&amp;TEXT(PC_TotalFee,"#,##0"),"Total Pending: "&amp;CFG_CurrencySymbol&amp;" "&amp;TEXT(PC_TotalBalance,"#,##0"),"","Office Verification: ____________",""))</f>
        <v/>
      </c>
      <c r="E293" s="53">
        <f>IF($N293&lt;&gt;"",INDEX(tblBilling[VLAN ID],$N293),"")</f>
        <v/>
      </c>
      <c r="F293" s="52">
        <f>IF($N293&lt;&gt;"",INDEX(tblBilling[Due Date],$N293),"")</f>
        <v/>
      </c>
      <c r="G293" s="54">
        <f>IF($N293&lt;&gt;"",INDEX(tblBilling[Monthly Fee],$N293),IF($O293=1,PC_TotalFee,""))</f>
        <v/>
      </c>
      <c r="H293" s="54">
        <f>IF($N293&lt;&gt;"",INDEX(tblBilling[Amount Paid],$N293),IF($O293=1,PC_TotalPaid,""))</f>
        <v/>
      </c>
      <c r="I293" s="54">
        <f>IF($N293&lt;&gt;"",INDEX(tblBilling[Balance],$N293),IF($O293=1,PC_TotalBalance,""))</f>
        <v/>
      </c>
      <c r="J293" s="53">
        <f>IF($N293&lt;&gt;"",INDEX(tblBilling[Payment Status],$N293),"")</f>
        <v/>
      </c>
      <c r="K293" s="55">
        <f>IF($N293&lt;&gt;"",IF(INDEX(tblBilling[Last Payment Date],$N293)="","",INDEX(tblBilling[Last Payment Date],$N293)),"")</f>
        <v/>
      </c>
      <c r="L293" s="53">
        <f>IF($N293&lt;&gt;"",INDEX(tblBilling[Collector Name],$N293),"")</f>
        <v/>
      </c>
      <c r="N293">
        <f>IF(N292="","",IFERROR(N292+MATCH(1,INDEX(tblBilling[Print Match],N292+1):INDEX(tblBilling[Print Match],ROWS(tblBilling[Print Match])),0),""))</f>
        <v/>
      </c>
      <c r="O293">
        <f>ROW()-9-MIN(PC_Count,500)</f>
        <v/>
      </c>
    </row>
    <row r="294" ht="20" customHeight="1">
      <c r="A294" s="52">
        <f>IF($N294="","",ROW()-9)</f>
        <v/>
      </c>
      <c r="B294" s="53">
        <f>IF($N294&lt;&gt;"",INDEX(tblBilling[Customer ID],$N294),"")</f>
        <v/>
      </c>
      <c r="C294" s="53">
        <f>IF($N294&lt;&gt;"",INDEX(tblBilling[Customer Name],$N294),CHOOSE(MIN(MAX($O294,0),7)+1,"","TOTAL","","Total Customers: "&amp;PC_Count,"Total Recovered: "&amp;CFG_CurrencySymbol&amp;" "&amp;TEXT(PC_TotalPaid,"#,##0"),"","Collector Signature: ____________",""))</f>
        <v/>
      </c>
      <c r="D294" s="53">
        <f>IF($N294&lt;&gt;"",INDEX(tblBilling[Full Address],$N294),CHOOSE(MIN(MAX($O294,0),7)+1,"","","","Total Billing: "&amp;CFG_CurrencySymbol&amp;" "&amp;TEXT(PC_TotalFee,"#,##0"),"Total Pending: "&amp;CFG_CurrencySymbol&amp;" "&amp;TEXT(PC_TotalBalance,"#,##0"),"","Office Verification: ____________",""))</f>
        <v/>
      </c>
      <c r="E294" s="53">
        <f>IF($N294&lt;&gt;"",INDEX(tblBilling[VLAN ID],$N294),"")</f>
        <v/>
      </c>
      <c r="F294" s="52">
        <f>IF($N294&lt;&gt;"",INDEX(tblBilling[Due Date],$N294),"")</f>
        <v/>
      </c>
      <c r="G294" s="54">
        <f>IF($N294&lt;&gt;"",INDEX(tblBilling[Monthly Fee],$N294),IF($O294=1,PC_TotalFee,""))</f>
        <v/>
      </c>
      <c r="H294" s="54">
        <f>IF($N294&lt;&gt;"",INDEX(tblBilling[Amount Paid],$N294),IF($O294=1,PC_TotalPaid,""))</f>
        <v/>
      </c>
      <c r="I294" s="54">
        <f>IF($N294&lt;&gt;"",INDEX(tblBilling[Balance],$N294),IF($O294=1,PC_TotalBalance,""))</f>
        <v/>
      </c>
      <c r="J294" s="53">
        <f>IF($N294&lt;&gt;"",INDEX(tblBilling[Payment Status],$N294),"")</f>
        <v/>
      </c>
      <c r="K294" s="55">
        <f>IF($N294&lt;&gt;"",IF(INDEX(tblBilling[Last Payment Date],$N294)="","",INDEX(tblBilling[Last Payment Date],$N294)),"")</f>
        <v/>
      </c>
      <c r="L294" s="53">
        <f>IF($N294&lt;&gt;"",INDEX(tblBilling[Collector Name],$N294),"")</f>
        <v/>
      </c>
      <c r="N294">
        <f>IF(N293="","",IFERROR(N293+MATCH(1,INDEX(tblBilling[Print Match],N293+1):INDEX(tblBilling[Print Match],ROWS(tblBilling[Print Match])),0),""))</f>
        <v/>
      </c>
      <c r="O294">
        <f>ROW()-9-MIN(PC_Count,500)</f>
        <v/>
      </c>
    </row>
    <row r="295" ht="20" customHeight="1">
      <c r="A295" s="52">
        <f>IF($N295="","",ROW()-9)</f>
        <v/>
      </c>
      <c r="B295" s="53">
        <f>IF($N295&lt;&gt;"",INDEX(tblBilling[Customer ID],$N295),"")</f>
        <v/>
      </c>
      <c r="C295" s="53">
        <f>IF($N295&lt;&gt;"",INDEX(tblBilling[Customer Name],$N295),CHOOSE(MIN(MAX($O295,0),7)+1,"","TOTAL","","Total Customers: "&amp;PC_Count,"Total Recovered: "&amp;CFG_CurrencySymbol&amp;" "&amp;TEXT(PC_TotalPaid,"#,##0"),"","Collector Signature: ____________",""))</f>
        <v/>
      </c>
      <c r="D295" s="53">
        <f>IF($N295&lt;&gt;"",INDEX(tblBilling[Full Address],$N295),CHOOSE(MIN(MAX($O295,0),7)+1,"","","","Total Billing: "&amp;CFG_CurrencySymbol&amp;" "&amp;TEXT(PC_TotalFee,"#,##0"),"Total Pending: "&amp;CFG_CurrencySymbol&amp;" "&amp;TEXT(PC_TotalBalance,"#,##0"),"","Office Verification: ____________",""))</f>
        <v/>
      </c>
      <c r="E295" s="53">
        <f>IF($N295&lt;&gt;"",INDEX(tblBilling[VLAN ID],$N295),"")</f>
        <v/>
      </c>
      <c r="F295" s="52">
        <f>IF($N295&lt;&gt;"",INDEX(tblBilling[Due Date],$N295),"")</f>
        <v/>
      </c>
      <c r="G295" s="54">
        <f>IF($N295&lt;&gt;"",INDEX(tblBilling[Monthly Fee],$N295),IF($O295=1,PC_TotalFee,""))</f>
        <v/>
      </c>
      <c r="H295" s="54">
        <f>IF($N295&lt;&gt;"",INDEX(tblBilling[Amount Paid],$N295),IF($O295=1,PC_TotalPaid,""))</f>
        <v/>
      </c>
      <c r="I295" s="54">
        <f>IF($N295&lt;&gt;"",INDEX(tblBilling[Balance],$N295),IF($O295=1,PC_TotalBalance,""))</f>
        <v/>
      </c>
      <c r="J295" s="53">
        <f>IF($N295&lt;&gt;"",INDEX(tblBilling[Payment Status],$N295),"")</f>
        <v/>
      </c>
      <c r="K295" s="55">
        <f>IF($N295&lt;&gt;"",IF(INDEX(tblBilling[Last Payment Date],$N295)="","",INDEX(tblBilling[Last Payment Date],$N295)),"")</f>
        <v/>
      </c>
      <c r="L295" s="53">
        <f>IF($N295&lt;&gt;"",INDEX(tblBilling[Collector Name],$N295),"")</f>
        <v/>
      </c>
      <c r="N295">
        <f>IF(N294="","",IFERROR(N294+MATCH(1,INDEX(tblBilling[Print Match],N294+1):INDEX(tblBilling[Print Match],ROWS(tblBilling[Print Match])),0),""))</f>
        <v/>
      </c>
      <c r="O295">
        <f>ROW()-9-MIN(PC_Count,500)</f>
        <v/>
      </c>
    </row>
    <row r="296" ht="20" customHeight="1">
      <c r="A296" s="52">
        <f>IF($N296="","",ROW()-9)</f>
        <v/>
      </c>
      <c r="B296" s="53">
        <f>IF($N296&lt;&gt;"",INDEX(tblBilling[Customer ID],$N296),"")</f>
        <v/>
      </c>
      <c r="C296" s="53">
        <f>IF($N296&lt;&gt;"",INDEX(tblBilling[Customer Name],$N296),CHOOSE(MIN(MAX($O296,0),7)+1,"","TOTAL","","Total Customers: "&amp;PC_Count,"Total Recovered: "&amp;CFG_CurrencySymbol&amp;" "&amp;TEXT(PC_TotalPaid,"#,##0"),"","Collector Signature: ____________",""))</f>
        <v/>
      </c>
      <c r="D296" s="53">
        <f>IF($N296&lt;&gt;"",INDEX(tblBilling[Full Address],$N296),CHOOSE(MIN(MAX($O296,0),7)+1,"","","","Total Billing: "&amp;CFG_CurrencySymbol&amp;" "&amp;TEXT(PC_TotalFee,"#,##0"),"Total Pending: "&amp;CFG_CurrencySymbol&amp;" "&amp;TEXT(PC_TotalBalance,"#,##0"),"","Office Verification: ____________",""))</f>
        <v/>
      </c>
      <c r="E296" s="53">
        <f>IF($N296&lt;&gt;"",INDEX(tblBilling[VLAN ID],$N296),"")</f>
        <v/>
      </c>
      <c r="F296" s="52">
        <f>IF($N296&lt;&gt;"",INDEX(tblBilling[Due Date],$N296),"")</f>
        <v/>
      </c>
      <c r="G296" s="54">
        <f>IF($N296&lt;&gt;"",INDEX(tblBilling[Monthly Fee],$N296),IF($O296=1,PC_TotalFee,""))</f>
        <v/>
      </c>
      <c r="H296" s="54">
        <f>IF($N296&lt;&gt;"",INDEX(tblBilling[Amount Paid],$N296),IF($O296=1,PC_TotalPaid,""))</f>
        <v/>
      </c>
      <c r="I296" s="54">
        <f>IF($N296&lt;&gt;"",INDEX(tblBilling[Balance],$N296),IF($O296=1,PC_TotalBalance,""))</f>
        <v/>
      </c>
      <c r="J296" s="53">
        <f>IF($N296&lt;&gt;"",INDEX(tblBilling[Payment Status],$N296),"")</f>
        <v/>
      </c>
      <c r="K296" s="55">
        <f>IF($N296&lt;&gt;"",IF(INDEX(tblBilling[Last Payment Date],$N296)="","",INDEX(tblBilling[Last Payment Date],$N296)),"")</f>
        <v/>
      </c>
      <c r="L296" s="53">
        <f>IF($N296&lt;&gt;"",INDEX(tblBilling[Collector Name],$N296),"")</f>
        <v/>
      </c>
      <c r="N296">
        <f>IF(N295="","",IFERROR(N295+MATCH(1,INDEX(tblBilling[Print Match],N295+1):INDEX(tblBilling[Print Match],ROWS(tblBilling[Print Match])),0),""))</f>
        <v/>
      </c>
      <c r="O296">
        <f>ROW()-9-MIN(PC_Count,500)</f>
        <v/>
      </c>
    </row>
    <row r="297" ht="20" customHeight="1">
      <c r="A297" s="52">
        <f>IF($N297="","",ROW()-9)</f>
        <v/>
      </c>
      <c r="B297" s="53">
        <f>IF($N297&lt;&gt;"",INDEX(tblBilling[Customer ID],$N297),"")</f>
        <v/>
      </c>
      <c r="C297" s="53">
        <f>IF($N297&lt;&gt;"",INDEX(tblBilling[Customer Name],$N297),CHOOSE(MIN(MAX($O297,0),7)+1,"","TOTAL","","Total Customers: "&amp;PC_Count,"Total Recovered: "&amp;CFG_CurrencySymbol&amp;" "&amp;TEXT(PC_TotalPaid,"#,##0"),"","Collector Signature: ____________",""))</f>
        <v/>
      </c>
      <c r="D297" s="53">
        <f>IF($N297&lt;&gt;"",INDEX(tblBilling[Full Address],$N297),CHOOSE(MIN(MAX($O297,0),7)+1,"","","","Total Billing: "&amp;CFG_CurrencySymbol&amp;" "&amp;TEXT(PC_TotalFee,"#,##0"),"Total Pending: "&amp;CFG_CurrencySymbol&amp;" "&amp;TEXT(PC_TotalBalance,"#,##0"),"","Office Verification: ____________",""))</f>
        <v/>
      </c>
      <c r="E297" s="53">
        <f>IF($N297&lt;&gt;"",INDEX(tblBilling[VLAN ID],$N297),"")</f>
        <v/>
      </c>
      <c r="F297" s="52">
        <f>IF($N297&lt;&gt;"",INDEX(tblBilling[Due Date],$N297),"")</f>
        <v/>
      </c>
      <c r="G297" s="54">
        <f>IF($N297&lt;&gt;"",INDEX(tblBilling[Monthly Fee],$N297),IF($O297=1,PC_TotalFee,""))</f>
        <v/>
      </c>
      <c r="H297" s="54">
        <f>IF($N297&lt;&gt;"",INDEX(tblBilling[Amount Paid],$N297),IF($O297=1,PC_TotalPaid,""))</f>
        <v/>
      </c>
      <c r="I297" s="54">
        <f>IF($N297&lt;&gt;"",INDEX(tblBilling[Balance],$N297),IF($O297=1,PC_TotalBalance,""))</f>
        <v/>
      </c>
      <c r="J297" s="53">
        <f>IF($N297&lt;&gt;"",INDEX(tblBilling[Payment Status],$N297),"")</f>
        <v/>
      </c>
      <c r="K297" s="55">
        <f>IF($N297&lt;&gt;"",IF(INDEX(tblBilling[Last Payment Date],$N297)="","",INDEX(tblBilling[Last Payment Date],$N297)),"")</f>
        <v/>
      </c>
      <c r="L297" s="53">
        <f>IF($N297&lt;&gt;"",INDEX(tblBilling[Collector Name],$N297),"")</f>
        <v/>
      </c>
      <c r="N297">
        <f>IF(N296="","",IFERROR(N296+MATCH(1,INDEX(tblBilling[Print Match],N296+1):INDEX(tblBilling[Print Match],ROWS(tblBilling[Print Match])),0),""))</f>
        <v/>
      </c>
      <c r="O297">
        <f>ROW()-9-MIN(PC_Count,500)</f>
        <v/>
      </c>
    </row>
    <row r="298" ht="20" customHeight="1">
      <c r="A298" s="52">
        <f>IF($N298="","",ROW()-9)</f>
        <v/>
      </c>
      <c r="B298" s="53">
        <f>IF($N298&lt;&gt;"",INDEX(tblBilling[Customer ID],$N298),"")</f>
        <v/>
      </c>
      <c r="C298" s="53">
        <f>IF($N298&lt;&gt;"",INDEX(tblBilling[Customer Name],$N298),CHOOSE(MIN(MAX($O298,0),7)+1,"","TOTAL","","Total Customers: "&amp;PC_Count,"Total Recovered: "&amp;CFG_CurrencySymbol&amp;" "&amp;TEXT(PC_TotalPaid,"#,##0"),"","Collector Signature: ____________",""))</f>
        <v/>
      </c>
      <c r="D298" s="53">
        <f>IF($N298&lt;&gt;"",INDEX(tblBilling[Full Address],$N298),CHOOSE(MIN(MAX($O298,0),7)+1,"","","","Total Billing: "&amp;CFG_CurrencySymbol&amp;" "&amp;TEXT(PC_TotalFee,"#,##0"),"Total Pending: "&amp;CFG_CurrencySymbol&amp;" "&amp;TEXT(PC_TotalBalance,"#,##0"),"","Office Verification: ____________",""))</f>
        <v/>
      </c>
      <c r="E298" s="53">
        <f>IF($N298&lt;&gt;"",INDEX(tblBilling[VLAN ID],$N298),"")</f>
        <v/>
      </c>
      <c r="F298" s="52">
        <f>IF($N298&lt;&gt;"",INDEX(tblBilling[Due Date],$N298),"")</f>
        <v/>
      </c>
      <c r="G298" s="54">
        <f>IF($N298&lt;&gt;"",INDEX(tblBilling[Monthly Fee],$N298),IF($O298=1,PC_TotalFee,""))</f>
        <v/>
      </c>
      <c r="H298" s="54">
        <f>IF($N298&lt;&gt;"",INDEX(tblBilling[Amount Paid],$N298),IF($O298=1,PC_TotalPaid,""))</f>
        <v/>
      </c>
      <c r="I298" s="54">
        <f>IF($N298&lt;&gt;"",INDEX(tblBilling[Balance],$N298),IF($O298=1,PC_TotalBalance,""))</f>
        <v/>
      </c>
      <c r="J298" s="53">
        <f>IF($N298&lt;&gt;"",INDEX(tblBilling[Payment Status],$N298),"")</f>
        <v/>
      </c>
      <c r="K298" s="55">
        <f>IF($N298&lt;&gt;"",IF(INDEX(tblBilling[Last Payment Date],$N298)="","",INDEX(tblBilling[Last Payment Date],$N298)),"")</f>
        <v/>
      </c>
      <c r="L298" s="53">
        <f>IF($N298&lt;&gt;"",INDEX(tblBilling[Collector Name],$N298),"")</f>
        <v/>
      </c>
      <c r="N298">
        <f>IF(N297="","",IFERROR(N297+MATCH(1,INDEX(tblBilling[Print Match],N297+1):INDEX(tblBilling[Print Match],ROWS(tblBilling[Print Match])),0),""))</f>
        <v/>
      </c>
      <c r="O298">
        <f>ROW()-9-MIN(PC_Count,500)</f>
        <v/>
      </c>
    </row>
    <row r="299" ht="20" customHeight="1">
      <c r="A299" s="52">
        <f>IF($N299="","",ROW()-9)</f>
        <v/>
      </c>
      <c r="B299" s="53">
        <f>IF($N299&lt;&gt;"",INDEX(tblBilling[Customer ID],$N299),"")</f>
        <v/>
      </c>
      <c r="C299" s="53">
        <f>IF($N299&lt;&gt;"",INDEX(tblBilling[Customer Name],$N299),CHOOSE(MIN(MAX($O299,0),7)+1,"","TOTAL","","Total Customers: "&amp;PC_Count,"Total Recovered: "&amp;CFG_CurrencySymbol&amp;" "&amp;TEXT(PC_TotalPaid,"#,##0"),"","Collector Signature: ____________",""))</f>
        <v/>
      </c>
      <c r="D299" s="53">
        <f>IF($N299&lt;&gt;"",INDEX(tblBilling[Full Address],$N299),CHOOSE(MIN(MAX($O299,0),7)+1,"","","","Total Billing: "&amp;CFG_CurrencySymbol&amp;" "&amp;TEXT(PC_TotalFee,"#,##0"),"Total Pending: "&amp;CFG_CurrencySymbol&amp;" "&amp;TEXT(PC_TotalBalance,"#,##0"),"","Office Verification: ____________",""))</f>
        <v/>
      </c>
      <c r="E299" s="53">
        <f>IF($N299&lt;&gt;"",INDEX(tblBilling[VLAN ID],$N299),"")</f>
        <v/>
      </c>
      <c r="F299" s="52">
        <f>IF($N299&lt;&gt;"",INDEX(tblBilling[Due Date],$N299),"")</f>
        <v/>
      </c>
      <c r="G299" s="54">
        <f>IF($N299&lt;&gt;"",INDEX(tblBilling[Monthly Fee],$N299),IF($O299=1,PC_TotalFee,""))</f>
        <v/>
      </c>
      <c r="H299" s="54">
        <f>IF($N299&lt;&gt;"",INDEX(tblBilling[Amount Paid],$N299),IF($O299=1,PC_TotalPaid,""))</f>
        <v/>
      </c>
      <c r="I299" s="54">
        <f>IF($N299&lt;&gt;"",INDEX(tblBilling[Balance],$N299),IF($O299=1,PC_TotalBalance,""))</f>
        <v/>
      </c>
      <c r="J299" s="53">
        <f>IF($N299&lt;&gt;"",INDEX(tblBilling[Payment Status],$N299),"")</f>
        <v/>
      </c>
      <c r="K299" s="55">
        <f>IF($N299&lt;&gt;"",IF(INDEX(tblBilling[Last Payment Date],$N299)="","",INDEX(tblBilling[Last Payment Date],$N299)),"")</f>
        <v/>
      </c>
      <c r="L299" s="53">
        <f>IF($N299&lt;&gt;"",INDEX(tblBilling[Collector Name],$N299),"")</f>
        <v/>
      </c>
      <c r="N299">
        <f>IF(N298="","",IFERROR(N298+MATCH(1,INDEX(tblBilling[Print Match],N298+1):INDEX(tblBilling[Print Match],ROWS(tblBilling[Print Match])),0),""))</f>
        <v/>
      </c>
      <c r="O299">
        <f>ROW()-9-MIN(PC_Count,500)</f>
        <v/>
      </c>
    </row>
    <row r="300" ht="20" customHeight="1">
      <c r="A300" s="52">
        <f>IF($N300="","",ROW()-9)</f>
        <v/>
      </c>
      <c r="B300" s="53">
        <f>IF($N300&lt;&gt;"",INDEX(tblBilling[Customer ID],$N300),"")</f>
        <v/>
      </c>
      <c r="C300" s="53">
        <f>IF($N300&lt;&gt;"",INDEX(tblBilling[Customer Name],$N300),CHOOSE(MIN(MAX($O300,0),7)+1,"","TOTAL","","Total Customers: "&amp;PC_Count,"Total Recovered: "&amp;CFG_CurrencySymbol&amp;" "&amp;TEXT(PC_TotalPaid,"#,##0"),"","Collector Signature: ____________",""))</f>
        <v/>
      </c>
      <c r="D300" s="53">
        <f>IF($N300&lt;&gt;"",INDEX(tblBilling[Full Address],$N300),CHOOSE(MIN(MAX($O300,0),7)+1,"","","","Total Billing: "&amp;CFG_CurrencySymbol&amp;" "&amp;TEXT(PC_TotalFee,"#,##0"),"Total Pending: "&amp;CFG_CurrencySymbol&amp;" "&amp;TEXT(PC_TotalBalance,"#,##0"),"","Office Verification: ____________",""))</f>
        <v/>
      </c>
      <c r="E300" s="53">
        <f>IF($N300&lt;&gt;"",INDEX(tblBilling[VLAN ID],$N300),"")</f>
        <v/>
      </c>
      <c r="F300" s="52">
        <f>IF($N300&lt;&gt;"",INDEX(tblBilling[Due Date],$N300),"")</f>
        <v/>
      </c>
      <c r="G300" s="54">
        <f>IF($N300&lt;&gt;"",INDEX(tblBilling[Monthly Fee],$N300),IF($O300=1,PC_TotalFee,""))</f>
        <v/>
      </c>
      <c r="H300" s="54">
        <f>IF($N300&lt;&gt;"",INDEX(tblBilling[Amount Paid],$N300),IF($O300=1,PC_TotalPaid,""))</f>
        <v/>
      </c>
      <c r="I300" s="54">
        <f>IF($N300&lt;&gt;"",INDEX(tblBilling[Balance],$N300),IF($O300=1,PC_TotalBalance,""))</f>
        <v/>
      </c>
      <c r="J300" s="53">
        <f>IF($N300&lt;&gt;"",INDEX(tblBilling[Payment Status],$N300),"")</f>
        <v/>
      </c>
      <c r="K300" s="55">
        <f>IF($N300&lt;&gt;"",IF(INDEX(tblBilling[Last Payment Date],$N300)="","",INDEX(tblBilling[Last Payment Date],$N300)),"")</f>
        <v/>
      </c>
      <c r="L300" s="53">
        <f>IF($N300&lt;&gt;"",INDEX(tblBilling[Collector Name],$N300),"")</f>
        <v/>
      </c>
      <c r="N300">
        <f>IF(N299="","",IFERROR(N299+MATCH(1,INDEX(tblBilling[Print Match],N299+1):INDEX(tblBilling[Print Match],ROWS(tblBilling[Print Match])),0),""))</f>
        <v/>
      </c>
      <c r="O300">
        <f>ROW()-9-MIN(PC_Count,500)</f>
        <v/>
      </c>
    </row>
    <row r="301" ht="20" customHeight="1">
      <c r="A301" s="52">
        <f>IF($N301="","",ROW()-9)</f>
        <v/>
      </c>
      <c r="B301" s="53">
        <f>IF($N301&lt;&gt;"",INDEX(tblBilling[Customer ID],$N301),"")</f>
        <v/>
      </c>
      <c r="C301" s="53">
        <f>IF($N301&lt;&gt;"",INDEX(tblBilling[Customer Name],$N301),CHOOSE(MIN(MAX($O301,0),7)+1,"","TOTAL","","Total Customers: "&amp;PC_Count,"Total Recovered: "&amp;CFG_CurrencySymbol&amp;" "&amp;TEXT(PC_TotalPaid,"#,##0"),"","Collector Signature: ____________",""))</f>
        <v/>
      </c>
      <c r="D301" s="53">
        <f>IF($N301&lt;&gt;"",INDEX(tblBilling[Full Address],$N301),CHOOSE(MIN(MAX($O301,0),7)+1,"","","","Total Billing: "&amp;CFG_CurrencySymbol&amp;" "&amp;TEXT(PC_TotalFee,"#,##0"),"Total Pending: "&amp;CFG_CurrencySymbol&amp;" "&amp;TEXT(PC_TotalBalance,"#,##0"),"","Office Verification: ____________",""))</f>
        <v/>
      </c>
      <c r="E301" s="53">
        <f>IF($N301&lt;&gt;"",INDEX(tblBilling[VLAN ID],$N301),"")</f>
        <v/>
      </c>
      <c r="F301" s="52">
        <f>IF($N301&lt;&gt;"",INDEX(tblBilling[Due Date],$N301),"")</f>
        <v/>
      </c>
      <c r="G301" s="54">
        <f>IF($N301&lt;&gt;"",INDEX(tblBilling[Monthly Fee],$N301),IF($O301=1,PC_TotalFee,""))</f>
        <v/>
      </c>
      <c r="H301" s="54">
        <f>IF($N301&lt;&gt;"",INDEX(tblBilling[Amount Paid],$N301),IF($O301=1,PC_TotalPaid,""))</f>
        <v/>
      </c>
      <c r="I301" s="54">
        <f>IF($N301&lt;&gt;"",INDEX(tblBilling[Balance],$N301),IF($O301=1,PC_TotalBalance,""))</f>
        <v/>
      </c>
      <c r="J301" s="53">
        <f>IF($N301&lt;&gt;"",INDEX(tblBilling[Payment Status],$N301),"")</f>
        <v/>
      </c>
      <c r="K301" s="55">
        <f>IF($N301&lt;&gt;"",IF(INDEX(tblBilling[Last Payment Date],$N301)="","",INDEX(tblBilling[Last Payment Date],$N301)),"")</f>
        <v/>
      </c>
      <c r="L301" s="53">
        <f>IF($N301&lt;&gt;"",INDEX(tblBilling[Collector Name],$N301),"")</f>
        <v/>
      </c>
      <c r="N301">
        <f>IF(N300="","",IFERROR(N300+MATCH(1,INDEX(tblBilling[Print Match],N300+1):INDEX(tblBilling[Print Match],ROWS(tblBilling[Print Match])),0),""))</f>
        <v/>
      </c>
      <c r="O301">
        <f>ROW()-9-MIN(PC_Count,500)</f>
        <v/>
      </c>
    </row>
    <row r="302" ht="20" customHeight="1">
      <c r="A302" s="52">
        <f>IF($N302="","",ROW()-9)</f>
        <v/>
      </c>
      <c r="B302" s="53">
        <f>IF($N302&lt;&gt;"",INDEX(tblBilling[Customer ID],$N302),"")</f>
        <v/>
      </c>
      <c r="C302" s="53">
        <f>IF($N302&lt;&gt;"",INDEX(tblBilling[Customer Name],$N302),CHOOSE(MIN(MAX($O302,0),7)+1,"","TOTAL","","Total Customers: "&amp;PC_Count,"Total Recovered: "&amp;CFG_CurrencySymbol&amp;" "&amp;TEXT(PC_TotalPaid,"#,##0"),"","Collector Signature: ____________",""))</f>
        <v/>
      </c>
      <c r="D302" s="53">
        <f>IF($N302&lt;&gt;"",INDEX(tblBilling[Full Address],$N302),CHOOSE(MIN(MAX($O302,0),7)+1,"","","","Total Billing: "&amp;CFG_CurrencySymbol&amp;" "&amp;TEXT(PC_TotalFee,"#,##0"),"Total Pending: "&amp;CFG_CurrencySymbol&amp;" "&amp;TEXT(PC_TotalBalance,"#,##0"),"","Office Verification: ____________",""))</f>
        <v/>
      </c>
      <c r="E302" s="53">
        <f>IF($N302&lt;&gt;"",INDEX(tblBilling[VLAN ID],$N302),"")</f>
        <v/>
      </c>
      <c r="F302" s="52">
        <f>IF($N302&lt;&gt;"",INDEX(tblBilling[Due Date],$N302),"")</f>
        <v/>
      </c>
      <c r="G302" s="54">
        <f>IF($N302&lt;&gt;"",INDEX(tblBilling[Monthly Fee],$N302),IF($O302=1,PC_TotalFee,""))</f>
        <v/>
      </c>
      <c r="H302" s="54">
        <f>IF($N302&lt;&gt;"",INDEX(tblBilling[Amount Paid],$N302),IF($O302=1,PC_TotalPaid,""))</f>
        <v/>
      </c>
      <c r="I302" s="54">
        <f>IF($N302&lt;&gt;"",INDEX(tblBilling[Balance],$N302),IF($O302=1,PC_TotalBalance,""))</f>
        <v/>
      </c>
      <c r="J302" s="53">
        <f>IF($N302&lt;&gt;"",INDEX(tblBilling[Payment Status],$N302),"")</f>
        <v/>
      </c>
      <c r="K302" s="55">
        <f>IF($N302&lt;&gt;"",IF(INDEX(tblBilling[Last Payment Date],$N302)="","",INDEX(tblBilling[Last Payment Date],$N302)),"")</f>
        <v/>
      </c>
      <c r="L302" s="53">
        <f>IF($N302&lt;&gt;"",INDEX(tblBilling[Collector Name],$N302),"")</f>
        <v/>
      </c>
      <c r="N302">
        <f>IF(N301="","",IFERROR(N301+MATCH(1,INDEX(tblBilling[Print Match],N301+1):INDEX(tblBilling[Print Match],ROWS(tblBilling[Print Match])),0),""))</f>
        <v/>
      </c>
      <c r="O302">
        <f>ROW()-9-MIN(PC_Count,500)</f>
        <v/>
      </c>
    </row>
    <row r="303" ht="20" customHeight="1">
      <c r="A303" s="52">
        <f>IF($N303="","",ROW()-9)</f>
        <v/>
      </c>
      <c r="B303" s="53">
        <f>IF($N303&lt;&gt;"",INDEX(tblBilling[Customer ID],$N303),"")</f>
        <v/>
      </c>
      <c r="C303" s="53">
        <f>IF($N303&lt;&gt;"",INDEX(tblBilling[Customer Name],$N303),CHOOSE(MIN(MAX($O303,0),7)+1,"","TOTAL","","Total Customers: "&amp;PC_Count,"Total Recovered: "&amp;CFG_CurrencySymbol&amp;" "&amp;TEXT(PC_TotalPaid,"#,##0"),"","Collector Signature: ____________",""))</f>
        <v/>
      </c>
      <c r="D303" s="53">
        <f>IF($N303&lt;&gt;"",INDEX(tblBilling[Full Address],$N303),CHOOSE(MIN(MAX($O303,0),7)+1,"","","","Total Billing: "&amp;CFG_CurrencySymbol&amp;" "&amp;TEXT(PC_TotalFee,"#,##0"),"Total Pending: "&amp;CFG_CurrencySymbol&amp;" "&amp;TEXT(PC_TotalBalance,"#,##0"),"","Office Verification: ____________",""))</f>
        <v/>
      </c>
      <c r="E303" s="53">
        <f>IF($N303&lt;&gt;"",INDEX(tblBilling[VLAN ID],$N303),"")</f>
        <v/>
      </c>
      <c r="F303" s="52">
        <f>IF($N303&lt;&gt;"",INDEX(tblBilling[Due Date],$N303),"")</f>
        <v/>
      </c>
      <c r="G303" s="54">
        <f>IF($N303&lt;&gt;"",INDEX(tblBilling[Monthly Fee],$N303),IF($O303=1,PC_TotalFee,""))</f>
        <v/>
      </c>
      <c r="H303" s="54">
        <f>IF($N303&lt;&gt;"",INDEX(tblBilling[Amount Paid],$N303),IF($O303=1,PC_TotalPaid,""))</f>
        <v/>
      </c>
      <c r="I303" s="54">
        <f>IF($N303&lt;&gt;"",INDEX(tblBilling[Balance],$N303),IF($O303=1,PC_TotalBalance,""))</f>
        <v/>
      </c>
      <c r="J303" s="53">
        <f>IF($N303&lt;&gt;"",INDEX(tblBilling[Payment Status],$N303),"")</f>
        <v/>
      </c>
      <c r="K303" s="55">
        <f>IF($N303&lt;&gt;"",IF(INDEX(tblBilling[Last Payment Date],$N303)="","",INDEX(tblBilling[Last Payment Date],$N303)),"")</f>
        <v/>
      </c>
      <c r="L303" s="53">
        <f>IF($N303&lt;&gt;"",INDEX(tblBilling[Collector Name],$N303),"")</f>
        <v/>
      </c>
      <c r="N303">
        <f>IF(N302="","",IFERROR(N302+MATCH(1,INDEX(tblBilling[Print Match],N302+1):INDEX(tblBilling[Print Match],ROWS(tblBilling[Print Match])),0),""))</f>
        <v/>
      </c>
      <c r="O303">
        <f>ROW()-9-MIN(PC_Count,500)</f>
        <v/>
      </c>
    </row>
    <row r="304" ht="20" customHeight="1">
      <c r="A304" s="52">
        <f>IF($N304="","",ROW()-9)</f>
        <v/>
      </c>
      <c r="B304" s="53">
        <f>IF($N304&lt;&gt;"",INDEX(tblBilling[Customer ID],$N304),"")</f>
        <v/>
      </c>
      <c r="C304" s="53">
        <f>IF($N304&lt;&gt;"",INDEX(tblBilling[Customer Name],$N304),CHOOSE(MIN(MAX($O304,0),7)+1,"","TOTAL","","Total Customers: "&amp;PC_Count,"Total Recovered: "&amp;CFG_CurrencySymbol&amp;" "&amp;TEXT(PC_TotalPaid,"#,##0"),"","Collector Signature: ____________",""))</f>
        <v/>
      </c>
      <c r="D304" s="53">
        <f>IF($N304&lt;&gt;"",INDEX(tblBilling[Full Address],$N304),CHOOSE(MIN(MAX($O304,0),7)+1,"","","","Total Billing: "&amp;CFG_CurrencySymbol&amp;" "&amp;TEXT(PC_TotalFee,"#,##0"),"Total Pending: "&amp;CFG_CurrencySymbol&amp;" "&amp;TEXT(PC_TotalBalance,"#,##0"),"","Office Verification: ____________",""))</f>
        <v/>
      </c>
      <c r="E304" s="53">
        <f>IF($N304&lt;&gt;"",INDEX(tblBilling[VLAN ID],$N304),"")</f>
        <v/>
      </c>
      <c r="F304" s="52">
        <f>IF($N304&lt;&gt;"",INDEX(tblBilling[Due Date],$N304),"")</f>
        <v/>
      </c>
      <c r="G304" s="54">
        <f>IF($N304&lt;&gt;"",INDEX(tblBilling[Monthly Fee],$N304),IF($O304=1,PC_TotalFee,""))</f>
        <v/>
      </c>
      <c r="H304" s="54">
        <f>IF($N304&lt;&gt;"",INDEX(tblBilling[Amount Paid],$N304),IF($O304=1,PC_TotalPaid,""))</f>
        <v/>
      </c>
      <c r="I304" s="54">
        <f>IF($N304&lt;&gt;"",INDEX(tblBilling[Balance],$N304),IF($O304=1,PC_TotalBalance,""))</f>
        <v/>
      </c>
      <c r="J304" s="53">
        <f>IF($N304&lt;&gt;"",INDEX(tblBilling[Payment Status],$N304),"")</f>
        <v/>
      </c>
      <c r="K304" s="55">
        <f>IF($N304&lt;&gt;"",IF(INDEX(tblBilling[Last Payment Date],$N304)="","",INDEX(tblBilling[Last Payment Date],$N304)),"")</f>
        <v/>
      </c>
      <c r="L304" s="53">
        <f>IF($N304&lt;&gt;"",INDEX(tblBilling[Collector Name],$N304),"")</f>
        <v/>
      </c>
      <c r="N304">
        <f>IF(N303="","",IFERROR(N303+MATCH(1,INDEX(tblBilling[Print Match],N303+1):INDEX(tblBilling[Print Match],ROWS(tblBilling[Print Match])),0),""))</f>
        <v/>
      </c>
      <c r="O304">
        <f>ROW()-9-MIN(PC_Count,500)</f>
        <v/>
      </c>
    </row>
    <row r="305" ht="20" customHeight="1">
      <c r="A305" s="52">
        <f>IF($N305="","",ROW()-9)</f>
        <v/>
      </c>
      <c r="B305" s="53">
        <f>IF($N305&lt;&gt;"",INDEX(tblBilling[Customer ID],$N305),"")</f>
        <v/>
      </c>
      <c r="C305" s="53">
        <f>IF($N305&lt;&gt;"",INDEX(tblBilling[Customer Name],$N305),CHOOSE(MIN(MAX($O305,0),7)+1,"","TOTAL","","Total Customers: "&amp;PC_Count,"Total Recovered: "&amp;CFG_CurrencySymbol&amp;" "&amp;TEXT(PC_TotalPaid,"#,##0"),"","Collector Signature: ____________",""))</f>
        <v/>
      </c>
      <c r="D305" s="53">
        <f>IF($N305&lt;&gt;"",INDEX(tblBilling[Full Address],$N305),CHOOSE(MIN(MAX($O305,0),7)+1,"","","","Total Billing: "&amp;CFG_CurrencySymbol&amp;" "&amp;TEXT(PC_TotalFee,"#,##0"),"Total Pending: "&amp;CFG_CurrencySymbol&amp;" "&amp;TEXT(PC_TotalBalance,"#,##0"),"","Office Verification: ____________",""))</f>
        <v/>
      </c>
      <c r="E305" s="53">
        <f>IF($N305&lt;&gt;"",INDEX(tblBilling[VLAN ID],$N305),"")</f>
        <v/>
      </c>
      <c r="F305" s="52">
        <f>IF($N305&lt;&gt;"",INDEX(tblBilling[Due Date],$N305),"")</f>
        <v/>
      </c>
      <c r="G305" s="54">
        <f>IF($N305&lt;&gt;"",INDEX(tblBilling[Monthly Fee],$N305),IF($O305=1,PC_TotalFee,""))</f>
        <v/>
      </c>
      <c r="H305" s="54">
        <f>IF($N305&lt;&gt;"",INDEX(tblBilling[Amount Paid],$N305),IF($O305=1,PC_TotalPaid,""))</f>
        <v/>
      </c>
      <c r="I305" s="54">
        <f>IF($N305&lt;&gt;"",INDEX(tblBilling[Balance],$N305),IF($O305=1,PC_TotalBalance,""))</f>
        <v/>
      </c>
      <c r="J305" s="53">
        <f>IF($N305&lt;&gt;"",INDEX(tblBilling[Payment Status],$N305),"")</f>
        <v/>
      </c>
      <c r="K305" s="55">
        <f>IF($N305&lt;&gt;"",IF(INDEX(tblBilling[Last Payment Date],$N305)="","",INDEX(tblBilling[Last Payment Date],$N305)),"")</f>
        <v/>
      </c>
      <c r="L305" s="53">
        <f>IF($N305&lt;&gt;"",INDEX(tblBilling[Collector Name],$N305),"")</f>
        <v/>
      </c>
      <c r="N305">
        <f>IF(N304="","",IFERROR(N304+MATCH(1,INDEX(tblBilling[Print Match],N304+1):INDEX(tblBilling[Print Match],ROWS(tblBilling[Print Match])),0),""))</f>
        <v/>
      </c>
      <c r="O305">
        <f>ROW()-9-MIN(PC_Count,500)</f>
        <v/>
      </c>
    </row>
    <row r="306" ht="20" customHeight="1">
      <c r="A306" s="52">
        <f>IF($N306="","",ROW()-9)</f>
        <v/>
      </c>
      <c r="B306" s="53">
        <f>IF($N306&lt;&gt;"",INDEX(tblBilling[Customer ID],$N306),"")</f>
        <v/>
      </c>
      <c r="C306" s="53">
        <f>IF($N306&lt;&gt;"",INDEX(tblBilling[Customer Name],$N306),CHOOSE(MIN(MAX($O306,0),7)+1,"","TOTAL","","Total Customers: "&amp;PC_Count,"Total Recovered: "&amp;CFG_CurrencySymbol&amp;" "&amp;TEXT(PC_TotalPaid,"#,##0"),"","Collector Signature: ____________",""))</f>
        <v/>
      </c>
      <c r="D306" s="53">
        <f>IF($N306&lt;&gt;"",INDEX(tblBilling[Full Address],$N306),CHOOSE(MIN(MAX($O306,0),7)+1,"","","","Total Billing: "&amp;CFG_CurrencySymbol&amp;" "&amp;TEXT(PC_TotalFee,"#,##0"),"Total Pending: "&amp;CFG_CurrencySymbol&amp;" "&amp;TEXT(PC_TotalBalance,"#,##0"),"","Office Verification: ____________",""))</f>
        <v/>
      </c>
      <c r="E306" s="53">
        <f>IF($N306&lt;&gt;"",INDEX(tblBilling[VLAN ID],$N306),"")</f>
        <v/>
      </c>
      <c r="F306" s="52">
        <f>IF($N306&lt;&gt;"",INDEX(tblBilling[Due Date],$N306),"")</f>
        <v/>
      </c>
      <c r="G306" s="54">
        <f>IF($N306&lt;&gt;"",INDEX(tblBilling[Monthly Fee],$N306),IF($O306=1,PC_TotalFee,""))</f>
        <v/>
      </c>
      <c r="H306" s="54">
        <f>IF($N306&lt;&gt;"",INDEX(tblBilling[Amount Paid],$N306),IF($O306=1,PC_TotalPaid,""))</f>
        <v/>
      </c>
      <c r="I306" s="54">
        <f>IF($N306&lt;&gt;"",INDEX(tblBilling[Balance],$N306),IF($O306=1,PC_TotalBalance,""))</f>
        <v/>
      </c>
      <c r="J306" s="53">
        <f>IF($N306&lt;&gt;"",INDEX(tblBilling[Payment Status],$N306),"")</f>
        <v/>
      </c>
      <c r="K306" s="55">
        <f>IF($N306&lt;&gt;"",IF(INDEX(tblBilling[Last Payment Date],$N306)="","",INDEX(tblBilling[Last Payment Date],$N306)),"")</f>
        <v/>
      </c>
      <c r="L306" s="53">
        <f>IF($N306&lt;&gt;"",INDEX(tblBilling[Collector Name],$N306),"")</f>
        <v/>
      </c>
      <c r="N306">
        <f>IF(N305="","",IFERROR(N305+MATCH(1,INDEX(tblBilling[Print Match],N305+1):INDEX(tblBilling[Print Match],ROWS(tblBilling[Print Match])),0),""))</f>
        <v/>
      </c>
      <c r="O306">
        <f>ROW()-9-MIN(PC_Count,500)</f>
        <v/>
      </c>
    </row>
    <row r="307" ht="20" customHeight="1">
      <c r="A307" s="52">
        <f>IF($N307="","",ROW()-9)</f>
        <v/>
      </c>
      <c r="B307" s="53">
        <f>IF($N307&lt;&gt;"",INDEX(tblBilling[Customer ID],$N307),"")</f>
        <v/>
      </c>
      <c r="C307" s="53">
        <f>IF($N307&lt;&gt;"",INDEX(tblBilling[Customer Name],$N307),CHOOSE(MIN(MAX($O307,0),7)+1,"","TOTAL","","Total Customers: "&amp;PC_Count,"Total Recovered: "&amp;CFG_CurrencySymbol&amp;" "&amp;TEXT(PC_TotalPaid,"#,##0"),"","Collector Signature: ____________",""))</f>
        <v/>
      </c>
      <c r="D307" s="53">
        <f>IF($N307&lt;&gt;"",INDEX(tblBilling[Full Address],$N307),CHOOSE(MIN(MAX($O307,0),7)+1,"","","","Total Billing: "&amp;CFG_CurrencySymbol&amp;" "&amp;TEXT(PC_TotalFee,"#,##0"),"Total Pending: "&amp;CFG_CurrencySymbol&amp;" "&amp;TEXT(PC_TotalBalance,"#,##0"),"","Office Verification: ____________",""))</f>
        <v/>
      </c>
      <c r="E307" s="53">
        <f>IF($N307&lt;&gt;"",INDEX(tblBilling[VLAN ID],$N307),"")</f>
        <v/>
      </c>
      <c r="F307" s="52">
        <f>IF($N307&lt;&gt;"",INDEX(tblBilling[Due Date],$N307),"")</f>
        <v/>
      </c>
      <c r="G307" s="54">
        <f>IF($N307&lt;&gt;"",INDEX(tblBilling[Monthly Fee],$N307),IF($O307=1,PC_TotalFee,""))</f>
        <v/>
      </c>
      <c r="H307" s="54">
        <f>IF($N307&lt;&gt;"",INDEX(tblBilling[Amount Paid],$N307),IF($O307=1,PC_TotalPaid,""))</f>
        <v/>
      </c>
      <c r="I307" s="54">
        <f>IF($N307&lt;&gt;"",INDEX(tblBilling[Balance],$N307),IF($O307=1,PC_TotalBalance,""))</f>
        <v/>
      </c>
      <c r="J307" s="53">
        <f>IF($N307&lt;&gt;"",INDEX(tblBilling[Payment Status],$N307),"")</f>
        <v/>
      </c>
      <c r="K307" s="55">
        <f>IF($N307&lt;&gt;"",IF(INDEX(tblBilling[Last Payment Date],$N307)="","",INDEX(tblBilling[Last Payment Date],$N307)),"")</f>
        <v/>
      </c>
      <c r="L307" s="53">
        <f>IF($N307&lt;&gt;"",INDEX(tblBilling[Collector Name],$N307),"")</f>
        <v/>
      </c>
      <c r="N307">
        <f>IF(N306="","",IFERROR(N306+MATCH(1,INDEX(tblBilling[Print Match],N306+1):INDEX(tblBilling[Print Match],ROWS(tblBilling[Print Match])),0),""))</f>
        <v/>
      </c>
      <c r="O307">
        <f>ROW()-9-MIN(PC_Count,500)</f>
        <v/>
      </c>
    </row>
    <row r="308" ht="20" customHeight="1">
      <c r="A308" s="52">
        <f>IF($N308="","",ROW()-9)</f>
        <v/>
      </c>
      <c r="B308" s="53">
        <f>IF($N308&lt;&gt;"",INDEX(tblBilling[Customer ID],$N308),"")</f>
        <v/>
      </c>
      <c r="C308" s="53">
        <f>IF($N308&lt;&gt;"",INDEX(tblBilling[Customer Name],$N308),CHOOSE(MIN(MAX($O308,0),7)+1,"","TOTAL","","Total Customers: "&amp;PC_Count,"Total Recovered: "&amp;CFG_CurrencySymbol&amp;" "&amp;TEXT(PC_TotalPaid,"#,##0"),"","Collector Signature: ____________",""))</f>
        <v/>
      </c>
      <c r="D308" s="53">
        <f>IF($N308&lt;&gt;"",INDEX(tblBilling[Full Address],$N308),CHOOSE(MIN(MAX($O308,0),7)+1,"","","","Total Billing: "&amp;CFG_CurrencySymbol&amp;" "&amp;TEXT(PC_TotalFee,"#,##0"),"Total Pending: "&amp;CFG_CurrencySymbol&amp;" "&amp;TEXT(PC_TotalBalance,"#,##0"),"","Office Verification: ____________",""))</f>
        <v/>
      </c>
      <c r="E308" s="53">
        <f>IF($N308&lt;&gt;"",INDEX(tblBilling[VLAN ID],$N308),"")</f>
        <v/>
      </c>
      <c r="F308" s="52">
        <f>IF($N308&lt;&gt;"",INDEX(tblBilling[Due Date],$N308),"")</f>
        <v/>
      </c>
      <c r="G308" s="54">
        <f>IF($N308&lt;&gt;"",INDEX(tblBilling[Monthly Fee],$N308),IF($O308=1,PC_TotalFee,""))</f>
        <v/>
      </c>
      <c r="H308" s="54">
        <f>IF($N308&lt;&gt;"",INDEX(tblBilling[Amount Paid],$N308),IF($O308=1,PC_TotalPaid,""))</f>
        <v/>
      </c>
      <c r="I308" s="54">
        <f>IF($N308&lt;&gt;"",INDEX(tblBilling[Balance],$N308),IF($O308=1,PC_TotalBalance,""))</f>
        <v/>
      </c>
      <c r="J308" s="53">
        <f>IF($N308&lt;&gt;"",INDEX(tblBilling[Payment Status],$N308),"")</f>
        <v/>
      </c>
      <c r="K308" s="55">
        <f>IF($N308&lt;&gt;"",IF(INDEX(tblBilling[Last Payment Date],$N308)="","",INDEX(tblBilling[Last Payment Date],$N308)),"")</f>
        <v/>
      </c>
      <c r="L308" s="53">
        <f>IF($N308&lt;&gt;"",INDEX(tblBilling[Collector Name],$N308),"")</f>
        <v/>
      </c>
      <c r="N308">
        <f>IF(N307="","",IFERROR(N307+MATCH(1,INDEX(tblBilling[Print Match],N307+1):INDEX(tblBilling[Print Match],ROWS(tblBilling[Print Match])),0),""))</f>
        <v/>
      </c>
      <c r="O308">
        <f>ROW()-9-MIN(PC_Count,500)</f>
        <v/>
      </c>
    </row>
    <row r="309" ht="20" customHeight="1">
      <c r="A309" s="52">
        <f>IF($N309="","",ROW()-9)</f>
        <v/>
      </c>
      <c r="B309" s="53">
        <f>IF($N309&lt;&gt;"",INDEX(tblBilling[Customer ID],$N309),"")</f>
        <v/>
      </c>
      <c r="C309" s="53">
        <f>IF($N309&lt;&gt;"",INDEX(tblBilling[Customer Name],$N309),CHOOSE(MIN(MAX($O309,0),7)+1,"","TOTAL","","Total Customers: "&amp;PC_Count,"Total Recovered: "&amp;CFG_CurrencySymbol&amp;" "&amp;TEXT(PC_TotalPaid,"#,##0"),"","Collector Signature: ____________",""))</f>
        <v/>
      </c>
      <c r="D309" s="53">
        <f>IF($N309&lt;&gt;"",INDEX(tblBilling[Full Address],$N309),CHOOSE(MIN(MAX($O309,0),7)+1,"","","","Total Billing: "&amp;CFG_CurrencySymbol&amp;" "&amp;TEXT(PC_TotalFee,"#,##0"),"Total Pending: "&amp;CFG_CurrencySymbol&amp;" "&amp;TEXT(PC_TotalBalance,"#,##0"),"","Office Verification: ____________",""))</f>
        <v/>
      </c>
      <c r="E309" s="53">
        <f>IF($N309&lt;&gt;"",INDEX(tblBilling[VLAN ID],$N309),"")</f>
        <v/>
      </c>
      <c r="F309" s="52">
        <f>IF($N309&lt;&gt;"",INDEX(tblBilling[Due Date],$N309),"")</f>
        <v/>
      </c>
      <c r="G309" s="54">
        <f>IF($N309&lt;&gt;"",INDEX(tblBilling[Monthly Fee],$N309),IF($O309=1,PC_TotalFee,""))</f>
        <v/>
      </c>
      <c r="H309" s="54">
        <f>IF($N309&lt;&gt;"",INDEX(tblBilling[Amount Paid],$N309),IF($O309=1,PC_TotalPaid,""))</f>
        <v/>
      </c>
      <c r="I309" s="54">
        <f>IF($N309&lt;&gt;"",INDEX(tblBilling[Balance],$N309),IF($O309=1,PC_TotalBalance,""))</f>
        <v/>
      </c>
      <c r="J309" s="53">
        <f>IF($N309&lt;&gt;"",INDEX(tblBilling[Payment Status],$N309),"")</f>
        <v/>
      </c>
      <c r="K309" s="55">
        <f>IF($N309&lt;&gt;"",IF(INDEX(tblBilling[Last Payment Date],$N309)="","",INDEX(tblBilling[Last Payment Date],$N309)),"")</f>
        <v/>
      </c>
      <c r="L309" s="53">
        <f>IF($N309&lt;&gt;"",INDEX(tblBilling[Collector Name],$N309),"")</f>
        <v/>
      </c>
      <c r="N309">
        <f>IF(N308="","",IFERROR(N308+MATCH(1,INDEX(tblBilling[Print Match],N308+1):INDEX(tblBilling[Print Match],ROWS(tblBilling[Print Match])),0),""))</f>
        <v/>
      </c>
      <c r="O309">
        <f>ROW()-9-MIN(PC_Count,500)</f>
        <v/>
      </c>
    </row>
    <row r="310" ht="20" customHeight="1">
      <c r="A310" s="52">
        <f>IF($N310="","",ROW()-9)</f>
        <v/>
      </c>
      <c r="B310" s="53">
        <f>IF($N310&lt;&gt;"",INDEX(tblBilling[Customer ID],$N310),"")</f>
        <v/>
      </c>
      <c r="C310" s="53">
        <f>IF($N310&lt;&gt;"",INDEX(tblBilling[Customer Name],$N310),CHOOSE(MIN(MAX($O310,0),7)+1,"","TOTAL","","Total Customers: "&amp;PC_Count,"Total Recovered: "&amp;CFG_CurrencySymbol&amp;" "&amp;TEXT(PC_TotalPaid,"#,##0"),"","Collector Signature: ____________",""))</f>
        <v/>
      </c>
      <c r="D310" s="53">
        <f>IF($N310&lt;&gt;"",INDEX(tblBilling[Full Address],$N310),CHOOSE(MIN(MAX($O310,0),7)+1,"","","","Total Billing: "&amp;CFG_CurrencySymbol&amp;" "&amp;TEXT(PC_TotalFee,"#,##0"),"Total Pending: "&amp;CFG_CurrencySymbol&amp;" "&amp;TEXT(PC_TotalBalance,"#,##0"),"","Office Verification: ____________",""))</f>
        <v/>
      </c>
      <c r="E310" s="53">
        <f>IF($N310&lt;&gt;"",INDEX(tblBilling[VLAN ID],$N310),"")</f>
        <v/>
      </c>
      <c r="F310" s="52">
        <f>IF($N310&lt;&gt;"",INDEX(tblBilling[Due Date],$N310),"")</f>
        <v/>
      </c>
      <c r="G310" s="54">
        <f>IF($N310&lt;&gt;"",INDEX(tblBilling[Monthly Fee],$N310),IF($O310=1,PC_TotalFee,""))</f>
        <v/>
      </c>
      <c r="H310" s="54">
        <f>IF($N310&lt;&gt;"",INDEX(tblBilling[Amount Paid],$N310),IF($O310=1,PC_TotalPaid,""))</f>
        <v/>
      </c>
      <c r="I310" s="54">
        <f>IF($N310&lt;&gt;"",INDEX(tblBilling[Balance],$N310),IF($O310=1,PC_TotalBalance,""))</f>
        <v/>
      </c>
      <c r="J310" s="53">
        <f>IF($N310&lt;&gt;"",INDEX(tblBilling[Payment Status],$N310),"")</f>
        <v/>
      </c>
      <c r="K310" s="55">
        <f>IF($N310&lt;&gt;"",IF(INDEX(tblBilling[Last Payment Date],$N310)="","",INDEX(tblBilling[Last Payment Date],$N310)),"")</f>
        <v/>
      </c>
      <c r="L310" s="53">
        <f>IF($N310&lt;&gt;"",INDEX(tblBilling[Collector Name],$N310),"")</f>
        <v/>
      </c>
      <c r="N310">
        <f>IF(N309="","",IFERROR(N309+MATCH(1,INDEX(tblBilling[Print Match],N309+1):INDEX(tblBilling[Print Match],ROWS(tblBilling[Print Match])),0),""))</f>
        <v/>
      </c>
      <c r="O310">
        <f>ROW()-9-MIN(PC_Count,500)</f>
        <v/>
      </c>
    </row>
    <row r="311" ht="20" customHeight="1">
      <c r="A311" s="52">
        <f>IF($N311="","",ROW()-9)</f>
        <v/>
      </c>
      <c r="B311" s="53">
        <f>IF($N311&lt;&gt;"",INDEX(tblBilling[Customer ID],$N311),"")</f>
        <v/>
      </c>
      <c r="C311" s="53">
        <f>IF($N311&lt;&gt;"",INDEX(tblBilling[Customer Name],$N311),CHOOSE(MIN(MAX($O311,0),7)+1,"","TOTAL","","Total Customers: "&amp;PC_Count,"Total Recovered: "&amp;CFG_CurrencySymbol&amp;" "&amp;TEXT(PC_TotalPaid,"#,##0"),"","Collector Signature: ____________",""))</f>
        <v/>
      </c>
      <c r="D311" s="53">
        <f>IF($N311&lt;&gt;"",INDEX(tblBilling[Full Address],$N311),CHOOSE(MIN(MAX($O311,0),7)+1,"","","","Total Billing: "&amp;CFG_CurrencySymbol&amp;" "&amp;TEXT(PC_TotalFee,"#,##0"),"Total Pending: "&amp;CFG_CurrencySymbol&amp;" "&amp;TEXT(PC_TotalBalance,"#,##0"),"","Office Verification: ____________",""))</f>
        <v/>
      </c>
      <c r="E311" s="53">
        <f>IF($N311&lt;&gt;"",INDEX(tblBilling[VLAN ID],$N311),"")</f>
        <v/>
      </c>
      <c r="F311" s="52">
        <f>IF($N311&lt;&gt;"",INDEX(tblBilling[Due Date],$N311),"")</f>
        <v/>
      </c>
      <c r="G311" s="54">
        <f>IF($N311&lt;&gt;"",INDEX(tblBilling[Monthly Fee],$N311),IF($O311=1,PC_TotalFee,""))</f>
        <v/>
      </c>
      <c r="H311" s="54">
        <f>IF($N311&lt;&gt;"",INDEX(tblBilling[Amount Paid],$N311),IF($O311=1,PC_TotalPaid,""))</f>
        <v/>
      </c>
      <c r="I311" s="54">
        <f>IF($N311&lt;&gt;"",INDEX(tblBilling[Balance],$N311),IF($O311=1,PC_TotalBalance,""))</f>
        <v/>
      </c>
      <c r="J311" s="53">
        <f>IF($N311&lt;&gt;"",INDEX(tblBilling[Payment Status],$N311),"")</f>
        <v/>
      </c>
      <c r="K311" s="55">
        <f>IF($N311&lt;&gt;"",IF(INDEX(tblBilling[Last Payment Date],$N311)="","",INDEX(tblBilling[Last Payment Date],$N311)),"")</f>
        <v/>
      </c>
      <c r="L311" s="53">
        <f>IF($N311&lt;&gt;"",INDEX(tblBilling[Collector Name],$N311),"")</f>
        <v/>
      </c>
      <c r="N311">
        <f>IF(N310="","",IFERROR(N310+MATCH(1,INDEX(tblBilling[Print Match],N310+1):INDEX(tblBilling[Print Match],ROWS(tblBilling[Print Match])),0),""))</f>
        <v/>
      </c>
      <c r="O311">
        <f>ROW()-9-MIN(PC_Count,500)</f>
        <v/>
      </c>
    </row>
    <row r="312" ht="20" customHeight="1">
      <c r="A312" s="52">
        <f>IF($N312="","",ROW()-9)</f>
        <v/>
      </c>
      <c r="B312" s="53">
        <f>IF($N312&lt;&gt;"",INDEX(tblBilling[Customer ID],$N312),"")</f>
        <v/>
      </c>
      <c r="C312" s="53">
        <f>IF($N312&lt;&gt;"",INDEX(tblBilling[Customer Name],$N312),CHOOSE(MIN(MAX($O312,0),7)+1,"","TOTAL","","Total Customers: "&amp;PC_Count,"Total Recovered: "&amp;CFG_CurrencySymbol&amp;" "&amp;TEXT(PC_TotalPaid,"#,##0"),"","Collector Signature: ____________",""))</f>
        <v/>
      </c>
      <c r="D312" s="53">
        <f>IF($N312&lt;&gt;"",INDEX(tblBilling[Full Address],$N312),CHOOSE(MIN(MAX($O312,0),7)+1,"","","","Total Billing: "&amp;CFG_CurrencySymbol&amp;" "&amp;TEXT(PC_TotalFee,"#,##0"),"Total Pending: "&amp;CFG_CurrencySymbol&amp;" "&amp;TEXT(PC_TotalBalance,"#,##0"),"","Office Verification: ____________",""))</f>
        <v/>
      </c>
      <c r="E312" s="53">
        <f>IF($N312&lt;&gt;"",INDEX(tblBilling[VLAN ID],$N312),"")</f>
        <v/>
      </c>
      <c r="F312" s="52">
        <f>IF($N312&lt;&gt;"",INDEX(tblBilling[Due Date],$N312),"")</f>
        <v/>
      </c>
      <c r="G312" s="54">
        <f>IF($N312&lt;&gt;"",INDEX(tblBilling[Monthly Fee],$N312),IF($O312=1,PC_TotalFee,""))</f>
        <v/>
      </c>
      <c r="H312" s="54">
        <f>IF($N312&lt;&gt;"",INDEX(tblBilling[Amount Paid],$N312),IF($O312=1,PC_TotalPaid,""))</f>
        <v/>
      </c>
      <c r="I312" s="54">
        <f>IF($N312&lt;&gt;"",INDEX(tblBilling[Balance],$N312),IF($O312=1,PC_TotalBalance,""))</f>
        <v/>
      </c>
      <c r="J312" s="53">
        <f>IF($N312&lt;&gt;"",INDEX(tblBilling[Payment Status],$N312),"")</f>
        <v/>
      </c>
      <c r="K312" s="55">
        <f>IF($N312&lt;&gt;"",IF(INDEX(tblBilling[Last Payment Date],$N312)="","",INDEX(tblBilling[Last Payment Date],$N312)),"")</f>
        <v/>
      </c>
      <c r="L312" s="53">
        <f>IF($N312&lt;&gt;"",INDEX(tblBilling[Collector Name],$N312),"")</f>
        <v/>
      </c>
      <c r="N312">
        <f>IF(N311="","",IFERROR(N311+MATCH(1,INDEX(tblBilling[Print Match],N311+1):INDEX(tblBilling[Print Match],ROWS(tblBilling[Print Match])),0),""))</f>
        <v/>
      </c>
      <c r="O312">
        <f>ROW()-9-MIN(PC_Count,500)</f>
        <v/>
      </c>
    </row>
    <row r="313" ht="20" customHeight="1">
      <c r="A313" s="52">
        <f>IF($N313="","",ROW()-9)</f>
        <v/>
      </c>
      <c r="B313" s="53">
        <f>IF($N313&lt;&gt;"",INDEX(tblBilling[Customer ID],$N313),"")</f>
        <v/>
      </c>
      <c r="C313" s="53">
        <f>IF($N313&lt;&gt;"",INDEX(tblBilling[Customer Name],$N313),CHOOSE(MIN(MAX($O313,0),7)+1,"","TOTAL","","Total Customers: "&amp;PC_Count,"Total Recovered: "&amp;CFG_CurrencySymbol&amp;" "&amp;TEXT(PC_TotalPaid,"#,##0"),"","Collector Signature: ____________",""))</f>
        <v/>
      </c>
      <c r="D313" s="53">
        <f>IF($N313&lt;&gt;"",INDEX(tblBilling[Full Address],$N313),CHOOSE(MIN(MAX($O313,0),7)+1,"","","","Total Billing: "&amp;CFG_CurrencySymbol&amp;" "&amp;TEXT(PC_TotalFee,"#,##0"),"Total Pending: "&amp;CFG_CurrencySymbol&amp;" "&amp;TEXT(PC_TotalBalance,"#,##0"),"","Office Verification: ____________",""))</f>
        <v/>
      </c>
      <c r="E313" s="53">
        <f>IF($N313&lt;&gt;"",INDEX(tblBilling[VLAN ID],$N313),"")</f>
        <v/>
      </c>
      <c r="F313" s="52">
        <f>IF($N313&lt;&gt;"",INDEX(tblBilling[Due Date],$N313),"")</f>
        <v/>
      </c>
      <c r="G313" s="54">
        <f>IF($N313&lt;&gt;"",INDEX(tblBilling[Monthly Fee],$N313),IF($O313=1,PC_TotalFee,""))</f>
        <v/>
      </c>
      <c r="H313" s="54">
        <f>IF($N313&lt;&gt;"",INDEX(tblBilling[Amount Paid],$N313),IF($O313=1,PC_TotalPaid,""))</f>
        <v/>
      </c>
      <c r="I313" s="54">
        <f>IF($N313&lt;&gt;"",INDEX(tblBilling[Balance],$N313),IF($O313=1,PC_TotalBalance,""))</f>
        <v/>
      </c>
      <c r="J313" s="53">
        <f>IF($N313&lt;&gt;"",INDEX(tblBilling[Payment Status],$N313),"")</f>
        <v/>
      </c>
      <c r="K313" s="55">
        <f>IF($N313&lt;&gt;"",IF(INDEX(tblBilling[Last Payment Date],$N313)="","",INDEX(tblBilling[Last Payment Date],$N313)),"")</f>
        <v/>
      </c>
      <c r="L313" s="53">
        <f>IF($N313&lt;&gt;"",INDEX(tblBilling[Collector Name],$N313),"")</f>
        <v/>
      </c>
      <c r="N313">
        <f>IF(N312="","",IFERROR(N312+MATCH(1,INDEX(tblBilling[Print Match],N312+1):INDEX(tblBilling[Print Match],ROWS(tblBilling[Print Match])),0),""))</f>
        <v/>
      </c>
      <c r="O313">
        <f>ROW()-9-MIN(PC_Count,500)</f>
        <v/>
      </c>
    </row>
    <row r="314" ht="20" customHeight="1">
      <c r="A314" s="52">
        <f>IF($N314="","",ROW()-9)</f>
        <v/>
      </c>
      <c r="B314" s="53">
        <f>IF($N314&lt;&gt;"",INDEX(tblBilling[Customer ID],$N314),"")</f>
        <v/>
      </c>
      <c r="C314" s="53">
        <f>IF($N314&lt;&gt;"",INDEX(tblBilling[Customer Name],$N314),CHOOSE(MIN(MAX($O314,0),7)+1,"","TOTAL","","Total Customers: "&amp;PC_Count,"Total Recovered: "&amp;CFG_CurrencySymbol&amp;" "&amp;TEXT(PC_TotalPaid,"#,##0"),"","Collector Signature: ____________",""))</f>
        <v/>
      </c>
      <c r="D314" s="53">
        <f>IF($N314&lt;&gt;"",INDEX(tblBilling[Full Address],$N314),CHOOSE(MIN(MAX($O314,0),7)+1,"","","","Total Billing: "&amp;CFG_CurrencySymbol&amp;" "&amp;TEXT(PC_TotalFee,"#,##0"),"Total Pending: "&amp;CFG_CurrencySymbol&amp;" "&amp;TEXT(PC_TotalBalance,"#,##0"),"","Office Verification: ____________",""))</f>
        <v/>
      </c>
      <c r="E314" s="53">
        <f>IF($N314&lt;&gt;"",INDEX(tblBilling[VLAN ID],$N314),"")</f>
        <v/>
      </c>
      <c r="F314" s="52">
        <f>IF($N314&lt;&gt;"",INDEX(tblBilling[Due Date],$N314),"")</f>
        <v/>
      </c>
      <c r="G314" s="54">
        <f>IF($N314&lt;&gt;"",INDEX(tblBilling[Monthly Fee],$N314),IF($O314=1,PC_TotalFee,""))</f>
        <v/>
      </c>
      <c r="H314" s="54">
        <f>IF($N314&lt;&gt;"",INDEX(tblBilling[Amount Paid],$N314),IF($O314=1,PC_TotalPaid,""))</f>
        <v/>
      </c>
      <c r="I314" s="54">
        <f>IF($N314&lt;&gt;"",INDEX(tblBilling[Balance],$N314),IF($O314=1,PC_TotalBalance,""))</f>
        <v/>
      </c>
      <c r="J314" s="53">
        <f>IF($N314&lt;&gt;"",INDEX(tblBilling[Payment Status],$N314),"")</f>
        <v/>
      </c>
      <c r="K314" s="55">
        <f>IF($N314&lt;&gt;"",IF(INDEX(tblBilling[Last Payment Date],$N314)="","",INDEX(tblBilling[Last Payment Date],$N314)),"")</f>
        <v/>
      </c>
      <c r="L314" s="53">
        <f>IF($N314&lt;&gt;"",INDEX(tblBilling[Collector Name],$N314),"")</f>
        <v/>
      </c>
      <c r="N314">
        <f>IF(N313="","",IFERROR(N313+MATCH(1,INDEX(tblBilling[Print Match],N313+1):INDEX(tblBilling[Print Match],ROWS(tblBilling[Print Match])),0),""))</f>
        <v/>
      </c>
      <c r="O314">
        <f>ROW()-9-MIN(PC_Count,500)</f>
        <v/>
      </c>
    </row>
    <row r="315" ht="20" customHeight="1">
      <c r="A315" s="52">
        <f>IF($N315="","",ROW()-9)</f>
        <v/>
      </c>
      <c r="B315" s="53">
        <f>IF($N315&lt;&gt;"",INDEX(tblBilling[Customer ID],$N315),"")</f>
        <v/>
      </c>
      <c r="C315" s="53">
        <f>IF($N315&lt;&gt;"",INDEX(tblBilling[Customer Name],$N315),CHOOSE(MIN(MAX($O315,0),7)+1,"","TOTAL","","Total Customers: "&amp;PC_Count,"Total Recovered: "&amp;CFG_CurrencySymbol&amp;" "&amp;TEXT(PC_TotalPaid,"#,##0"),"","Collector Signature: ____________",""))</f>
        <v/>
      </c>
      <c r="D315" s="53">
        <f>IF($N315&lt;&gt;"",INDEX(tblBilling[Full Address],$N315),CHOOSE(MIN(MAX($O315,0),7)+1,"","","","Total Billing: "&amp;CFG_CurrencySymbol&amp;" "&amp;TEXT(PC_TotalFee,"#,##0"),"Total Pending: "&amp;CFG_CurrencySymbol&amp;" "&amp;TEXT(PC_TotalBalance,"#,##0"),"","Office Verification: ____________",""))</f>
        <v/>
      </c>
      <c r="E315" s="53">
        <f>IF($N315&lt;&gt;"",INDEX(tblBilling[VLAN ID],$N315),"")</f>
        <v/>
      </c>
      <c r="F315" s="52">
        <f>IF($N315&lt;&gt;"",INDEX(tblBilling[Due Date],$N315),"")</f>
        <v/>
      </c>
      <c r="G315" s="54">
        <f>IF($N315&lt;&gt;"",INDEX(tblBilling[Monthly Fee],$N315),IF($O315=1,PC_TotalFee,""))</f>
        <v/>
      </c>
      <c r="H315" s="54">
        <f>IF($N315&lt;&gt;"",INDEX(tblBilling[Amount Paid],$N315),IF($O315=1,PC_TotalPaid,""))</f>
        <v/>
      </c>
      <c r="I315" s="54">
        <f>IF($N315&lt;&gt;"",INDEX(tblBilling[Balance],$N315),IF($O315=1,PC_TotalBalance,""))</f>
        <v/>
      </c>
      <c r="J315" s="53">
        <f>IF($N315&lt;&gt;"",INDEX(tblBilling[Payment Status],$N315),"")</f>
        <v/>
      </c>
      <c r="K315" s="55">
        <f>IF($N315&lt;&gt;"",IF(INDEX(tblBilling[Last Payment Date],$N315)="","",INDEX(tblBilling[Last Payment Date],$N315)),"")</f>
        <v/>
      </c>
      <c r="L315" s="53">
        <f>IF($N315&lt;&gt;"",INDEX(tblBilling[Collector Name],$N315),"")</f>
        <v/>
      </c>
      <c r="N315">
        <f>IF(N314="","",IFERROR(N314+MATCH(1,INDEX(tblBilling[Print Match],N314+1):INDEX(tblBilling[Print Match],ROWS(tblBilling[Print Match])),0),""))</f>
        <v/>
      </c>
      <c r="O315">
        <f>ROW()-9-MIN(PC_Count,500)</f>
        <v/>
      </c>
    </row>
    <row r="316" ht="20" customHeight="1">
      <c r="A316" s="52">
        <f>IF($N316="","",ROW()-9)</f>
        <v/>
      </c>
      <c r="B316" s="53">
        <f>IF($N316&lt;&gt;"",INDEX(tblBilling[Customer ID],$N316),"")</f>
        <v/>
      </c>
      <c r="C316" s="53">
        <f>IF($N316&lt;&gt;"",INDEX(tblBilling[Customer Name],$N316),CHOOSE(MIN(MAX($O316,0),7)+1,"","TOTAL","","Total Customers: "&amp;PC_Count,"Total Recovered: "&amp;CFG_CurrencySymbol&amp;" "&amp;TEXT(PC_TotalPaid,"#,##0"),"","Collector Signature: ____________",""))</f>
        <v/>
      </c>
      <c r="D316" s="53">
        <f>IF($N316&lt;&gt;"",INDEX(tblBilling[Full Address],$N316),CHOOSE(MIN(MAX($O316,0),7)+1,"","","","Total Billing: "&amp;CFG_CurrencySymbol&amp;" "&amp;TEXT(PC_TotalFee,"#,##0"),"Total Pending: "&amp;CFG_CurrencySymbol&amp;" "&amp;TEXT(PC_TotalBalance,"#,##0"),"","Office Verification: ____________",""))</f>
        <v/>
      </c>
      <c r="E316" s="53">
        <f>IF($N316&lt;&gt;"",INDEX(tblBilling[VLAN ID],$N316),"")</f>
        <v/>
      </c>
      <c r="F316" s="52">
        <f>IF($N316&lt;&gt;"",INDEX(tblBilling[Due Date],$N316),"")</f>
        <v/>
      </c>
      <c r="G316" s="54">
        <f>IF($N316&lt;&gt;"",INDEX(tblBilling[Monthly Fee],$N316),IF($O316=1,PC_TotalFee,""))</f>
        <v/>
      </c>
      <c r="H316" s="54">
        <f>IF($N316&lt;&gt;"",INDEX(tblBilling[Amount Paid],$N316),IF($O316=1,PC_TotalPaid,""))</f>
        <v/>
      </c>
      <c r="I316" s="54">
        <f>IF($N316&lt;&gt;"",INDEX(tblBilling[Balance],$N316),IF($O316=1,PC_TotalBalance,""))</f>
        <v/>
      </c>
      <c r="J316" s="53">
        <f>IF($N316&lt;&gt;"",INDEX(tblBilling[Payment Status],$N316),"")</f>
        <v/>
      </c>
      <c r="K316" s="55">
        <f>IF($N316&lt;&gt;"",IF(INDEX(tblBilling[Last Payment Date],$N316)="","",INDEX(tblBilling[Last Payment Date],$N316)),"")</f>
        <v/>
      </c>
      <c r="L316" s="53">
        <f>IF($N316&lt;&gt;"",INDEX(tblBilling[Collector Name],$N316),"")</f>
        <v/>
      </c>
      <c r="N316">
        <f>IF(N315="","",IFERROR(N315+MATCH(1,INDEX(tblBilling[Print Match],N315+1):INDEX(tblBilling[Print Match],ROWS(tblBilling[Print Match])),0),""))</f>
        <v/>
      </c>
      <c r="O316">
        <f>ROW()-9-MIN(PC_Count,500)</f>
        <v/>
      </c>
    </row>
    <row r="317" ht="20" customHeight="1">
      <c r="A317" s="52">
        <f>IF($N317="","",ROW()-9)</f>
        <v/>
      </c>
      <c r="B317" s="53">
        <f>IF($N317&lt;&gt;"",INDEX(tblBilling[Customer ID],$N317),"")</f>
        <v/>
      </c>
      <c r="C317" s="53">
        <f>IF($N317&lt;&gt;"",INDEX(tblBilling[Customer Name],$N317),CHOOSE(MIN(MAX($O317,0),7)+1,"","TOTAL","","Total Customers: "&amp;PC_Count,"Total Recovered: "&amp;CFG_CurrencySymbol&amp;" "&amp;TEXT(PC_TotalPaid,"#,##0"),"","Collector Signature: ____________",""))</f>
        <v/>
      </c>
      <c r="D317" s="53">
        <f>IF($N317&lt;&gt;"",INDEX(tblBilling[Full Address],$N317),CHOOSE(MIN(MAX($O317,0),7)+1,"","","","Total Billing: "&amp;CFG_CurrencySymbol&amp;" "&amp;TEXT(PC_TotalFee,"#,##0"),"Total Pending: "&amp;CFG_CurrencySymbol&amp;" "&amp;TEXT(PC_TotalBalance,"#,##0"),"","Office Verification: ____________",""))</f>
        <v/>
      </c>
      <c r="E317" s="53">
        <f>IF($N317&lt;&gt;"",INDEX(tblBilling[VLAN ID],$N317),"")</f>
        <v/>
      </c>
      <c r="F317" s="52">
        <f>IF($N317&lt;&gt;"",INDEX(tblBilling[Due Date],$N317),"")</f>
        <v/>
      </c>
      <c r="G317" s="54">
        <f>IF($N317&lt;&gt;"",INDEX(tblBilling[Monthly Fee],$N317),IF($O317=1,PC_TotalFee,""))</f>
        <v/>
      </c>
      <c r="H317" s="54">
        <f>IF($N317&lt;&gt;"",INDEX(tblBilling[Amount Paid],$N317),IF($O317=1,PC_TotalPaid,""))</f>
        <v/>
      </c>
      <c r="I317" s="54">
        <f>IF($N317&lt;&gt;"",INDEX(tblBilling[Balance],$N317),IF($O317=1,PC_TotalBalance,""))</f>
        <v/>
      </c>
      <c r="J317" s="53">
        <f>IF($N317&lt;&gt;"",INDEX(tblBilling[Payment Status],$N317),"")</f>
        <v/>
      </c>
      <c r="K317" s="55">
        <f>IF($N317&lt;&gt;"",IF(INDEX(tblBilling[Last Payment Date],$N317)="","",INDEX(tblBilling[Last Payment Date],$N317)),"")</f>
        <v/>
      </c>
      <c r="L317" s="53">
        <f>IF($N317&lt;&gt;"",INDEX(tblBilling[Collector Name],$N317),"")</f>
        <v/>
      </c>
      <c r="N317">
        <f>IF(N316="","",IFERROR(N316+MATCH(1,INDEX(tblBilling[Print Match],N316+1):INDEX(tblBilling[Print Match],ROWS(tblBilling[Print Match])),0),""))</f>
        <v/>
      </c>
      <c r="O317">
        <f>ROW()-9-MIN(PC_Count,500)</f>
        <v/>
      </c>
    </row>
    <row r="318" ht="20" customHeight="1">
      <c r="A318" s="52">
        <f>IF($N318="","",ROW()-9)</f>
        <v/>
      </c>
      <c r="B318" s="53">
        <f>IF($N318&lt;&gt;"",INDEX(tblBilling[Customer ID],$N318),"")</f>
        <v/>
      </c>
      <c r="C318" s="53">
        <f>IF($N318&lt;&gt;"",INDEX(tblBilling[Customer Name],$N318),CHOOSE(MIN(MAX($O318,0),7)+1,"","TOTAL","","Total Customers: "&amp;PC_Count,"Total Recovered: "&amp;CFG_CurrencySymbol&amp;" "&amp;TEXT(PC_TotalPaid,"#,##0"),"","Collector Signature: ____________",""))</f>
        <v/>
      </c>
      <c r="D318" s="53">
        <f>IF($N318&lt;&gt;"",INDEX(tblBilling[Full Address],$N318),CHOOSE(MIN(MAX($O318,0),7)+1,"","","","Total Billing: "&amp;CFG_CurrencySymbol&amp;" "&amp;TEXT(PC_TotalFee,"#,##0"),"Total Pending: "&amp;CFG_CurrencySymbol&amp;" "&amp;TEXT(PC_TotalBalance,"#,##0"),"","Office Verification: ____________",""))</f>
        <v/>
      </c>
      <c r="E318" s="53">
        <f>IF($N318&lt;&gt;"",INDEX(tblBilling[VLAN ID],$N318),"")</f>
        <v/>
      </c>
      <c r="F318" s="52">
        <f>IF($N318&lt;&gt;"",INDEX(tblBilling[Due Date],$N318),"")</f>
        <v/>
      </c>
      <c r="G318" s="54">
        <f>IF($N318&lt;&gt;"",INDEX(tblBilling[Monthly Fee],$N318),IF($O318=1,PC_TotalFee,""))</f>
        <v/>
      </c>
      <c r="H318" s="54">
        <f>IF($N318&lt;&gt;"",INDEX(tblBilling[Amount Paid],$N318),IF($O318=1,PC_TotalPaid,""))</f>
        <v/>
      </c>
      <c r="I318" s="54">
        <f>IF($N318&lt;&gt;"",INDEX(tblBilling[Balance],$N318),IF($O318=1,PC_TotalBalance,""))</f>
        <v/>
      </c>
      <c r="J318" s="53">
        <f>IF($N318&lt;&gt;"",INDEX(tblBilling[Payment Status],$N318),"")</f>
        <v/>
      </c>
      <c r="K318" s="55">
        <f>IF($N318&lt;&gt;"",IF(INDEX(tblBilling[Last Payment Date],$N318)="","",INDEX(tblBilling[Last Payment Date],$N318)),"")</f>
        <v/>
      </c>
      <c r="L318" s="53">
        <f>IF($N318&lt;&gt;"",INDEX(tblBilling[Collector Name],$N318),"")</f>
        <v/>
      </c>
      <c r="N318">
        <f>IF(N317="","",IFERROR(N317+MATCH(1,INDEX(tblBilling[Print Match],N317+1):INDEX(tblBilling[Print Match],ROWS(tblBilling[Print Match])),0),""))</f>
        <v/>
      </c>
      <c r="O318">
        <f>ROW()-9-MIN(PC_Count,500)</f>
        <v/>
      </c>
    </row>
    <row r="319" ht="20" customHeight="1">
      <c r="A319" s="52">
        <f>IF($N319="","",ROW()-9)</f>
        <v/>
      </c>
      <c r="B319" s="53">
        <f>IF($N319&lt;&gt;"",INDEX(tblBilling[Customer ID],$N319),"")</f>
        <v/>
      </c>
      <c r="C319" s="53">
        <f>IF($N319&lt;&gt;"",INDEX(tblBilling[Customer Name],$N319),CHOOSE(MIN(MAX($O319,0),7)+1,"","TOTAL","","Total Customers: "&amp;PC_Count,"Total Recovered: "&amp;CFG_CurrencySymbol&amp;" "&amp;TEXT(PC_TotalPaid,"#,##0"),"","Collector Signature: ____________",""))</f>
        <v/>
      </c>
      <c r="D319" s="53">
        <f>IF($N319&lt;&gt;"",INDEX(tblBilling[Full Address],$N319),CHOOSE(MIN(MAX($O319,0),7)+1,"","","","Total Billing: "&amp;CFG_CurrencySymbol&amp;" "&amp;TEXT(PC_TotalFee,"#,##0"),"Total Pending: "&amp;CFG_CurrencySymbol&amp;" "&amp;TEXT(PC_TotalBalance,"#,##0"),"","Office Verification: ____________",""))</f>
        <v/>
      </c>
      <c r="E319" s="53">
        <f>IF($N319&lt;&gt;"",INDEX(tblBilling[VLAN ID],$N319),"")</f>
        <v/>
      </c>
      <c r="F319" s="52">
        <f>IF($N319&lt;&gt;"",INDEX(tblBilling[Due Date],$N319),"")</f>
        <v/>
      </c>
      <c r="G319" s="54">
        <f>IF($N319&lt;&gt;"",INDEX(tblBilling[Monthly Fee],$N319),IF($O319=1,PC_TotalFee,""))</f>
        <v/>
      </c>
      <c r="H319" s="54">
        <f>IF($N319&lt;&gt;"",INDEX(tblBilling[Amount Paid],$N319),IF($O319=1,PC_TotalPaid,""))</f>
        <v/>
      </c>
      <c r="I319" s="54">
        <f>IF($N319&lt;&gt;"",INDEX(tblBilling[Balance],$N319),IF($O319=1,PC_TotalBalance,""))</f>
        <v/>
      </c>
      <c r="J319" s="53">
        <f>IF($N319&lt;&gt;"",INDEX(tblBilling[Payment Status],$N319),"")</f>
        <v/>
      </c>
      <c r="K319" s="55">
        <f>IF($N319&lt;&gt;"",IF(INDEX(tblBilling[Last Payment Date],$N319)="","",INDEX(tblBilling[Last Payment Date],$N319)),"")</f>
        <v/>
      </c>
      <c r="L319" s="53">
        <f>IF($N319&lt;&gt;"",INDEX(tblBilling[Collector Name],$N319),"")</f>
        <v/>
      </c>
      <c r="N319">
        <f>IF(N318="","",IFERROR(N318+MATCH(1,INDEX(tblBilling[Print Match],N318+1):INDEX(tblBilling[Print Match],ROWS(tblBilling[Print Match])),0),""))</f>
        <v/>
      </c>
      <c r="O319">
        <f>ROW()-9-MIN(PC_Count,500)</f>
        <v/>
      </c>
    </row>
    <row r="320" ht="20" customHeight="1">
      <c r="A320" s="52">
        <f>IF($N320="","",ROW()-9)</f>
        <v/>
      </c>
      <c r="B320" s="53">
        <f>IF($N320&lt;&gt;"",INDEX(tblBilling[Customer ID],$N320),"")</f>
        <v/>
      </c>
      <c r="C320" s="53">
        <f>IF($N320&lt;&gt;"",INDEX(tblBilling[Customer Name],$N320),CHOOSE(MIN(MAX($O320,0),7)+1,"","TOTAL","","Total Customers: "&amp;PC_Count,"Total Recovered: "&amp;CFG_CurrencySymbol&amp;" "&amp;TEXT(PC_TotalPaid,"#,##0"),"","Collector Signature: ____________",""))</f>
        <v/>
      </c>
      <c r="D320" s="53">
        <f>IF($N320&lt;&gt;"",INDEX(tblBilling[Full Address],$N320),CHOOSE(MIN(MAX($O320,0),7)+1,"","","","Total Billing: "&amp;CFG_CurrencySymbol&amp;" "&amp;TEXT(PC_TotalFee,"#,##0"),"Total Pending: "&amp;CFG_CurrencySymbol&amp;" "&amp;TEXT(PC_TotalBalance,"#,##0"),"","Office Verification: ____________",""))</f>
        <v/>
      </c>
      <c r="E320" s="53">
        <f>IF($N320&lt;&gt;"",INDEX(tblBilling[VLAN ID],$N320),"")</f>
        <v/>
      </c>
      <c r="F320" s="52">
        <f>IF($N320&lt;&gt;"",INDEX(tblBilling[Due Date],$N320),"")</f>
        <v/>
      </c>
      <c r="G320" s="54">
        <f>IF($N320&lt;&gt;"",INDEX(tblBilling[Monthly Fee],$N320),IF($O320=1,PC_TotalFee,""))</f>
        <v/>
      </c>
      <c r="H320" s="54">
        <f>IF($N320&lt;&gt;"",INDEX(tblBilling[Amount Paid],$N320),IF($O320=1,PC_TotalPaid,""))</f>
        <v/>
      </c>
      <c r="I320" s="54">
        <f>IF($N320&lt;&gt;"",INDEX(tblBilling[Balance],$N320),IF($O320=1,PC_TotalBalance,""))</f>
        <v/>
      </c>
      <c r="J320" s="53">
        <f>IF($N320&lt;&gt;"",INDEX(tblBilling[Payment Status],$N320),"")</f>
        <v/>
      </c>
      <c r="K320" s="55">
        <f>IF($N320&lt;&gt;"",IF(INDEX(tblBilling[Last Payment Date],$N320)="","",INDEX(tblBilling[Last Payment Date],$N320)),"")</f>
        <v/>
      </c>
      <c r="L320" s="53">
        <f>IF($N320&lt;&gt;"",INDEX(tblBilling[Collector Name],$N320),"")</f>
        <v/>
      </c>
      <c r="N320">
        <f>IF(N319="","",IFERROR(N319+MATCH(1,INDEX(tblBilling[Print Match],N319+1):INDEX(tblBilling[Print Match],ROWS(tblBilling[Print Match])),0),""))</f>
        <v/>
      </c>
      <c r="O320">
        <f>ROW()-9-MIN(PC_Count,500)</f>
        <v/>
      </c>
    </row>
    <row r="321" ht="20" customHeight="1">
      <c r="A321" s="52">
        <f>IF($N321="","",ROW()-9)</f>
        <v/>
      </c>
      <c r="B321" s="53">
        <f>IF($N321&lt;&gt;"",INDEX(tblBilling[Customer ID],$N321),"")</f>
        <v/>
      </c>
      <c r="C321" s="53">
        <f>IF($N321&lt;&gt;"",INDEX(tblBilling[Customer Name],$N321),CHOOSE(MIN(MAX($O321,0),7)+1,"","TOTAL","","Total Customers: "&amp;PC_Count,"Total Recovered: "&amp;CFG_CurrencySymbol&amp;" "&amp;TEXT(PC_TotalPaid,"#,##0"),"","Collector Signature: ____________",""))</f>
        <v/>
      </c>
      <c r="D321" s="53">
        <f>IF($N321&lt;&gt;"",INDEX(tblBilling[Full Address],$N321),CHOOSE(MIN(MAX($O321,0),7)+1,"","","","Total Billing: "&amp;CFG_CurrencySymbol&amp;" "&amp;TEXT(PC_TotalFee,"#,##0"),"Total Pending: "&amp;CFG_CurrencySymbol&amp;" "&amp;TEXT(PC_TotalBalance,"#,##0"),"","Office Verification: ____________",""))</f>
        <v/>
      </c>
      <c r="E321" s="53">
        <f>IF($N321&lt;&gt;"",INDEX(tblBilling[VLAN ID],$N321),"")</f>
        <v/>
      </c>
      <c r="F321" s="52">
        <f>IF($N321&lt;&gt;"",INDEX(tblBilling[Due Date],$N321),"")</f>
        <v/>
      </c>
      <c r="G321" s="54">
        <f>IF($N321&lt;&gt;"",INDEX(tblBilling[Monthly Fee],$N321),IF($O321=1,PC_TotalFee,""))</f>
        <v/>
      </c>
      <c r="H321" s="54">
        <f>IF($N321&lt;&gt;"",INDEX(tblBilling[Amount Paid],$N321),IF($O321=1,PC_TotalPaid,""))</f>
        <v/>
      </c>
      <c r="I321" s="54">
        <f>IF($N321&lt;&gt;"",INDEX(tblBilling[Balance],$N321),IF($O321=1,PC_TotalBalance,""))</f>
        <v/>
      </c>
      <c r="J321" s="53">
        <f>IF($N321&lt;&gt;"",INDEX(tblBilling[Payment Status],$N321),"")</f>
        <v/>
      </c>
      <c r="K321" s="55">
        <f>IF($N321&lt;&gt;"",IF(INDEX(tblBilling[Last Payment Date],$N321)="","",INDEX(tblBilling[Last Payment Date],$N321)),"")</f>
        <v/>
      </c>
      <c r="L321" s="53">
        <f>IF($N321&lt;&gt;"",INDEX(tblBilling[Collector Name],$N321),"")</f>
        <v/>
      </c>
      <c r="N321">
        <f>IF(N320="","",IFERROR(N320+MATCH(1,INDEX(tblBilling[Print Match],N320+1):INDEX(tblBilling[Print Match],ROWS(tblBilling[Print Match])),0),""))</f>
        <v/>
      </c>
      <c r="O321">
        <f>ROW()-9-MIN(PC_Count,500)</f>
        <v/>
      </c>
    </row>
    <row r="322" ht="20" customHeight="1">
      <c r="A322" s="52">
        <f>IF($N322="","",ROW()-9)</f>
        <v/>
      </c>
      <c r="B322" s="53">
        <f>IF($N322&lt;&gt;"",INDEX(tblBilling[Customer ID],$N322),"")</f>
        <v/>
      </c>
      <c r="C322" s="53">
        <f>IF($N322&lt;&gt;"",INDEX(tblBilling[Customer Name],$N322),CHOOSE(MIN(MAX($O322,0),7)+1,"","TOTAL","","Total Customers: "&amp;PC_Count,"Total Recovered: "&amp;CFG_CurrencySymbol&amp;" "&amp;TEXT(PC_TotalPaid,"#,##0"),"","Collector Signature: ____________",""))</f>
        <v/>
      </c>
      <c r="D322" s="53">
        <f>IF($N322&lt;&gt;"",INDEX(tblBilling[Full Address],$N322),CHOOSE(MIN(MAX($O322,0),7)+1,"","","","Total Billing: "&amp;CFG_CurrencySymbol&amp;" "&amp;TEXT(PC_TotalFee,"#,##0"),"Total Pending: "&amp;CFG_CurrencySymbol&amp;" "&amp;TEXT(PC_TotalBalance,"#,##0"),"","Office Verification: ____________",""))</f>
        <v/>
      </c>
      <c r="E322" s="53">
        <f>IF($N322&lt;&gt;"",INDEX(tblBilling[VLAN ID],$N322),"")</f>
        <v/>
      </c>
      <c r="F322" s="52">
        <f>IF($N322&lt;&gt;"",INDEX(tblBilling[Due Date],$N322),"")</f>
        <v/>
      </c>
      <c r="G322" s="54">
        <f>IF($N322&lt;&gt;"",INDEX(tblBilling[Monthly Fee],$N322),IF($O322=1,PC_TotalFee,""))</f>
        <v/>
      </c>
      <c r="H322" s="54">
        <f>IF($N322&lt;&gt;"",INDEX(tblBilling[Amount Paid],$N322),IF($O322=1,PC_TotalPaid,""))</f>
        <v/>
      </c>
      <c r="I322" s="54">
        <f>IF($N322&lt;&gt;"",INDEX(tblBilling[Balance],$N322),IF($O322=1,PC_TotalBalance,""))</f>
        <v/>
      </c>
      <c r="J322" s="53">
        <f>IF($N322&lt;&gt;"",INDEX(tblBilling[Payment Status],$N322),"")</f>
        <v/>
      </c>
      <c r="K322" s="55">
        <f>IF($N322&lt;&gt;"",IF(INDEX(tblBilling[Last Payment Date],$N322)="","",INDEX(tblBilling[Last Payment Date],$N322)),"")</f>
        <v/>
      </c>
      <c r="L322" s="53">
        <f>IF($N322&lt;&gt;"",INDEX(tblBilling[Collector Name],$N322),"")</f>
        <v/>
      </c>
      <c r="N322">
        <f>IF(N321="","",IFERROR(N321+MATCH(1,INDEX(tblBilling[Print Match],N321+1):INDEX(tblBilling[Print Match],ROWS(tblBilling[Print Match])),0),""))</f>
        <v/>
      </c>
      <c r="O322">
        <f>ROW()-9-MIN(PC_Count,500)</f>
        <v/>
      </c>
    </row>
    <row r="323" ht="20" customHeight="1">
      <c r="A323" s="52">
        <f>IF($N323="","",ROW()-9)</f>
        <v/>
      </c>
      <c r="B323" s="53">
        <f>IF($N323&lt;&gt;"",INDEX(tblBilling[Customer ID],$N323),"")</f>
        <v/>
      </c>
      <c r="C323" s="53">
        <f>IF($N323&lt;&gt;"",INDEX(tblBilling[Customer Name],$N323),CHOOSE(MIN(MAX($O323,0),7)+1,"","TOTAL","","Total Customers: "&amp;PC_Count,"Total Recovered: "&amp;CFG_CurrencySymbol&amp;" "&amp;TEXT(PC_TotalPaid,"#,##0"),"","Collector Signature: ____________",""))</f>
        <v/>
      </c>
      <c r="D323" s="53">
        <f>IF($N323&lt;&gt;"",INDEX(tblBilling[Full Address],$N323),CHOOSE(MIN(MAX($O323,0),7)+1,"","","","Total Billing: "&amp;CFG_CurrencySymbol&amp;" "&amp;TEXT(PC_TotalFee,"#,##0"),"Total Pending: "&amp;CFG_CurrencySymbol&amp;" "&amp;TEXT(PC_TotalBalance,"#,##0"),"","Office Verification: ____________",""))</f>
        <v/>
      </c>
      <c r="E323" s="53">
        <f>IF($N323&lt;&gt;"",INDEX(tblBilling[VLAN ID],$N323),"")</f>
        <v/>
      </c>
      <c r="F323" s="52">
        <f>IF($N323&lt;&gt;"",INDEX(tblBilling[Due Date],$N323),"")</f>
        <v/>
      </c>
      <c r="G323" s="54">
        <f>IF($N323&lt;&gt;"",INDEX(tblBilling[Monthly Fee],$N323),IF($O323=1,PC_TotalFee,""))</f>
        <v/>
      </c>
      <c r="H323" s="54">
        <f>IF($N323&lt;&gt;"",INDEX(tblBilling[Amount Paid],$N323),IF($O323=1,PC_TotalPaid,""))</f>
        <v/>
      </c>
      <c r="I323" s="54">
        <f>IF($N323&lt;&gt;"",INDEX(tblBilling[Balance],$N323),IF($O323=1,PC_TotalBalance,""))</f>
        <v/>
      </c>
      <c r="J323" s="53">
        <f>IF($N323&lt;&gt;"",INDEX(tblBilling[Payment Status],$N323),"")</f>
        <v/>
      </c>
      <c r="K323" s="55">
        <f>IF($N323&lt;&gt;"",IF(INDEX(tblBilling[Last Payment Date],$N323)="","",INDEX(tblBilling[Last Payment Date],$N323)),"")</f>
        <v/>
      </c>
      <c r="L323" s="53">
        <f>IF($N323&lt;&gt;"",INDEX(tblBilling[Collector Name],$N323),"")</f>
        <v/>
      </c>
      <c r="N323">
        <f>IF(N322="","",IFERROR(N322+MATCH(1,INDEX(tblBilling[Print Match],N322+1):INDEX(tblBilling[Print Match],ROWS(tblBilling[Print Match])),0),""))</f>
        <v/>
      </c>
      <c r="O323">
        <f>ROW()-9-MIN(PC_Count,500)</f>
        <v/>
      </c>
    </row>
    <row r="324" ht="20" customHeight="1">
      <c r="A324" s="52">
        <f>IF($N324="","",ROW()-9)</f>
        <v/>
      </c>
      <c r="B324" s="53">
        <f>IF($N324&lt;&gt;"",INDEX(tblBilling[Customer ID],$N324),"")</f>
        <v/>
      </c>
      <c r="C324" s="53">
        <f>IF($N324&lt;&gt;"",INDEX(tblBilling[Customer Name],$N324),CHOOSE(MIN(MAX($O324,0),7)+1,"","TOTAL","","Total Customers: "&amp;PC_Count,"Total Recovered: "&amp;CFG_CurrencySymbol&amp;" "&amp;TEXT(PC_TotalPaid,"#,##0"),"","Collector Signature: ____________",""))</f>
        <v/>
      </c>
      <c r="D324" s="53">
        <f>IF($N324&lt;&gt;"",INDEX(tblBilling[Full Address],$N324),CHOOSE(MIN(MAX($O324,0),7)+1,"","","","Total Billing: "&amp;CFG_CurrencySymbol&amp;" "&amp;TEXT(PC_TotalFee,"#,##0"),"Total Pending: "&amp;CFG_CurrencySymbol&amp;" "&amp;TEXT(PC_TotalBalance,"#,##0"),"","Office Verification: ____________",""))</f>
        <v/>
      </c>
      <c r="E324" s="53">
        <f>IF($N324&lt;&gt;"",INDEX(tblBilling[VLAN ID],$N324),"")</f>
        <v/>
      </c>
      <c r="F324" s="52">
        <f>IF($N324&lt;&gt;"",INDEX(tblBilling[Due Date],$N324),"")</f>
        <v/>
      </c>
      <c r="G324" s="54">
        <f>IF($N324&lt;&gt;"",INDEX(tblBilling[Monthly Fee],$N324),IF($O324=1,PC_TotalFee,""))</f>
        <v/>
      </c>
      <c r="H324" s="54">
        <f>IF($N324&lt;&gt;"",INDEX(tblBilling[Amount Paid],$N324),IF($O324=1,PC_TotalPaid,""))</f>
        <v/>
      </c>
      <c r="I324" s="54">
        <f>IF($N324&lt;&gt;"",INDEX(tblBilling[Balance],$N324),IF($O324=1,PC_TotalBalance,""))</f>
        <v/>
      </c>
      <c r="J324" s="53">
        <f>IF($N324&lt;&gt;"",INDEX(tblBilling[Payment Status],$N324),"")</f>
        <v/>
      </c>
      <c r="K324" s="55">
        <f>IF($N324&lt;&gt;"",IF(INDEX(tblBilling[Last Payment Date],$N324)="","",INDEX(tblBilling[Last Payment Date],$N324)),"")</f>
        <v/>
      </c>
      <c r="L324" s="53">
        <f>IF($N324&lt;&gt;"",INDEX(tblBilling[Collector Name],$N324),"")</f>
        <v/>
      </c>
      <c r="N324">
        <f>IF(N323="","",IFERROR(N323+MATCH(1,INDEX(tblBilling[Print Match],N323+1):INDEX(tblBilling[Print Match],ROWS(tblBilling[Print Match])),0),""))</f>
        <v/>
      </c>
      <c r="O324">
        <f>ROW()-9-MIN(PC_Count,500)</f>
        <v/>
      </c>
    </row>
    <row r="325" ht="20" customHeight="1">
      <c r="A325" s="52">
        <f>IF($N325="","",ROW()-9)</f>
        <v/>
      </c>
      <c r="B325" s="53">
        <f>IF($N325&lt;&gt;"",INDEX(tblBilling[Customer ID],$N325),"")</f>
        <v/>
      </c>
      <c r="C325" s="53">
        <f>IF($N325&lt;&gt;"",INDEX(tblBilling[Customer Name],$N325),CHOOSE(MIN(MAX($O325,0),7)+1,"","TOTAL","","Total Customers: "&amp;PC_Count,"Total Recovered: "&amp;CFG_CurrencySymbol&amp;" "&amp;TEXT(PC_TotalPaid,"#,##0"),"","Collector Signature: ____________",""))</f>
        <v/>
      </c>
      <c r="D325" s="53">
        <f>IF($N325&lt;&gt;"",INDEX(tblBilling[Full Address],$N325),CHOOSE(MIN(MAX($O325,0),7)+1,"","","","Total Billing: "&amp;CFG_CurrencySymbol&amp;" "&amp;TEXT(PC_TotalFee,"#,##0"),"Total Pending: "&amp;CFG_CurrencySymbol&amp;" "&amp;TEXT(PC_TotalBalance,"#,##0"),"","Office Verification: ____________",""))</f>
        <v/>
      </c>
      <c r="E325" s="53">
        <f>IF($N325&lt;&gt;"",INDEX(tblBilling[VLAN ID],$N325),"")</f>
        <v/>
      </c>
      <c r="F325" s="52">
        <f>IF($N325&lt;&gt;"",INDEX(tblBilling[Due Date],$N325),"")</f>
        <v/>
      </c>
      <c r="G325" s="54">
        <f>IF($N325&lt;&gt;"",INDEX(tblBilling[Monthly Fee],$N325),IF($O325=1,PC_TotalFee,""))</f>
        <v/>
      </c>
      <c r="H325" s="54">
        <f>IF($N325&lt;&gt;"",INDEX(tblBilling[Amount Paid],$N325),IF($O325=1,PC_TotalPaid,""))</f>
        <v/>
      </c>
      <c r="I325" s="54">
        <f>IF($N325&lt;&gt;"",INDEX(tblBilling[Balance],$N325),IF($O325=1,PC_TotalBalance,""))</f>
        <v/>
      </c>
      <c r="J325" s="53">
        <f>IF($N325&lt;&gt;"",INDEX(tblBilling[Payment Status],$N325),"")</f>
        <v/>
      </c>
      <c r="K325" s="55">
        <f>IF($N325&lt;&gt;"",IF(INDEX(tblBilling[Last Payment Date],$N325)="","",INDEX(tblBilling[Last Payment Date],$N325)),"")</f>
        <v/>
      </c>
      <c r="L325" s="53">
        <f>IF($N325&lt;&gt;"",INDEX(tblBilling[Collector Name],$N325),"")</f>
        <v/>
      </c>
      <c r="N325">
        <f>IF(N324="","",IFERROR(N324+MATCH(1,INDEX(tblBilling[Print Match],N324+1):INDEX(tblBilling[Print Match],ROWS(tblBilling[Print Match])),0),""))</f>
        <v/>
      </c>
      <c r="O325">
        <f>ROW()-9-MIN(PC_Count,500)</f>
        <v/>
      </c>
    </row>
    <row r="326" ht="20" customHeight="1">
      <c r="A326" s="52">
        <f>IF($N326="","",ROW()-9)</f>
        <v/>
      </c>
      <c r="B326" s="53">
        <f>IF($N326&lt;&gt;"",INDEX(tblBilling[Customer ID],$N326),"")</f>
        <v/>
      </c>
      <c r="C326" s="53">
        <f>IF($N326&lt;&gt;"",INDEX(tblBilling[Customer Name],$N326),CHOOSE(MIN(MAX($O326,0),7)+1,"","TOTAL","","Total Customers: "&amp;PC_Count,"Total Recovered: "&amp;CFG_CurrencySymbol&amp;" "&amp;TEXT(PC_TotalPaid,"#,##0"),"","Collector Signature: ____________",""))</f>
        <v/>
      </c>
      <c r="D326" s="53">
        <f>IF($N326&lt;&gt;"",INDEX(tblBilling[Full Address],$N326),CHOOSE(MIN(MAX($O326,0),7)+1,"","","","Total Billing: "&amp;CFG_CurrencySymbol&amp;" "&amp;TEXT(PC_TotalFee,"#,##0"),"Total Pending: "&amp;CFG_CurrencySymbol&amp;" "&amp;TEXT(PC_TotalBalance,"#,##0"),"","Office Verification: ____________",""))</f>
        <v/>
      </c>
      <c r="E326" s="53">
        <f>IF($N326&lt;&gt;"",INDEX(tblBilling[VLAN ID],$N326),"")</f>
        <v/>
      </c>
      <c r="F326" s="52">
        <f>IF($N326&lt;&gt;"",INDEX(tblBilling[Due Date],$N326),"")</f>
        <v/>
      </c>
      <c r="G326" s="54">
        <f>IF($N326&lt;&gt;"",INDEX(tblBilling[Monthly Fee],$N326),IF($O326=1,PC_TotalFee,""))</f>
        <v/>
      </c>
      <c r="H326" s="54">
        <f>IF($N326&lt;&gt;"",INDEX(tblBilling[Amount Paid],$N326),IF($O326=1,PC_TotalPaid,""))</f>
        <v/>
      </c>
      <c r="I326" s="54">
        <f>IF($N326&lt;&gt;"",INDEX(tblBilling[Balance],$N326),IF($O326=1,PC_TotalBalance,""))</f>
        <v/>
      </c>
      <c r="J326" s="53">
        <f>IF($N326&lt;&gt;"",INDEX(tblBilling[Payment Status],$N326),"")</f>
        <v/>
      </c>
      <c r="K326" s="55">
        <f>IF($N326&lt;&gt;"",IF(INDEX(tblBilling[Last Payment Date],$N326)="","",INDEX(tblBilling[Last Payment Date],$N326)),"")</f>
        <v/>
      </c>
      <c r="L326" s="53">
        <f>IF($N326&lt;&gt;"",INDEX(tblBilling[Collector Name],$N326),"")</f>
        <v/>
      </c>
      <c r="N326">
        <f>IF(N325="","",IFERROR(N325+MATCH(1,INDEX(tblBilling[Print Match],N325+1):INDEX(tblBilling[Print Match],ROWS(tblBilling[Print Match])),0),""))</f>
        <v/>
      </c>
      <c r="O326">
        <f>ROW()-9-MIN(PC_Count,500)</f>
        <v/>
      </c>
    </row>
    <row r="327" ht="20" customHeight="1">
      <c r="A327" s="52">
        <f>IF($N327="","",ROW()-9)</f>
        <v/>
      </c>
      <c r="B327" s="53">
        <f>IF($N327&lt;&gt;"",INDEX(tblBilling[Customer ID],$N327),"")</f>
        <v/>
      </c>
      <c r="C327" s="53">
        <f>IF($N327&lt;&gt;"",INDEX(tblBilling[Customer Name],$N327),CHOOSE(MIN(MAX($O327,0),7)+1,"","TOTAL","","Total Customers: "&amp;PC_Count,"Total Recovered: "&amp;CFG_CurrencySymbol&amp;" "&amp;TEXT(PC_TotalPaid,"#,##0"),"","Collector Signature: ____________",""))</f>
        <v/>
      </c>
      <c r="D327" s="53">
        <f>IF($N327&lt;&gt;"",INDEX(tblBilling[Full Address],$N327),CHOOSE(MIN(MAX($O327,0),7)+1,"","","","Total Billing: "&amp;CFG_CurrencySymbol&amp;" "&amp;TEXT(PC_TotalFee,"#,##0"),"Total Pending: "&amp;CFG_CurrencySymbol&amp;" "&amp;TEXT(PC_TotalBalance,"#,##0"),"","Office Verification: ____________",""))</f>
        <v/>
      </c>
      <c r="E327" s="53">
        <f>IF($N327&lt;&gt;"",INDEX(tblBilling[VLAN ID],$N327),"")</f>
        <v/>
      </c>
      <c r="F327" s="52">
        <f>IF($N327&lt;&gt;"",INDEX(tblBilling[Due Date],$N327),"")</f>
        <v/>
      </c>
      <c r="G327" s="54">
        <f>IF($N327&lt;&gt;"",INDEX(tblBilling[Monthly Fee],$N327),IF($O327=1,PC_TotalFee,""))</f>
        <v/>
      </c>
      <c r="H327" s="54">
        <f>IF($N327&lt;&gt;"",INDEX(tblBilling[Amount Paid],$N327),IF($O327=1,PC_TotalPaid,""))</f>
        <v/>
      </c>
      <c r="I327" s="54">
        <f>IF($N327&lt;&gt;"",INDEX(tblBilling[Balance],$N327),IF($O327=1,PC_TotalBalance,""))</f>
        <v/>
      </c>
      <c r="J327" s="53">
        <f>IF($N327&lt;&gt;"",INDEX(tblBilling[Payment Status],$N327),"")</f>
        <v/>
      </c>
      <c r="K327" s="55">
        <f>IF($N327&lt;&gt;"",IF(INDEX(tblBilling[Last Payment Date],$N327)="","",INDEX(tblBilling[Last Payment Date],$N327)),"")</f>
        <v/>
      </c>
      <c r="L327" s="53">
        <f>IF($N327&lt;&gt;"",INDEX(tblBilling[Collector Name],$N327),"")</f>
        <v/>
      </c>
      <c r="N327">
        <f>IF(N326="","",IFERROR(N326+MATCH(1,INDEX(tblBilling[Print Match],N326+1):INDEX(tblBilling[Print Match],ROWS(tblBilling[Print Match])),0),""))</f>
        <v/>
      </c>
      <c r="O327">
        <f>ROW()-9-MIN(PC_Count,500)</f>
        <v/>
      </c>
    </row>
    <row r="328" ht="20" customHeight="1">
      <c r="A328" s="52">
        <f>IF($N328="","",ROW()-9)</f>
        <v/>
      </c>
      <c r="B328" s="53">
        <f>IF($N328&lt;&gt;"",INDEX(tblBilling[Customer ID],$N328),"")</f>
        <v/>
      </c>
      <c r="C328" s="53">
        <f>IF($N328&lt;&gt;"",INDEX(tblBilling[Customer Name],$N328),CHOOSE(MIN(MAX($O328,0),7)+1,"","TOTAL","","Total Customers: "&amp;PC_Count,"Total Recovered: "&amp;CFG_CurrencySymbol&amp;" "&amp;TEXT(PC_TotalPaid,"#,##0"),"","Collector Signature: ____________",""))</f>
        <v/>
      </c>
      <c r="D328" s="53">
        <f>IF($N328&lt;&gt;"",INDEX(tblBilling[Full Address],$N328),CHOOSE(MIN(MAX($O328,0),7)+1,"","","","Total Billing: "&amp;CFG_CurrencySymbol&amp;" "&amp;TEXT(PC_TotalFee,"#,##0"),"Total Pending: "&amp;CFG_CurrencySymbol&amp;" "&amp;TEXT(PC_TotalBalance,"#,##0"),"","Office Verification: ____________",""))</f>
        <v/>
      </c>
      <c r="E328" s="53">
        <f>IF($N328&lt;&gt;"",INDEX(tblBilling[VLAN ID],$N328),"")</f>
        <v/>
      </c>
      <c r="F328" s="52">
        <f>IF($N328&lt;&gt;"",INDEX(tblBilling[Due Date],$N328),"")</f>
        <v/>
      </c>
      <c r="G328" s="54">
        <f>IF($N328&lt;&gt;"",INDEX(tblBilling[Monthly Fee],$N328),IF($O328=1,PC_TotalFee,""))</f>
        <v/>
      </c>
      <c r="H328" s="54">
        <f>IF($N328&lt;&gt;"",INDEX(tblBilling[Amount Paid],$N328),IF($O328=1,PC_TotalPaid,""))</f>
        <v/>
      </c>
      <c r="I328" s="54">
        <f>IF($N328&lt;&gt;"",INDEX(tblBilling[Balance],$N328),IF($O328=1,PC_TotalBalance,""))</f>
        <v/>
      </c>
      <c r="J328" s="53">
        <f>IF($N328&lt;&gt;"",INDEX(tblBilling[Payment Status],$N328),"")</f>
        <v/>
      </c>
      <c r="K328" s="55">
        <f>IF($N328&lt;&gt;"",IF(INDEX(tblBilling[Last Payment Date],$N328)="","",INDEX(tblBilling[Last Payment Date],$N328)),"")</f>
        <v/>
      </c>
      <c r="L328" s="53">
        <f>IF($N328&lt;&gt;"",INDEX(tblBilling[Collector Name],$N328),"")</f>
        <v/>
      </c>
      <c r="N328">
        <f>IF(N327="","",IFERROR(N327+MATCH(1,INDEX(tblBilling[Print Match],N327+1):INDEX(tblBilling[Print Match],ROWS(tblBilling[Print Match])),0),""))</f>
        <v/>
      </c>
      <c r="O328">
        <f>ROW()-9-MIN(PC_Count,500)</f>
        <v/>
      </c>
    </row>
    <row r="329" ht="20" customHeight="1">
      <c r="A329" s="52">
        <f>IF($N329="","",ROW()-9)</f>
        <v/>
      </c>
      <c r="B329" s="53">
        <f>IF($N329&lt;&gt;"",INDEX(tblBilling[Customer ID],$N329),"")</f>
        <v/>
      </c>
      <c r="C329" s="53">
        <f>IF($N329&lt;&gt;"",INDEX(tblBilling[Customer Name],$N329),CHOOSE(MIN(MAX($O329,0),7)+1,"","TOTAL","","Total Customers: "&amp;PC_Count,"Total Recovered: "&amp;CFG_CurrencySymbol&amp;" "&amp;TEXT(PC_TotalPaid,"#,##0"),"","Collector Signature: ____________",""))</f>
        <v/>
      </c>
      <c r="D329" s="53">
        <f>IF($N329&lt;&gt;"",INDEX(tblBilling[Full Address],$N329),CHOOSE(MIN(MAX($O329,0),7)+1,"","","","Total Billing: "&amp;CFG_CurrencySymbol&amp;" "&amp;TEXT(PC_TotalFee,"#,##0"),"Total Pending: "&amp;CFG_CurrencySymbol&amp;" "&amp;TEXT(PC_TotalBalance,"#,##0"),"","Office Verification: ____________",""))</f>
        <v/>
      </c>
      <c r="E329" s="53">
        <f>IF($N329&lt;&gt;"",INDEX(tblBilling[VLAN ID],$N329),"")</f>
        <v/>
      </c>
      <c r="F329" s="52">
        <f>IF($N329&lt;&gt;"",INDEX(tblBilling[Due Date],$N329),"")</f>
        <v/>
      </c>
      <c r="G329" s="54">
        <f>IF($N329&lt;&gt;"",INDEX(tblBilling[Monthly Fee],$N329),IF($O329=1,PC_TotalFee,""))</f>
        <v/>
      </c>
      <c r="H329" s="54">
        <f>IF($N329&lt;&gt;"",INDEX(tblBilling[Amount Paid],$N329),IF($O329=1,PC_TotalPaid,""))</f>
        <v/>
      </c>
      <c r="I329" s="54">
        <f>IF($N329&lt;&gt;"",INDEX(tblBilling[Balance],$N329),IF($O329=1,PC_TotalBalance,""))</f>
        <v/>
      </c>
      <c r="J329" s="53">
        <f>IF($N329&lt;&gt;"",INDEX(tblBilling[Payment Status],$N329),"")</f>
        <v/>
      </c>
      <c r="K329" s="55">
        <f>IF($N329&lt;&gt;"",IF(INDEX(tblBilling[Last Payment Date],$N329)="","",INDEX(tblBilling[Last Payment Date],$N329)),"")</f>
        <v/>
      </c>
      <c r="L329" s="53">
        <f>IF($N329&lt;&gt;"",INDEX(tblBilling[Collector Name],$N329),"")</f>
        <v/>
      </c>
      <c r="N329">
        <f>IF(N328="","",IFERROR(N328+MATCH(1,INDEX(tblBilling[Print Match],N328+1):INDEX(tblBilling[Print Match],ROWS(tblBilling[Print Match])),0),""))</f>
        <v/>
      </c>
      <c r="O329">
        <f>ROW()-9-MIN(PC_Count,500)</f>
        <v/>
      </c>
    </row>
    <row r="330" ht="20" customHeight="1">
      <c r="A330" s="52">
        <f>IF($N330="","",ROW()-9)</f>
        <v/>
      </c>
      <c r="B330" s="53">
        <f>IF($N330&lt;&gt;"",INDEX(tblBilling[Customer ID],$N330),"")</f>
        <v/>
      </c>
      <c r="C330" s="53">
        <f>IF($N330&lt;&gt;"",INDEX(tblBilling[Customer Name],$N330),CHOOSE(MIN(MAX($O330,0),7)+1,"","TOTAL","","Total Customers: "&amp;PC_Count,"Total Recovered: "&amp;CFG_CurrencySymbol&amp;" "&amp;TEXT(PC_TotalPaid,"#,##0"),"","Collector Signature: ____________",""))</f>
        <v/>
      </c>
      <c r="D330" s="53">
        <f>IF($N330&lt;&gt;"",INDEX(tblBilling[Full Address],$N330),CHOOSE(MIN(MAX($O330,0),7)+1,"","","","Total Billing: "&amp;CFG_CurrencySymbol&amp;" "&amp;TEXT(PC_TotalFee,"#,##0"),"Total Pending: "&amp;CFG_CurrencySymbol&amp;" "&amp;TEXT(PC_TotalBalance,"#,##0"),"","Office Verification: ____________",""))</f>
        <v/>
      </c>
      <c r="E330" s="53">
        <f>IF($N330&lt;&gt;"",INDEX(tblBilling[VLAN ID],$N330),"")</f>
        <v/>
      </c>
      <c r="F330" s="52">
        <f>IF($N330&lt;&gt;"",INDEX(tblBilling[Due Date],$N330),"")</f>
        <v/>
      </c>
      <c r="G330" s="54">
        <f>IF($N330&lt;&gt;"",INDEX(tblBilling[Monthly Fee],$N330),IF($O330=1,PC_TotalFee,""))</f>
        <v/>
      </c>
      <c r="H330" s="54">
        <f>IF($N330&lt;&gt;"",INDEX(tblBilling[Amount Paid],$N330),IF($O330=1,PC_TotalPaid,""))</f>
        <v/>
      </c>
      <c r="I330" s="54">
        <f>IF($N330&lt;&gt;"",INDEX(tblBilling[Balance],$N330),IF($O330=1,PC_TotalBalance,""))</f>
        <v/>
      </c>
      <c r="J330" s="53">
        <f>IF($N330&lt;&gt;"",INDEX(tblBilling[Payment Status],$N330),"")</f>
        <v/>
      </c>
      <c r="K330" s="55">
        <f>IF($N330&lt;&gt;"",IF(INDEX(tblBilling[Last Payment Date],$N330)="","",INDEX(tblBilling[Last Payment Date],$N330)),"")</f>
        <v/>
      </c>
      <c r="L330" s="53">
        <f>IF($N330&lt;&gt;"",INDEX(tblBilling[Collector Name],$N330),"")</f>
        <v/>
      </c>
      <c r="N330">
        <f>IF(N329="","",IFERROR(N329+MATCH(1,INDEX(tblBilling[Print Match],N329+1):INDEX(tblBilling[Print Match],ROWS(tblBilling[Print Match])),0),""))</f>
        <v/>
      </c>
      <c r="O330">
        <f>ROW()-9-MIN(PC_Count,500)</f>
        <v/>
      </c>
    </row>
    <row r="331" ht="20" customHeight="1">
      <c r="A331" s="52">
        <f>IF($N331="","",ROW()-9)</f>
        <v/>
      </c>
      <c r="B331" s="53">
        <f>IF($N331&lt;&gt;"",INDEX(tblBilling[Customer ID],$N331),"")</f>
        <v/>
      </c>
      <c r="C331" s="53">
        <f>IF($N331&lt;&gt;"",INDEX(tblBilling[Customer Name],$N331),CHOOSE(MIN(MAX($O331,0),7)+1,"","TOTAL","","Total Customers: "&amp;PC_Count,"Total Recovered: "&amp;CFG_CurrencySymbol&amp;" "&amp;TEXT(PC_TotalPaid,"#,##0"),"","Collector Signature: ____________",""))</f>
        <v/>
      </c>
      <c r="D331" s="53">
        <f>IF($N331&lt;&gt;"",INDEX(tblBilling[Full Address],$N331),CHOOSE(MIN(MAX($O331,0),7)+1,"","","","Total Billing: "&amp;CFG_CurrencySymbol&amp;" "&amp;TEXT(PC_TotalFee,"#,##0"),"Total Pending: "&amp;CFG_CurrencySymbol&amp;" "&amp;TEXT(PC_TotalBalance,"#,##0"),"","Office Verification: ____________",""))</f>
        <v/>
      </c>
      <c r="E331" s="53">
        <f>IF($N331&lt;&gt;"",INDEX(tblBilling[VLAN ID],$N331),"")</f>
        <v/>
      </c>
      <c r="F331" s="52">
        <f>IF($N331&lt;&gt;"",INDEX(tblBilling[Due Date],$N331),"")</f>
        <v/>
      </c>
      <c r="G331" s="54">
        <f>IF($N331&lt;&gt;"",INDEX(tblBilling[Monthly Fee],$N331),IF($O331=1,PC_TotalFee,""))</f>
        <v/>
      </c>
      <c r="H331" s="54">
        <f>IF($N331&lt;&gt;"",INDEX(tblBilling[Amount Paid],$N331),IF($O331=1,PC_TotalPaid,""))</f>
        <v/>
      </c>
      <c r="I331" s="54">
        <f>IF($N331&lt;&gt;"",INDEX(tblBilling[Balance],$N331),IF($O331=1,PC_TotalBalance,""))</f>
        <v/>
      </c>
      <c r="J331" s="53">
        <f>IF($N331&lt;&gt;"",INDEX(tblBilling[Payment Status],$N331),"")</f>
        <v/>
      </c>
      <c r="K331" s="55">
        <f>IF($N331&lt;&gt;"",IF(INDEX(tblBilling[Last Payment Date],$N331)="","",INDEX(tblBilling[Last Payment Date],$N331)),"")</f>
        <v/>
      </c>
      <c r="L331" s="53">
        <f>IF($N331&lt;&gt;"",INDEX(tblBilling[Collector Name],$N331),"")</f>
        <v/>
      </c>
      <c r="N331">
        <f>IF(N330="","",IFERROR(N330+MATCH(1,INDEX(tblBilling[Print Match],N330+1):INDEX(tblBilling[Print Match],ROWS(tblBilling[Print Match])),0),""))</f>
        <v/>
      </c>
      <c r="O331">
        <f>ROW()-9-MIN(PC_Count,500)</f>
        <v/>
      </c>
    </row>
    <row r="332" ht="20" customHeight="1">
      <c r="A332" s="52">
        <f>IF($N332="","",ROW()-9)</f>
        <v/>
      </c>
      <c r="B332" s="53">
        <f>IF($N332&lt;&gt;"",INDEX(tblBilling[Customer ID],$N332),"")</f>
        <v/>
      </c>
      <c r="C332" s="53">
        <f>IF($N332&lt;&gt;"",INDEX(tblBilling[Customer Name],$N332),CHOOSE(MIN(MAX($O332,0),7)+1,"","TOTAL","","Total Customers: "&amp;PC_Count,"Total Recovered: "&amp;CFG_CurrencySymbol&amp;" "&amp;TEXT(PC_TotalPaid,"#,##0"),"","Collector Signature: ____________",""))</f>
        <v/>
      </c>
      <c r="D332" s="53">
        <f>IF($N332&lt;&gt;"",INDEX(tblBilling[Full Address],$N332),CHOOSE(MIN(MAX($O332,0),7)+1,"","","","Total Billing: "&amp;CFG_CurrencySymbol&amp;" "&amp;TEXT(PC_TotalFee,"#,##0"),"Total Pending: "&amp;CFG_CurrencySymbol&amp;" "&amp;TEXT(PC_TotalBalance,"#,##0"),"","Office Verification: ____________",""))</f>
        <v/>
      </c>
      <c r="E332" s="53">
        <f>IF($N332&lt;&gt;"",INDEX(tblBilling[VLAN ID],$N332),"")</f>
        <v/>
      </c>
      <c r="F332" s="52">
        <f>IF($N332&lt;&gt;"",INDEX(tblBilling[Due Date],$N332),"")</f>
        <v/>
      </c>
      <c r="G332" s="54">
        <f>IF($N332&lt;&gt;"",INDEX(tblBilling[Monthly Fee],$N332),IF($O332=1,PC_TotalFee,""))</f>
        <v/>
      </c>
      <c r="H332" s="54">
        <f>IF($N332&lt;&gt;"",INDEX(tblBilling[Amount Paid],$N332),IF($O332=1,PC_TotalPaid,""))</f>
        <v/>
      </c>
      <c r="I332" s="54">
        <f>IF($N332&lt;&gt;"",INDEX(tblBilling[Balance],$N332),IF($O332=1,PC_TotalBalance,""))</f>
        <v/>
      </c>
      <c r="J332" s="53">
        <f>IF($N332&lt;&gt;"",INDEX(tblBilling[Payment Status],$N332),"")</f>
        <v/>
      </c>
      <c r="K332" s="55">
        <f>IF($N332&lt;&gt;"",IF(INDEX(tblBilling[Last Payment Date],$N332)="","",INDEX(tblBilling[Last Payment Date],$N332)),"")</f>
        <v/>
      </c>
      <c r="L332" s="53">
        <f>IF($N332&lt;&gt;"",INDEX(tblBilling[Collector Name],$N332),"")</f>
        <v/>
      </c>
      <c r="N332">
        <f>IF(N331="","",IFERROR(N331+MATCH(1,INDEX(tblBilling[Print Match],N331+1):INDEX(tblBilling[Print Match],ROWS(tblBilling[Print Match])),0),""))</f>
        <v/>
      </c>
      <c r="O332">
        <f>ROW()-9-MIN(PC_Count,500)</f>
        <v/>
      </c>
    </row>
    <row r="333" ht="20" customHeight="1">
      <c r="A333" s="52">
        <f>IF($N333="","",ROW()-9)</f>
        <v/>
      </c>
      <c r="B333" s="53">
        <f>IF($N333&lt;&gt;"",INDEX(tblBilling[Customer ID],$N333),"")</f>
        <v/>
      </c>
      <c r="C333" s="53">
        <f>IF($N333&lt;&gt;"",INDEX(tblBilling[Customer Name],$N333),CHOOSE(MIN(MAX($O333,0),7)+1,"","TOTAL","","Total Customers: "&amp;PC_Count,"Total Recovered: "&amp;CFG_CurrencySymbol&amp;" "&amp;TEXT(PC_TotalPaid,"#,##0"),"","Collector Signature: ____________",""))</f>
        <v/>
      </c>
      <c r="D333" s="53">
        <f>IF($N333&lt;&gt;"",INDEX(tblBilling[Full Address],$N333),CHOOSE(MIN(MAX($O333,0),7)+1,"","","","Total Billing: "&amp;CFG_CurrencySymbol&amp;" "&amp;TEXT(PC_TotalFee,"#,##0"),"Total Pending: "&amp;CFG_CurrencySymbol&amp;" "&amp;TEXT(PC_TotalBalance,"#,##0"),"","Office Verification: ____________",""))</f>
        <v/>
      </c>
      <c r="E333" s="53">
        <f>IF($N333&lt;&gt;"",INDEX(tblBilling[VLAN ID],$N333),"")</f>
        <v/>
      </c>
      <c r="F333" s="52">
        <f>IF($N333&lt;&gt;"",INDEX(tblBilling[Due Date],$N333),"")</f>
        <v/>
      </c>
      <c r="G333" s="54">
        <f>IF($N333&lt;&gt;"",INDEX(tblBilling[Monthly Fee],$N333),IF($O333=1,PC_TotalFee,""))</f>
        <v/>
      </c>
      <c r="H333" s="54">
        <f>IF($N333&lt;&gt;"",INDEX(tblBilling[Amount Paid],$N333),IF($O333=1,PC_TotalPaid,""))</f>
        <v/>
      </c>
      <c r="I333" s="54">
        <f>IF($N333&lt;&gt;"",INDEX(tblBilling[Balance],$N333),IF($O333=1,PC_TotalBalance,""))</f>
        <v/>
      </c>
      <c r="J333" s="53">
        <f>IF($N333&lt;&gt;"",INDEX(tblBilling[Payment Status],$N333),"")</f>
        <v/>
      </c>
      <c r="K333" s="55">
        <f>IF($N333&lt;&gt;"",IF(INDEX(tblBilling[Last Payment Date],$N333)="","",INDEX(tblBilling[Last Payment Date],$N333)),"")</f>
        <v/>
      </c>
      <c r="L333" s="53">
        <f>IF($N333&lt;&gt;"",INDEX(tblBilling[Collector Name],$N333),"")</f>
        <v/>
      </c>
      <c r="N333">
        <f>IF(N332="","",IFERROR(N332+MATCH(1,INDEX(tblBilling[Print Match],N332+1):INDEX(tblBilling[Print Match],ROWS(tblBilling[Print Match])),0),""))</f>
        <v/>
      </c>
      <c r="O333">
        <f>ROW()-9-MIN(PC_Count,500)</f>
        <v/>
      </c>
    </row>
    <row r="334" ht="20" customHeight="1">
      <c r="A334" s="52">
        <f>IF($N334="","",ROW()-9)</f>
        <v/>
      </c>
      <c r="B334" s="53">
        <f>IF($N334&lt;&gt;"",INDEX(tblBilling[Customer ID],$N334),"")</f>
        <v/>
      </c>
      <c r="C334" s="53">
        <f>IF($N334&lt;&gt;"",INDEX(tblBilling[Customer Name],$N334),CHOOSE(MIN(MAX($O334,0),7)+1,"","TOTAL","","Total Customers: "&amp;PC_Count,"Total Recovered: "&amp;CFG_CurrencySymbol&amp;" "&amp;TEXT(PC_TotalPaid,"#,##0"),"","Collector Signature: ____________",""))</f>
        <v/>
      </c>
      <c r="D334" s="53">
        <f>IF($N334&lt;&gt;"",INDEX(tblBilling[Full Address],$N334),CHOOSE(MIN(MAX($O334,0),7)+1,"","","","Total Billing: "&amp;CFG_CurrencySymbol&amp;" "&amp;TEXT(PC_TotalFee,"#,##0"),"Total Pending: "&amp;CFG_CurrencySymbol&amp;" "&amp;TEXT(PC_TotalBalance,"#,##0"),"","Office Verification: ____________",""))</f>
        <v/>
      </c>
      <c r="E334" s="53">
        <f>IF($N334&lt;&gt;"",INDEX(tblBilling[VLAN ID],$N334),"")</f>
        <v/>
      </c>
      <c r="F334" s="52">
        <f>IF($N334&lt;&gt;"",INDEX(tblBilling[Due Date],$N334),"")</f>
        <v/>
      </c>
      <c r="G334" s="54">
        <f>IF($N334&lt;&gt;"",INDEX(tblBilling[Monthly Fee],$N334),IF($O334=1,PC_TotalFee,""))</f>
        <v/>
      </c>
      <c r="H334" s="54">
        <f>IF($N334&lt;&gt;"",INDEX(tblBilling[Amount Paid],$N334),IF($O334=1,PC_TotalPaid,""))</f>
        <v/>
      </c>
      <c r="I334" s="54">
        <f>IF($N334&lt;&gt;"",INDEX(tblBilling[Balance],$N334),IF($O334=1,PC_TotalBalance,""))</f>
        <v/>
      </c>
      <c r="J334" s="53">
        <f>IF($N334&lt;&gt;"",INDEX(tblBilling[Payment Status],$N334),"")</f>
        <v/>
      </c>
      <c r="K334" s="55">
        <f>IF($N334&lt;&gt;"",IF(INDEX(tblBilling[Last Payment Date],$N334)="","",INDEX(tblBilling[Last Payment Date],$N334)),"")</f>
        <v/>
      </c>
      <c r="L334" s="53">
        <f>IF($N334&lt;&gt;"",INDEX(tblBilling[Collector Name],$N334),"")</f>
        <v/>
      </c>
      <c r="N334">
        <f>IF(N333="","",IFERROR(N333+MATCH(1,INDEX(tblBilling[Print Match],N333+1):INDEX(tblBilling[Print Match],ROWS(tblBilling[Print Match])),0),""))</f>
        <v/>
      </c>
      <c r="O334">
        <f>ROW()-9-MIN(PC_Count,500)</f>
        <v/>
      </c>
    </row>
    <row r="335" ht="20" customHeight="1">
      <c r="A335" s="52">
        <f>IF($N335="","",ROW()-9)</f>
        <v/>
      </c>
      <c r="B335" s="53">
        <f>IF($N335&lt;&gt;"",INDEX(tblBilling[Customer ID],$N335),"")</f>
        <v/>
      </c>
      <c r="C335" s="53">
        <f>IF($N335&lt;&gt;"",INDEX(tblBilling[Customer Name],$N335),CHOOSE(MIN(MAX($O335,0),7)+1,"","TOTAL","","Total Customers: "&amp;PC_Count,"Total Recovered: "&amp;CFG_CurrencySymbol&amp;" "&amp;TEXT(PC_TotalPaid,"#,##0"),"","Collector Signature: ____________",""))</f>
        <v/>
      </c>
      <c r="D335" s="53">
        <f>IF($N335&lt;&gt;"",INDEX(tblBilling[Full Address],$N335),CHOOSE(MIN(MAX($O335,0),7)+1,"","","","Total Billing: "&amp;CFG_CurrencySymbol&amp;" "&amp;TEXT(PC_TotalFee,"#,##0"),"Total Pending: "&amp;CFG_CurrencySymbol&amp;" "&amp;TEXT(PC_TotalBalance,"#,##0"),"","Office Verification: ____________",""))</f>
        <v/>
      </c>
      <c r="E335" s="53">
        <f>IF($N335&lt;&gt;"",INDEX(tblBilling[VLAN ID],$N335),"")</f>
        <v/>
      </c>
      <c r="F335" s="52">
        <f>IF($N335&lt;&gt;"",INDEX(tblBilling[Due Date],$N335),"")</f>
        <v/>
      </c>
      <c r="G335" s="54">
        <f>IF($N335&lt;&gt;"",INDEX(tblBilling[Monthly Fee],$N335),IF($O335=1,PC_TotalFee,""))</f>
        <v/>
      </c>
      <c r="H335" s="54">
        <f>IF($N335&lt;&gt;"",INDEX(tblBilling[Amount Paid],$N335),IF($O335=1,PC_TotalPaid,""))</f>
        <v/>
      </c>
      <c r="I335" s="54">
        <f>IF($N335&lt;&gt;"",INDEX(tblBilling[Balance],$N335),IF($O335=1,PC_TotalBalance,""))</f>
        <v/>
      </c>
      <c r="J335" s="53">
        <f>IF($N335&lt;&gt;"",INDEX(tblBilling[Payment Status],$N335),"")</f>
        <v/>
      </c>
      <c r="K335" s="55">
        <f>IF($N335&lt;&gt;"",IF(INDEX(tblBilling[Last Payment Date],$N335)="","",INDEX(tblBilling[Last Payment Date],$N335)),"")</f>
        <v/>
      </c>
      <c r="L335" s="53">
        <f>IF($N335&lt;&gt;"",INDEX(tblBilling[Collector Name],$N335),"")</f>
        <v/>
      </c>
      <c r="N335">
        <f>IF(N334="","",IFERROR(N334+MATCH(1,INDEX(tblBilling[Print Match],N334+1):INDEX(tblBilling[Print Match],ROWS(tblBilling[Print Match])),0),""))</f>
        <v/>
      </c>
      <c r="O335">
        <f>ROW()-9-MIN(PC_Count,500)</f>
        <v/>
      </c>
    </row>
    <row r="336" ht="20" customHeight="1">
      <c r="A336" s="52">
        <f>IF($N336="","",ROW()-9)</f>
        <v/>
      </c>
      <c r="B336" s="53">
        <f>IF($N336&lt;&gt;"",INDEX(tblBilling[Customer ID],$N336),"")</f>
        <v/>
      </c>
      <c r="C336" s="53">
        <f>IF($N336&lt;&gt;"",INDEX(tblBilling[Customer Name],$N336),CHOOSE(MIN(MAX($O336,0),7)+1,"","TOTAL","","Total Customers: "&amp;PC_Count,"Total Recovered: "&amp;CFG_CurrencySymbol&amp;" "&amp;TEXT(PC_TotalPaid,"#,##0"),"","Collector Signature: ____________",""))</f>
        <v/>
      </c>
      <c r="D336" s="53">
        <f>IF($N336&lt;&gt;"",INDEX(tblBilling[Full Address],$N336),CHOOSE(MIN(MAX($O336,0),7)+1,"","","","Total Billing: "&amp;CFG_CurrencySymbol&amp;" "&amp;TEXT(PC_TotalFee,"#,##0"),"Total Pending: "&amp;CFG_CurrencySymbol&amp;" "&amp;TEXT(PC_TotalBalance,"#,##0"),"","Office Verification: ____________",""))</f>
        <v/>
      </c>
      <c r="E336" s="53">
        <f>IF($N336&lt;&gt;"",INDEX(tblBilling[VLAN ID],$N336),"")</f>
        <v/>
      </c>
      <c r="F336" s="52">
        <f>IF($N336&lt;&gt;"",INDEX(tblBilling[Due Date],$N336),"")</f>
        <v/>
      </c>
      <c r="G336" s="54">
        <f>IF($N336&lt;&gt;"",INDEX(tblBilling[Monthly Fee],$N336),IF($O336=1,PC_TotalFee,""))</f>
        <v/>
      </c>
      <c r="H336" s="54">
        <f>IF($N336&lt;&gt;"",INDEX(tblBilling[Amount Paid],$N336),IF($O336=1,PC_TotalPaid,""))</f>
        <v/>
      </c>
      <c r="I336" s="54">
        <f>IF($N336&lt;&gt;"",INDEX(tblBilling[Balance],$N336),IF($O336=1,PC_TotalBalance,""))</f>
        <v/>
      </c>
      <c r="J336" s="53">
        <f>IF($N336&lt;&gt;"",INDEX(tblBilling[Payment Status],$N336),"")</f>
        <v/>
      </c>
      <c r="K336" s="55">
        <f>IF($N336&lt;&gt;"",IF(INDEX(tblBilling[Last Payment Date],$N336)="","",INDEX(tblBilling[Last Payment Date],$N336)),"")</f>
        <v/>
      </c>
      <c r="L336" s="53">
        <f>IF($N336&lt;&gt;"",INDEX(tblBilling[Collector Name],$N336),"")</f>
        <v/>
      </c>
      <c r="N336">
        <f>IF(N335="","",IFERROR(N335+MATCH(1,INDEX(tblBilling[Print Match],N335+1):INDEX(tblBilling[Print Match],ROWS(tblBilling[Print Match])),0),""))</f>
        <v/>
      </c>
      <c r="O336">
        <f>ROW()-9-MIN(PC_Count,500)</f>
        <v/>
      </c>
    </row>
    <row r="337" ht="20" customHeight="1">
      <c r="A337" s="52">
        <f>IF($N337="","",ROW()-9)</f>
        <v/>
      </c>
      <c r="B337" s="53">
        <f>IF($N337&lt;&gt;"",INDEX(tblBilling[Customer ID],$N337),"")</f>
        <v/>
      </c>
      <c r="C337" s="53">
        <f>IF($N337&lt;&gt;"",INDEX(tblBilling[Customer Name],$N337),CHOOSE(MIN(MAX($O337,0),7)+1,"","TOTAL","","Total Customers: "&amp;PC_Count,"Total Recovered: "&amp;CFG_CurrencySymbol&amp;" "&amp;TEXT(PC_TotalPaid,"#,##0"),"","Collector Signature: ____________",""))</f>
        <v/>
      </c>
      <c r="D337" s="53">
        <f>IF($N337&lt;&gt;"",INDEX(tblBilling[Full Address],$N337),CHOOSE(MIN(MAX($O337,0),7)+1,"","","","Total Billing: "&amp;CFG_CurrencySymbol&amp;" "&amp;TEXT(PC_TotalFee,"#,##0"),"Total Pending: "&amp;CFG_CurrencySymbol&amp;" "&amp;TEXT(PC_TotalBalance,"#,##0"),"","Office Verification: ____________",""))</f>
        <v/>
      </c>
      <c r="E337" s="53">
        <f>IF($N337&lt;&gt;"",INDEX(tblBilling[VLAN ID],$N337),"")</f>
        <v/>
      </c>
      <c r="F337" s="52">
        <f>IF($N337&lt;&gt;"",INDEX(tblBilling[Due Date],$N337),"")</f>
        <v/>
      </c>
      <c r="G337" s="54">
        <f>IF($N337&lt;&gt;"",INDEX(tblBilling[Monthly Fee],$N337),IF($O337=1,PC_TotalFee,""))</f>
        <v/>
      </c>
      <c r="H337" s="54">
        <f>IF($N337&lt;&gt;"",INDEX(tblBilling[Amount Paid],$N337),IF($O337=1,PC_TotalPaid,""))</f>
        <v/>
      </c>
      <c r="I337" s="54">
        <f>IF($N337&lt;&gt;"",INDEX(tblBilling[Balance],$N337),IF($O337=1,PC_TotalBalance,""))</f>
        <v/>
      </c>
      <c r="J337" s="53">
        <f>IF($N337&lt;&gt;"",INDEX(tblBilling[Payment Status],$N337),"")</f>
        <v/>
      </c>
      <c r="K337" s="55">
        <f>IF($N337&lt;&gt;"",IF(INDEX(tblBilling[Last Payment Date],$N337)="","",INDEX(tblBilling[Last Payment Date],$N337)),"")</f>
        <v/>
      </c>
      <c r="L337" s="53">
        <f>IF($N337&lt;&gt;"",INDEX(tblBilling[Collector Name],$N337),"")</f>
        <v/>
      </c>
      <c r="N337">
        <f>IF(N336="","",IFERROR(N336+MATCH(1,INDEX(tblBilling[Print Match],N336+1):INDEX(tblBilling[Print Match],ROWS(tblBilling[Print Match])),0),""))</f>
        <v/>
      </c>
      <c r="O337">
        <f>ROW()-9-MIN(PC_Count,500)</f>
        <v/>
      </c>
    </row>
    <row r="338" ht="20" customHeight="1">
      <c r="A338" s="52">
        <f>IF($N338="","",ROW()-9)</f>
        <v/>
      </c>
      <c r="B338" s="53">
        <f>IF($N338&lt;&gt;"",INDEX(tblBilling[Customer ID],$N338),"")</f>
        <v/>
      </c>
      <c r="C338" s="53">
        <f>IF($N338&lt;&gt;"",INDEX(tblBilling[Customer Name],$N338),CHOOSE(MIN(MAX($O338,0),7)+1,"","TOTAL","","Total Customers: "&amp;PC_Count,"Total Recovered: "&amp;CFG_CurrencySymbol&amp;" "&amp;TEXT(PC_TotalPaid,"#,##0"),"","Collector Signature: ____________",""))</f>
        <v/>
      </c>
      <c r="D338" s="53">
        <f>IF($N338&lt;&gt;"",INDEX(tblBilling[Full Address],$N338),CHOOSE(MIN(MAX($O338,0),7)+1,"","","","Total Billing: "&amp;CFG_CurrencySymbol&amp;" "&amp;TEXT(PC_TotalFee,"#,##0"),"Total Pending: "&amp;CFG_CurrencySymbol&amp;" "&amp;TEXT(PC_TotalBalance,"#,##0"),"","Office Verification: ____________",""))</f>
        <v/>
      </c>
      <c r="E338" s="53">
        <f>IF($N338&lt;&gt;"",INDEX(tblBilling[VLAN ID],$N338),"")</f>
        <v/>
      </c>
      <c r="F338" s="52">
        <f>IF($N338&lt;&gt;"",INDEX(tblBilling[Due Date],$N338),"")</f>
        <v/>
      </c>
      <c r="G338" s="54">
        <f>IF($N338&lt;&gt;"",INDEX(tblBilling[Monthly Fee],$N338),IF($O338=1,PC_TotalFee,""))</f>
        <v/>
      </c>
      <c r="H338" s="54">
        <f>IF($N338&lt;&gt;"",INDEX(tblBilling[Amount Paid],$N338),IF($O338=1,PC_TotalPaid,""))</f>
        <v/>
      </c>
      <c r="I338" s="54">
        <f>IF($N338&lt;&gt;"",INDEX(tblBilling[Balance],$N338),IF($O338=1,PC_TotalBalance,""))</f>
        <v/>
      </c>
      <c r="J338" s="53">
        <f>IF($N338&lt;&gt;"",INDEX(tblBilling[Payment Status],$N338),"")</f>
        <v/>
      </c>
      <c r="K338" s="55">
        <f>IF($N338&lt;&gt;"",IF(INDEX(tblBilling[Last Payment Date],$N338)="","",INDEX(tblBilling[Last Payment Date],$N338)),"")</f>
        <v/>
      </c>
      <c r="L338" s="53">
        <f>IF($N338&lt;&gt;"",INDEX(tblBilling[Collector Name],$N338),"")</f>
        <v/>
      </c>
      <c r="N338">
        <f>IF(N337="","",IFERROR(N337+MATCH(1,INDEX(tblBilling[Print Match],N337+1):INDEX(tblBilling[Print Match],ROWS(tblBilling[Print Match])),0),""))</f>
        <v/>
      </c>
      <c r="O338">
        <f>ROW()-9-MIN(PC_Count,500)</f>
        <v/>
      </c>
    </row>
    <row r="339" ht="20" customHeight="1">
      <c r="A339" s="52">
        <f>IF($N339="","",ROW()-9)</f>
        <v/>
      </c>
      <c r="B339" s="53">
        <f>IF($N339&lt;&gt;"",INDEX(tblBilling[Customer ID],$N339),"")</f>
        <v/>
      </c>
      <c r="C339" s="53">
        <f>IF($N339&lt;&gt;"",INDEX(tblBilling[Customer Name],$N339),CHOOSE(MIN(MAX($O339,0),7)+1,"","TOTAL","","Total Customers: "&amp;PC_Count,"Total Recovered: "&amp;CFG_CurrencySymbol&amp;" "&amp;TEXT(PC_TotalPaid,"#,##0"),"","Collector Signature: ____________",""))</f>
        <v/>
      </c>
      <c r="D339" s="53">
        <f>IF($N339&lt;&gt;"",INDEX(tblBilling[Full Address],$N339),CHOOSE(MIN(MAX($O339,0),7)+1,"","","","Total Billing: "&amp;CFG_CurrencySymbol&amp;" "&amp;TEXT(PC_TotalFee,"#,##0"),"Total Pending: "&amp;CFG_CurrencySymbol&amp;" "&amp;TEXT(PC_TotalBalance,"#,##0"),"","Office Verification: ____________",""))</f>
        <v/>
      </c>
      <c r="E339" s="53">
        <f>IF($N339&lt;&gt;"",INDEX(tblBilling[VLAN ID],$N339),"")</f>
        <v/>
      </c>
      <c r="F339" s="52">
        <f>IF($N339&lt;&gt;"",INDEX(tblBilling[Due Date],$N339),"")</f>
        <v/>
      </c>
      <c r="G339" s="54">
        <f>IF($N339&lt;&gt;"",INDEX(tblBilling[Monthly Fee],$N339),IF($O339=1,PC_TotalFee,""))</f>
        <v/>
      </c>
      <c r="H339" s="54">
        <f>IF($N339&lt;&gt;"",INDEX(tblBilling[Amount Paid],$N339),IF($O339=1,PC_TotalPaid,""))</f>
        <v/>
      </c>
      <c r="I339" s="54">
        <f>IF($N339&lt;&gt;"",INDEX(tblBilling[Balance],$N339),IF($O339=1,PC_TotalBalance,""))</f>
        <v/>
      </c>
      <c r="J339" s="53">
        <f>IF($N339&lt;&gt;"",INDEX(tblBilling[Payment Status],$N339),"")</f>
        <v/>
      </c>
      <c r="K339" s="55">
        <f>IF($N339&lt;&gt;"",IF(INDEX(tblBilling[Last Payment Date],$N339)="","",INDEX(tblBilling[Last Payment Date],$N339)),"")</f>
        <v/>
      </c>
      <c r="L339" s="53">
        <f>IF($N339&lt;&gt;"",INDEX(tblBilling[Collector Name],$N339),"")</f>
        <v/>
      </c>
      <c r="N339">
        <f>IF(N338="","",IFERROR(N338+MATCH(1,INDEX(tblBilling[Print Match],N338+1):INDEX(tblBilling[Print Match],ROWS(tblBilling[Print Match])),0),""))</f>
        <v/>
      </c>
      <c r="O339">
        <f>ROW()-9-MIN(PC_Count,500)</f>
        <v/>
      </c>
    </row>
    <row r="340" ht="20" customHeight="1">
      <c r="A340" s="52">
        <f>IF($N340="","",ROW()-9)</f>
        <v/>
      </c>
      <c r="B340" s="53">
        <f>IF($N340&lt;&gt;"",INDEX(tblBilling[Customer ID],$N340),"")</f>
        <v/>
      </c>
      <c r="C340" s="53">
        <f>IF($N340&lt;&gt;"",INDEX(tblBilling[Customer Name],$N340),CHOOSE(MIN(MAX($O340,0),7)+1,"","TOTAL","","Total Customers: "&amp;PC_Count,"Total Recovered: "&amp;CFG_CurrencySymbol&amp;" "&amp;TEXT(PC_TotalPaid,"#,##0"),"","Collector Signature: ____________",""))</f>
        <v/>
      </c>
      <c r="D340" s="53">
        <f>IF($N340&lt;&gt;"",INDEX(tblBilling[Full Address],$N340),CHOOSE(MIN(MAX($O340,0),7)+1,"","","","Total Billing: "&amp;CFG_CurrencySymbol&amp;" "&amp;TEXT(PC_TotalFee,"#,##0"),"Total Pending: "&amp;CFG_CurrencySymbol&amp;" "&amp;TEXT(PC_TotalBalance,"#,##0"),"","Office Verification: ____________",""))</f>
        <v/>
      </c>
      <c r="E340" s="53">
        <f>IF($N340&lt;&gt;"",INDEX(tblBilling[VLAN ID],$N340),"")</f>
        <v/>
      </c>
      <c r="F340" s="52">
        <f>IF($N340&lt;&gt;"",INDEX(tblBilling[Due Date],$N340),"")</f>
        <v/>
      </c>
      <c r="G340" s="54">
        <f>IF($N340&lt;&gt;"",INDEX(tblBilling[Monthly Fee],$N340),IF($O340=1,PC_TotalFee,""))</f>
        <v/>
      </c>
      <c r="H340" s="54">
        <f>IF($N340&lt;&gt;"",INDEX(tblBilling[Amount Paid],$N340),IF($O340=1,PC_TotalPaid,""))</f>
        <v/>
      </c>
      <c r="I340" s="54">
        <f>IF($N340&lt;&gt;"",INDEX(tblBilling[Balance],$N340),IF($O340=1,PC_TotalBalance,""))</f>
        <v/>
      </c>
      <c r="J340" s="53">
        <f>IF($N340&lt;&gt;"",INDEX(tblBilling[Payment Status],$N340),"")</f>
        <v/>
      </c>
      <c r="K340" s="55">
        <f>IF($N340&lt;&gt;"",IF(INDEX(tblBilling[Last Payment Date],$N340)="","",INDEX(tblBilling[Last Payment Date],$N340)),"")</f>
        <v/>
      </c>
      <c r="L340" s="53">
        <f>IF($N340&lt;&gt;"",INDEX(tblBilling[Collector Name],$N340),"")</f>
        <v/>
      </c>
      <c r="N340">
        <f>IF(N339="","",IFERROR(N339+MATCH(1,INDEX(tblBilling[Print Match],N339+1):INDEX(tblBilling[Print Match],ROWS(tblBilling[Print Match])),0),""))</f>
        <v/>
      </c>
      <c r="O340">
        <f>ROW()-9-MIN(PC_Count,500)</f>
        <v/>
      </c>
    </row>
    <row r="341" ht="20" customHeight="1">
      <c r="A341" s="52">
        <f>IF($N341="","",ROW()-9)</f>
        <v/>
      </c>
      <c r="B341" s="53">
        <f>IF($N341&lt;&gt;"",INDEX(tblBilling[Customer ID],$N341),"")</f>
        <v/>
      </c>
      <c r="C341" s="53">
        <f>IF($N341&lt;&gt;"",INDEX(tblBilling[Customer Name],$N341),CHOOSE(MIN(MAX($O341,0),7)+1,"","TOTAL","","Total Customers: "&amp;PC_Count,"Total Recovered: "&amp;CFG_CurrencySymbol&amp;" "&amp;TEXT(PC_TotalPaid,"#,##0"),"","Collector Signature: ____________",""))</f>
        <v/>
      </c>
      <c r="D341" s="53">
        <f>IF($N341&lt;&gt;"",INDEX(tblBilling[Full Address],$N341),CHOOSE(MIN(MAX($O341,0),7)+1,"","","","Total Billing: "&amp;CFG_CurrencySymbol&amp;" "&amp;TEXT(PC_TotalFee,"#,##0"),"Total Pending: "&amp;CFG_CurrencySymbol&amp;" "&amp;TEXT(PC_TotalBalance,"#,##0"),"","Office Verification: ____________",""))</f>
        <v/>
      </c>
      <c r="E341" s="53">
        <f>IF($N341&lt;&gt;"",INDEX(tblBilling[VLAN ID],$N341),"")</f>
        <v/>
      </c>
      <c r="F341" s="52">
        <f>IF($N341&lt;&gt;"",INDEX(tblBilling[Due Date],$N341),"")</f>
        <v/>
      </c>
      <c r="G341" s="54">
        <f>IF($N341&lt;&gt;"",INDEX(tblBilling[Monthly Fee],$N341),IF($O341=1,PC_TotalFee,""))</f>
        <v/>
      </c>
      <c r="H341" s="54">
        <f>IF($N341&lt;&gt;"",INDEX(tblBilling[Amount Paid],$N341),IF($O341=1,PC_TotalPaid,""))</f>
        <v/>
      </c>
      <c r="I341" s="54">
        <f>IF($N341&lt;&gt;"",INDEX(tblBilling[Balance],$N341),IF($O341=1,PC_TotalBalance,""))</f>
        <v/>
      </c>
      <c r="J341" s="53">
        <f>IF($N341&lt;&gt;"",INDEX(tblBilling[Payment Status],$N341),"")</f>
        <v/>
      </c>
      <c r="K341" s="55">
        <f>IF($N341&lt;&gt;"",IF(INDEX(tblBilling[Last Payment Date],$N341)="","",INDEX(tblBilling[Last Payment Date],$N341)),"")</f>
        <v/>
      </c>
      <c r="L341" s="53">
        <f>IF($N341&lt;&gt;"",INDEX(tblBilling[Collector Name],$N341),"")</f>
        <v/>
      </c>
      <c r="N341">
        <f>IF(N340="","",IFERROR(N340+MATCH(1,INDEX(tblBilling[Print Match],N340+1):INDEX(tblBilling[Print Match],ROWS(tblBilling[Print Match])),0),""))</f>
        <v/>
      </c>
      <c r="O341">
        <f>ROW()-9-MIN(PC_Count,500)</f>
        <v/>
      </c>
    </row>
    <row r="342" ht="20" customHeight="1">
      <c r="A342" s="52">
        <f>IF($N342="","",ROW()-9)</f>
        <v/>
      </c>
      <c r="B342" s="53">
        <f>IF($N342&lt;&gt;"",INDEX(tblBilling[Customer ID],$N342),"")</f>
        <v/>
      </c>
      <c r="C342" s="53">
        <f>IF($N342&lt;&gt;"",INDEX(tblBilling[Customer Name],$N342),CHOOSE(MIN(MAX($O342,0),7)+1,"","TOTAL","","Total Customers: "&amp;PC_Count,"Total Recovered: "&amp;CFG_CurrencySymbol&amp;" "&amp;TEXT(PC_TotalPaid,"#,##0"),"","Collector Signature: ____________",""))</f>
        <v/>
      </c>
      <c r="D342" s="53">
        <f>IF($N342&lt;&gt;"",INDEX(tblBilling[Full Address],$N342),CHOOSE(MIN(MAX($O342,0),7)+1,"","","","Total Billing: "&amp;CFG_CurrencySymbol&amp;" "&amp;TEXT(PC_TotalFee,"#,##0"),"Total Pending: "&amp;CFG_CurrencySymbol&amp;" "&amp;TEXT(PC_TotalBalance,"#,##0"),"","Office Verification: ____________",""))</f>
        <v/>
      </c>
      <c r="E342" s="53">
        <f>IF($N342&lt;&gt;"",INDEX(tblBilling[VLAN ID],$N342),"")</f>
        <v/>
      </c>
      <c r="F342" s="52">
        <f>IF($N342&lt;&gt;"",INDEX(tblBilling[Due Date],$N342),"")</f>
        <v/>
      </c>
      <c r="G342" s="54">
        <f>IF($N342&lt;&gt;"",INDEX(tblBilling[Monthly Fee],$N342),IF($O342=1,PC_TotalFee,""))</f>
        <v/>
      </c>
      <c r="H342" s="54">
        <f>IF($N342&lt;&gt;"",INDEX(tblBilling[Amount Paid],$N342),IF($O342=1,PC_TotalPaid,""))</f>
        <v/>
      </c>
      <c r="I342" s="54">
        <f>IF($N342&lt;&gt;"",INDEX(tblBilling[Balance],$N342),IF($O342=1,PC_TotalBalance,""))</f>
        <v/>
      </c>
      <c r="J342" s="53">
        <f>IF($N342&lt;&gt;"",INDEX(tblBilling[Payment Status],$N342),"")</f>
        <v/>
      </c>
      <c r="K342" s="55">
        <f>IF($N342&lt;&gt;"",IF(INDEX(tblBilling[Last Payment Date],$N342)="","",INDEX(tblBilling[Last Payment Date],$N342)),"")</f>
        <v/>
      </c>
      <c r="L342" s="53">
        <f>IF($N342&lt;&gt;"",INDEX(tblBilling[Collector Name],$N342),"")</f>
        <v/>
      </c>
      <c r="N342">
        <f>IF(N341="","",IFERROR(N341+MATCH(1,INDEX(tblBilling[Print Match],N341+1):INDEX(tblBilling[Print Match],ROWS(tblBilling[Print Match])),0),""))</f>
        <v/>
      </c>
      <c r="O342">
        <f>ROW()-9-MIN(PC_Count,500)</f>
        <v/>
      </c>
    </row>
    <row r="343" ht="20" customHeight="1">
      <c r="A343" s="52">
        <f>IF($N343="","",ROW()-9)</f>
        <v/>
      </c>
      <c r="B343" s="53">
        <f>IF($N343&lt;&gt;"",INDEX(tblBilling[Customer ID],$N343),"")</f>
        <v/>
      </c>
      <c r="C343" s="53">
        <f>IF($N343&lt;&gt;"",INDEX(tblBilling[Customer Name],$N343),CHOOSE(MIN(MAX($O343,0),7)+1,"","TOTAL","","Total Customers: "&amp;PC_Count,"Total Recovered: "&amp;CFG_CurrencySymbol&amp;" "&amp;TEXT(PC_TotalPaid,"#,##0"),"","Collector Signature: ____________",""))</f>
        <v/>
      </c>
      <c r="D343" s="53">
        <f>IF($N343&lt;&gt;"",INDEX(tblBilling[Full Address],$N343),CHOOSE(MIN(MAX($O343,0),7)+1,"","","","Total Billing: "&amp;CFG_CurrencySymbol&amp;" "&amp;TEXT(PC_TotalFee,"#,##0"),"Total Pending: "&amp;CFG_CurrencySymbol&amp;" "&amp;TEXT(PC_TotalBalance,"#,##0"),"","Office Verification: ____________",""))</f>
        <v/>
      </c>
      <c r="E343" s="53">
        <f>IF($N343&lt;&gt;"",INDEX(tblBilling[VLAN ID],$N343),"")</f>
        <v/>
      </c>
      <c r="F343" s="52">
        <f>IF($N343&lt;&gt;"",INDEX(tblBilling[Due Date],$N343),"")</f>
        <v/>
      </c>
      <c r="G343" s="54">
        <f>IF($N343&lt;&gt;"",INDEX(tblBilling[Monthly Fee],$N343),IF($O343=1,PC_TotalFee,""))</f>
        <v/>
      </c>
      <c r="H343" s="54">
        <f>IF($N343&lt;&gt;"",INDEX(tblBilling[Amount Paid],$N343),IF($O343=1,PC_TotalPaid,""))</f>
        <v/>
      </c>
      <c r="I343" s="54">
        <f>IF($N343&lt;&gt;"",INDEX(tblBilling[Balance],$N343),IF($O343=1,PC_TotalBalance,""))</f>
        <v/>
      </c>
      <c r="J343" s="53">
        <f>IF($N343&lt;&gt;"",INDEX(tblBilling[Payment Status],$N343),"")</f>
        <v/>
      </c>
      <c r="K343" s="55">
        <f>IF($N343&lt;&gt;"",IF(INDEX(tblBilling[Last Payment Date],$N343)="","",INDEX(tblBilling[Last Payment Date],$N343)),"")</f>
        <v/>
      </c>
      <c r="L343" s="53">
        <f>IF($N343&lt;&gt;"",INDEX(tblBilling[Collector Name],$N343),"")</f>
        <v/>
      </c>
      <c r="N343">
        <f>IF(N342="","",IFERROR(N342+MATCH(1,INDEX(tblBilling[Print Match],N342+1):INDEX(tblBilling[Print Match],ROWS(tblBilling[Print Match])),0),""))</f>
        <v/>
      </c>
      <c r="O343">
        <f>ROW()-9-MIN(PC_Count,500)</f>
        <v/>
      </c>
    </row>
    <row r="344" ht="20" customHeight="1">
      <c r="A344" s="52">
        <f>IF($N344="","",ROW()-9)</f>
        <v/>
      </c>
      <c r="B344" s="53">
        <f>IF($N344&lt;&gt;"",INDEX(tblBilling[Customer ID],$N344),"")</f>
        <v/>
      </c>
      <c r="C344" s="53">
        <f>IF($N344&lt;&gt;"",INDEX(tblBilling[Customer Name],$N344),CHOOSE(MIN(MAX($O344,0),7)+1,"","TOTAL","","Total Customers: "&amp;PC_Count,"Total Recovered: "&amp;CFG_CurrencySymbol&amp;" "&amp;TEXT(PC_TotalPaid,"#,##0"),"","Collector Signature: ____________",""))</f>
        <v/>
      </c>
      <c r="D344" s="53">
        <f>IF($N344&lt;&gt;"",INDEX(tblBilling[Full Address],$N344),CHOOSE(MIN(MAX($O344,0),7)+1,"","","","Total Billing: "&amp;CFG_CurrencySymbol&amp;" "&amp;TEXT(PC_TotalFee,"#,##0"),"Total Pending: "&amp;CFG_CurrencySymbol&amp;" "&amp;TEXT(PC_TotalBalance,"#,##0"),"","Office Verification: ____________",""))</f>
        <v/>
      </c>
      <c r="E344" s="53">
        <f>IF($N344&lt;&gt;"",INDEX(tblBilling[VLAN ID],$N344),"")</f>
        <v/>
      </c>
      <c r="F344" s="52">
        <f>IF($N344&lt;&gt;"",INDEX(tblBilling[Due Date],$N344),"")</f>
        <v/>
      </c>
      <c r="G344" s="54">
        <f>IF($N344&lt;&gt;"",INDEX(tblBilling[Monthly Fee],$N344),IF($O344=1,PC_TotalFee,""))</f>
        <v/>
      </c>
      <c r="H344" s="54">
        <f>IF($N344&lt;&gt;"",INDEX(tblBilling[Amount Paid],$N344),IF($O344=1,PC_TotalPaid,""))</f>
        <v/>
      </c>
      <c r="I344" s="54">
        <f>IF($N344&lt;&gt;"",INDEX(tblBilling[Balance],$N344),IF($O344=1,PC_TotalBalance,""))</f>
        <v/>
      </c>
      <c r="J344" s="53">
        <f>IF($N344&lt;&gt;"",INDEX(tblBilling[Payment Status],$N344),"")</f>
        <v/>
      </c>
      <c r="K344" s="55">
        <f>IF($N344&lt;&gt;"",IF(INDEX(tblBilling[Last Payment Date],$N344)="","",INDEX(tblBilling[Last Payment Date],$N344)),"")</f>
        <v/>
      </c>
      <c r="L344" s="53">
        <f>IF($N344&lt;&gt;"",INDEX(tblBilling[Collector Name],$N344),"")</f>
        <v/>
      </c>
      <c r="N344">
        <f>IF(N343="","",IFERROR(N343+MATCH(1,INDEX(tblBilling[Print Match],N343+1):INDEX(tblBilling[Print Match],ROWS(tblBilling[Print Match])),0),""))</f>
        <v/>
      </c>
      <c r="O344">
        <f>ROW()-9-MIN(PC_Count,500)</f>
        <v/>
      </c>
    </row>
    <row r="345" ht="20" customHeight="1">
      <c r="A345" s="52">
        <f>IF($N345="","",ROW()-9)</f>
        <v/>
      </c>
      <c r="B345" s="53">
        <f>IF($N345&lt;&gt;"",INDEX(tblBilling[Customer ID],$N345),"")</f>
        <v/>
      </c>
      <c r="C345" s="53">
        <f>IF($N345&lt;&gt;"",INDEX(tblBilling[Customer Name],$N345),CHOOSE(MIN(MAX($O345,0),7)+1,"","TOTAL","","Total Customers: "&amp;PC_Count,"Total Recovered: "&amp;CFG_CurrencySymbol&amp;" "&amp;TEXT(PC_TotalPaid,"#,##0"),"","Collector Signature: ____________",""))</f>
        <v/>
      </c>
      <c r="D345" s="53">
        <f>IF($N345&lt;&gt;"",INDEX(tblBilling[Full Address],$N345),CHOOSE(MIN(MAX($O345,0),7)+1,"","","","Total Billing: "&amp;CFG_CurrencySymbol&amp;" "&amp;TEXT(PC_TotalFee,"#,##0"),"Total Pending: "&amp;CFG_CurrencySymbol&amp;" "&amp;TEXT(PC_TotalBalance,"#,##0"),"","Office Verification: ____________",""))</f>
        <v/>
      </c>
      <c r="E345" s="53">
        <f>IF($N345&lt;&gt;"",INDEX(tblBilling[VLAN ID],$N345),"")</f>
        <v/>
      </c>
      <c r="F345" s="52">
        <f>IF($N345&lt;&gt;"",INDEX(tblBilling[Due Date],$N345),"")</f>
        <v/>
      </c>
      <c r="G345" s="54">
        <f>IF($N345&lt;&gt;"",INDEX(tblBilling[Monthly Fee],$N345),IF($O345=1,PC_TotalFee,""))</f>
        <v/>
      </c>
      <c r="H345" s="54">
        <f>IF($N345&lt;&gt;"",INDEX(tblBilling[Amount Paid],$N345),IF($O345=1,PC_TotalPaid,""))</f>
        <v/>
      </c>
      <c r="I345" s="54">
        <f>IF($N345&lt;&gt;"",INDEX(tblBilling[Balance],$N345),IF($O345=1,PC_TotalBalance,""))</f>
        <v/>
      </c>
      <c r="J345" s="53">
        <f>IF($N345&lt;&gt;"",INDEX(tblBilling[Payment Status],$N345),"")</f>
        <v/>
      </c>
      <c r="K345" s="55">
        <f>IF($N345&lt;&gt;"",IF(INDEX(tblBilling[Last Payment Date],$N345)="","",INDEX(tblBilling[Last Payment Date],$N345)),"")</f>
        <v/>
      </c>
      <c r="L345" s="53">
        <f>IF($N345&lt;&gt;"",INDEX(tblBilling[Collector Name],$N345),"")</f>
        <v/>
      </c>
      <c r="N345">
        <f>IF(N344="","",IFERROR(N344+MATCH(1,INDEX(tblBilling[Print Match],N344+1):INDEX(tblBilling[Print Match],ROWS(tblBilling[Print Match])),0),""))</f>
        <v/>
      </c>
      <c r="O345">
        <f>ROW()-9-MIN(PC_Count,500)</f>
        <v/>
      </c>
    </row>
    <row r="346" ht="20" customHeight="1">
      <c r="A346" s="52">
        <f>IF($N346="","",ROW()-9)</f>
        <v/>
      </c>
      <c r="B346" s="53">
        <f>IF($N346&lt;&gt;"",INDEX(tblBilling[Customer ID],$N346),"")</f>
        <v/>
      </c>
      <c r="C346" s="53">
        <f>IF($N346&lt;&gt;"",INDEX(tblBilling[Customer Name],$N346),CHOOSE(MIN(MAX($O346,0),7)+1,"","TOTAL","","Total Customers: "&amp;PC_Count,"Total Recovered: "&amp;CFG_CurrencySymbol&amp;" "&amp;TEXT(PC_TotalPaid,"#,##0"),"","Collector Signature: ____________",""))</f>
        <v/>
      </c>
      <c r="D346" s="53">
        <f>IF($N346&lt;&gt;"",INDEX(tblBilling[Full Address],$N346),CHOOSE(MIN(MAX($O346,0),7)+1,"","","","Total Billing: "&amp;CFG_CurrencySymbol&amp;" "&amp;TEXT(PC_TotalFee,"#,##0"),"Total Pending: "&amp;CFG_CurrencySymbol&amp;" "&amp;TEXT(PC_TotalBalance,"#,##0"),"","Office Verification: ____________",""))</f>
        <v/>
      </c>
      <c r="E346" s="53">
        <f>IF($N346&lt;&gt;"",INDEX(tblBilling[VLAN ID],$N346),"")</f>
        <v/>
      </c>
      <c r="F346" s="52">
        <f>IF($N346&lt;&gt;"",INDEX(tblBilling[Due Date],$N346),"")</f>
        <v/>
      </c>
      <c r="G346" s="54">
        <f>IF($N346&lt;&gt;"",INDEX(tblBilling[Monthly Fee],$N346),IF($O346=1,PC_TotalFee,""))</f>
        <v/>
      </c>
      <c r="H346" s="54">
        <f>IF($N346&lt;&gt;"",INDEX(tblBilling[Amount Paid],$N346),IF($O346=1,PC_TotalPaid,""))</f>
        <v/>
      </c>
      <c r="I346" s="54">
        <f>IF($N346&lt;&gt;"",INDEX(tblBilling[Balance],$N346),IF($O346=1,PC_TotalBalance,""))</f>
        <v/>
      </c>
      <c r="J346" s="53">
        <f>IF($N346&lt;&gt;"",INDEX(tblBilling[Payment Status],$N346),"")</f>
        <v/>
      </c>
      <c r="K346" s="55">
        <f>IF($N346&lt;&gt;"",IF(INDEX(tblBilling[Last Payment Date],$N346)="","",INDEX(tblBilling[Last Payment Date],$N346)),"")</f>
        <v/>
      </c>
      <c r="L346" s="53">
        <f>IF($N346&lt;&gt;"",INDEX(tblBilling[Collector Name],$N346),"")</f>
        <v/>
      </c>
      <c r="N346">
        <f>IF(N345="","",IFERROR(N345+MATCH(1,INDEX(tblBilling[Print Match],N345+1):INDEX(tblBilling[Print Match],ROWS(tblBilling[Print Match])),0),""))</f>
        <v/>
      </c>
      <c r="O346">
        <f>ROW()-9-MIN(PC_Count,500)</f>
        <v/>
      </c>
    </row>
    <row r="347" ht="20" customHeight="1">
      <c r="A347" s="52">
        <f>IF($N347="","",ROW()-9)</f>
        <v/>
      </c>
      <c r="B347" s="53">
        <f>IF($N347&lt;&gt;"",INDEX(tblBilling[Customer ID],$N347),"")</f>
        <v/>
      </c>
      <c r="C347" s="53">
        <f>IF($N347&lt;&gt;"",INDEX(tblBilling[Customer Name],$N347),CHOOSE(MIN(MAX($O347,0),7)+1,"","TOTAL","","Total Customers: "&amp;PC_Count,"Total Recovered: "&amp;CFG_CurrencySymbol&amp;" "&amp;TEXT(PC_TotalPaid,"#,##0"),"","Collector Signature: ____________",""))</f>
        <v/>
      </c>
      <c r="D347" s="53">
        <f>IF($N347&lt;&gt;"",INDEX(tblBilling[Full Address],$N347),CHOOSE(MIN(MAX($O347,0),7)+1,"","","","Total Billing: "&amp;CFG_CurrencySymbol&amp;" "&amp;TEXT(PC_TotalFee,"#,##0"),"Total Pending: "&amp;CFG_CurrencySymbol&amp;" "&amp;TEXT(PC_TotalBalance,"#,##0"),"","Office Verification: ____________",""))</f>
        <v/>
      </c>
      <c r="E347" s="53">
        <f>IF($N347&lt;&gt;"",INDEX(tblBilling[VLAN ID],$N347),"")</f>
        <v/>
      </c>
      <c r="F347" s="52">
        <f>IF($N347&lt;&gt;"",INDEX(tblBilling[Due Date],$N347),"")</f>
        <v/>
      </c>
      <c r="G347" s="54">
        <f>IF($N347&lt;&gt;"",INDEX(tblBilling[Monthly Fee],$N347),IF($O347=1,PC_TotalFee,""))</f>
        <v/>
      </c>
      <c r="H347" s="54">
        <f>IF($N347&lt;&gt;"",INDEX(tblBilling[Amount Paid],$N347),IF($O347=1,PC_TotalPaid,""))</f>
        <v/>
      </c>
      <c r="I347" s="54">
        <f>IF($N347&lt;&gt;"",INDEX(tblBilling[Balance],$N347),IF($O347=1,PC_TotalBalance,""))</f>
        <v/>
      </c>
      <c r="J347" s="53">
        <f>IF($N347&lt;&gt;"",INDEX(tblBilling[Payment Status],$N347),"")</f>
        <v/>
      </c>
      <c r="K347" s="55">
        <f>IF($N347&lt;&gt;"",IF(INDEX(tblBilling[Last Payment Date],$N347)="","",INDEX(tblBilling[Last Payment Date],$N347)),"")</f>
        <v/>
      </c>
      <c r="L347" s="53">
        <f>IF($N347&lt;&gt;"",INDEX(tblBilling[Collector Name],$N347),"")</f>
        <v/>
      </c>
      <c r="N347">
        <f>IF(N346="","",IFERROR(N346+MATCH(1,INDEX(tblBilling[Print Match],N346+1):INDEX(tblBilling[Print Match],ROWS(tblBilling[Print Match])),0),""))</f>
        <v/>
      </c>
      <c r="O347">
        <f>ROW()-9-MIN(PC_Count,500)</f>
        <v/>
      </c>
    </row>
    <row r="348" ht="20" customHeight="1">
      <c r="A348" s="52">
        <f>IF($N348="","",ROW()-9)</f>
        <v/>
      </c>
      <c r="B348" s="53">
        <f>IF($N348&lt;&gt;"",INDEX(tblBilling[Customer ID],$N348),"")</f>
        <v/>
      </c>
      <c r="C348" s="53">
        <f>IF($N348&lt;&gt;"",INDEX(tblBilling[Customer Name],$N348),CHOOSE(MIN(MAX($O348,0),7)+1,"","TOTAL","","Total Customers: "&amp;PC_Count,"Total Recovered: "&amp;CFG_CurrencySymbol&amp;" "&amp;TEXT(PC_TotalPaid,"#,##0"),"","Collector Signature: ____________",""))</f>
        <v/>
      </c>
      <c r="D348" s="53">
        <f>IF($N348&lt;&gt;"",INDEX(tblBilling[Full Address],$N348),CHOOSE(MIN(MAX($O348,0),7)+1,"","","","Total Billing: "&amp;CFG_CurrencySymbol&amp;" "&amp;TEXT(PC_TotalFee,"#,##0"),"Total Pending: "&amp;CFG_CurrencySymbol&amp;" "&amp;TEXT(PC_TotalBalance,"#,##0"),"","Office Verification: ____________",""))</f>
        <v/>
      </c>
      <c r="E348" s="53">
        <f>IF($N348&lt;&gt;"",INDEX(tblBilling[VLAN ID],$N348),"")</f>
        <v/>
      </c>
      <c r="F348" s="52">
        <f>IF($N348&lt;&gt;"",INDEX(tblBilling[Due Date],$N348),"")</f>
        <v/>
      </c>
      <c r="G348" s="54">
        <f>IF($N348&lt;&gt;"",INDEX(tblBilling[Monthly Fee],$N348),IF($O348=1,PC_TotalFee,""))</f>
        <v/>
      </c>
      <c r="H348" s="54">
        <f>IF($N348&lt;&gt;"",INDEX(tblBilling[Amount Paid],$N348),IF($O348=1,PC_TotalPaid,""))</f>
        <v/>
      </c>
      <c r="I348" s="54">
        <f>IF($N348&lt;&gt;"",INDEX(tblBilling[Balance],$N348),IF($O348=1,PC_TotalBalance,""))</f>
        <v/>
      </c>
      <c r="J348" s="53">
        <f>IF($N348&lt;&gt;"",INDEX(tblBilling[Payment Status],$N348),"")</f>
        <v/>
      </c>
      <c r="K348" s="55">
        <f>IF($N348&lt;&gt;"",IF(INDEX(tblBilling[Last Payment Date],$N348)="","",INDEX(tblBilling[Last Payment Date],$N348)),"")</f>
        <v/>
      </c>
      <c r="L348" s="53">
        <f>IF($N348&lt;&gt;"",INDEX(tblBilling[Collector Name],$N348),"")</f>
        <v/>
      </c>
      <c r="N348">
        <f>IF(N347="","",IFERROR(N347+MATCH(1,INDEX(tblBilling[Print Match],N347+1):INDEX(tblBilling[Print Match],ROWS(tblBilling[Print Match])),0),""))</f>
        <v/>
      </c>
      <c r="O348">
        <f>ROW()-9-MIN(PC_Count,500)</f>
        <v/>
      </c>
    </row>
    <row r="349" ht="20" customHeight="1">
      <c r="A349" s="52">
        <f>IF($N349="","",ROW()-9)</f>
        <v/>
      </c>
      <c r="B349" s="53">
        <f>IF($N349&lt;&gt;"",INDEX(tblBilling[Customer ID],$N349),"")</f>
        <v/>
      </c>
      <c r="C349" s="53">
        <f>IF($N349&lt;&gt;"",INDEX(tblBilling[Customer Name],$N349),CHOOSE(MIN(MAX($O349,0),7)+1,"","TOTAL","","Total Customers: "&amp;PC_Count,"Total Recovered: "&amp;CFG_CurrencySymbol&amp;" "&amp;TEXT(PC_TotalPaid,"#,##0"),"","Collector Signature: ____________",""))</f>
        <v/>
      </c>
      <c r="D349" s="53">
        <f>IF($N349&lt;&gt;"",INDEX(tblBilling[Full Address],$N349),CHOOSE(MIN(MAX($O349,0),7)+1,"","","","Total Billing: "&amp;CFG_CurrencySymbol&amp;" "&amp;TEXT(PC_TotalFee,"#,##0"),"Total Pending: "&amp;CFG_CurrencySymbol&amp;" "&amp;TEXT(PC_TotalBalance,"#,##0"),"","Office Verification: ____________",""))</f>
        <v/>
      </c>
      <c r="E349" s="53">
        <f>IF($N349&lt;&gt;"",INDEX(tblBilling[VLAN ID],$N349),"")</f>
        <v/>
      </c>
      <c r="F349" s="52">
        <f>IF($N349&lt;&gt;"",INDEX(tblBilling[Due Date],$N349),"")</f>
        <v/>
      </c>
      <c r="G349" s="54">
        <f>IF($N349&lt;&gt;"",INDEX(tblBilling[Monthly Fee],$N349),IF($O349=1,PC_TotalFee,""))</f>
        <v/>
      </c>
      <c r="H349" s="54">
        <f>IF($N349&lt;&gt;"",INDEX(tblBilling[Amount Paid],$N349),IF($O349=1,PC_TotalPaid,""))</f>
        <v/>
      </c>
      <c r="I349" s="54">
        <f>IF($N349&lt;&gt;"",INDEX(tblBilling[Balance],$N349),IF($O349=1,PC_TotalBalance,""))</f>
        <v/>
      </c>
      <c r="J349" s="53">
        <f>IF($N349&lt;&gt;"",INDEX(tblBilling[Payment Status],$N349),"")</f>
        <v/>
      </c>
      <c r="K349" s="55">
        <f>IF($N349&lt;&gt;"",IF(INDEX(tblBilling[Last Payment Date],$N349)="","",INDEX(tblBilling[Last Payment Date],$N349)),"")</f>
        <v/>
      </c>
      <c r="L349" s="53">
        <f>IF($N349&lt;&gt;"",INDEX(tblBilling[Collector Name],$N349),"")</f>
        <v/>
      </c>
      <c r="N349">
        <f>IF(N348="","",IFERROR(N348+MATCH(1,INDEX(tblBilling[Print Match],N348+1):INDEX(tblBilling[Print Match],ROWS(tblBilling[Print Match])),0),""))</f>
        <v/>
      </c>
      <c r="O349">
        <f>ROW()-9-MIN(PC_Count,500)</f>
        <v/>
      </c>
    </row>
    <row r="350" ht="20" customHeight="1">
      <c r="A350" s="52">
        <f>IF($N350="","",ROW()-9)</f>
        <v/>
      </c>
      <c r="B350" s="53">
        <f>IF($N350&lt;&gt;"",INDEX(tblBilling[Customer ID],$N350),"")</f>
        <v/>
      </c>
      <c r="C350" s="53">
        <f>IF($N350&lt;&gt;"",INDEX(tblBilling[Customer Name],$N350),CHOOSE(MIN(MAX($O350,0),7)+1,"","TOTAL","","Total Customers: "&amp;PC_Count,"Total Recovered: "&amp;CFG_CurrencySymbol&amp;" "&amp;TEXT(PC_TotalPaid,"#,##0"),"","Collector Signature: ____________",""))</f>
        <v/>
      </c>
      <c r="D350" s="53">
        <f>IF($N350&lt;&gt;"",INDEX(tblBilling[Full Address],$N350),CHOOSE(MIN(MAX($O350,0),7)+1,"","","","Total Billing: "&amp;CFG_CurrencySymbol&amp;" "&amp;TEXT(PC_TotalFee,"#,##0"),"Total Pending: "&amp;CFG_CurrencySymbol&amp;" "&amp;TEXT(PC_TotalBalance,"#,##0"),"","Office Verification: ____________",""))</f>
        <v/>
      </c>
      <c r="E350" s="53">
        <f>IF($N350&lt;&gt;"",INDEX(tblBilling[VLAN ID],$N350),"")</f>
        <v/>
      </c>
      <c r="F350" s="52">
        <f>IF($N350&lt;&gt;"",INDEX(tblBilling[Due Date],$N350),"")</f>
        <v/>
      </c>
      <c r="G350" s="54">
        <f>IF($N350&lt;&gt;"",INDEX(tblBilling[Monthly Fee],$N350),IF($O350=1,PC_TotalFee,""))</f>
        <v/>
      </c>
      <c r="H350" s="54">
        <f>IF($N350&lt;&gt;"",INDEX(tblBilling[Amount Paid],$N350),IF($O350=1,PC_TotalPaid,""))</f>
        <v/>
      </c>
      <c r="I350" s="54">
        <f>IF($N350&lt;&gt;"",INDEX(tblBilling[Balance],$N350),IF($O350=1,PC_TotalBalance,""))</f>
        <v/>
      </c>
      <c r="J350" s="53">
        <f>IF($N350&lt;&gt;"",INDEX(tblBilling[Payment Status],$N350),"")</f>
        <v/>
      </c>
      <c r="K350" s="55">
        <f>IF($N350&lt;&gt;"",IF(INDEX(tblBilling[Last Payment Date],$N350)="","",INDEX(tblBilling[Last Payment Date],$N350)),"")</f>
        <v/>
      </c>
      <c r="L350" s="53">
        <f>IF($N350&lt;&gt;"",INDEX(tblBilling[Collector Name],$N350),"")</f>
        <v/>
      </c>
      <c r="N350">
        <f>IF(N349="","",IFERROR(N349+MATCH(1,INDEX(tblBilling[Print Match],N349+1):INDEX(tblBilling[Print Match],ROWS(tblBilling[Print Match])),0),""))</f>
        <v/>
      </c>
      <c r="O350">
        <f>ROW()-9-MIN(PC_Count,500)</f>
        <v/>
      </c>
    </row>
    <row r="351" ht="20" customHeight="1">
      <c r="A351" s="52">
        <f>IF($N351="","",ROW()-9)</f>
        <v/>
      </c>
      <c r="B351" s="53">
        <f>IF($N351&lt;&gt;"",INDEX(tblBilling[Customer ID],$N351),"")</f>
        <v/>
      </c>
      <c r="C351" s="53">
        <f>IF($N351&lt;&gt;"",INDEX(tblBilling[Customer Name],$N351),CHOOSE(MIN(MAX($O351,0),7)+1,"","TOTAL","","Total Customers: "&amp;PC_Count,"Total Recovered: "&amp;CFG_CurrencySymbol&amp;" "&amp;TEXT(PC_TotalPaid,"#,##0"),"","Collector Signature: ____________",""))</f>
        <v/>
      </c>
      <c r="D351" s="53">
        <f>IF($N351&lt;&gt;"",INDEX(tblBilling[Full Address],$N351),CHOOSE(MIN(MAX($O351,0),7)+1,"","","","Total Billing: "&amp;CFG_CurrencySymbol&amp;" "&amp;TEXT(PC_TotalFee,"#,##0"),"Total Pending: "&amp;CFG_CurrencySymbol&amp;" "&amp;TEXT(PC_TotalBalance,"#,##0"),"","Office Verification: ____________",""))</f>
        <v/>
      </c>
      <c r="E351" s="53">
        <f>IF($N351&lt;&gt;"",INDEX(tblBilling[VLAN ID],$N351),"")</f>
        <v/>
      </c>
      <c r="F351" s="52">
        <f>IF($N351&lt;&gt;"",INDEX(tblBilling[Due Date],$N351),"")</f>
        <v/>
      </c>
      <c r="G351" s="54">
        <f>IF($N351&lt;&gt;"",INDEX(tblBilling[Monthly Fee],$N351),IF($O351=1,PC_TotalFee,""))</f>
        <v/>
      </c>
      <c r="H351" s="54">
        <f>IF($N351&lt;&gt;"",INDEX(tblBilling[Amount Paid],$N351),IF($O351=1,PC_TotalPaid,""))</f>
        <v/>
      </c>
      <c r="I351" s="54">
        <f>IF($N351&lt;&gt;"",INDEX(tblBilling[Balance],$N351),IF($O351=1,PC_TotalBalance,""))</f>
        <v/>
      </c>
      <c r="J351" s="53">
        <f>IF($N351&lt;&gt;"",INDEX(tblBilling[Payment Status],$N351),"")</f>
        <v/>
      </c>
      <c r="K351" s="55">
        <f>IF($N351&lt;&gt;"",IF(INDEX(tblBilling[Last Payment Date],$N351)="","",INDEX(tblBilling[Last Payment Date],$N351)),"")</f>
        <v/>
      </c>
      <c r="L351" s="53">
        <f>IF($N351&lt;&gt;"",INDEX(tblBilling[Collector Name],$N351),"")</f>
        <v/>
      </c>
      <c r="N351">
        <f>IF(N350="","",IFERROR(N350+MATCH(1,INDEX(tblBilling[Print Match],N350+1):INDEX(tblBilling[Print Match],ROWS(tblBilling[Print Match])),0),""))</f>
        <v/>
      </c>
      <c r="O351">
        <f>ROW()-9-MIN(PC_Count,500)</f>
        <v/>
      </c>
    </row>
    <row r="352" ht="20" customHeight="1">
      <c r="A352" s="52">
        <f>IF($N352="","",ROW()-9)</f>
        <v/>
      </c>
      <c r="B352" s="53">
        <f>IF($N352&lt;&gt;"",INDEX(tblBilling[Customer ID],$N352),"")</f>
        <v/>
      </c>
      <c r="C352" s="53">
        <f>IF($N352&lt;&gt;"",INDEX(tblBilling[Customer Name],$N352),CHOOSE(MIN(MAX($O352,0),7)+1,"","TOTAL","","Total Customers: "&amp;PC_Count,"Total Recovered: "&amp;CFG_CurrencySymbol&amp;" "&amp;TEXT(PC_TotalPaid,"#,##0"),"","Collector Signature: ____________",""))</f>
        <v/>
      </c>
      <c r="D352" s="53">
        <f>IF($N352&lt;&gt;"",INDEX(tblBilling[Full Address],$N352),CHOOSE(MIN(MAX($O352,0),7)+1,"","","","Total Billing: "&amp;CFG_CurrencySymbol&amp;" "&amp;TEXT(PC_TotalFee,"#,##0"),"Total Pending: "&amp;CFG_CurrencySymbol&amp;" "&amp;TEXT(PC_TotalBalance,"#,##0"),"","Office Verification: ____________",""))</f>
        <v/>
      </c>
      <c r="E352" s="53">
        <f>IF($N352&lt;&gt;"",INDEX(tblBilling[VLAN ID],$N352),"")</f>
        <v/>
      </c>
      <c r="F352" s="52">
        <f>IF($N352&lt;&gt;"",INDEX(tblBilling[Due Date],$N352),"")</f>
        <v/>
      </c>
      <c r="G352" s="54">
        <f>IF($N352&lt;&gt;"",INDEX(tblBilling[Monthly Fee],$N352),IF($O352=1,PC_TotalFee,""))</f>
        <v/>
      </c>
      <c r="H352" s="54">
        <f>IF($N352&lt;&gt;"",INDEX(tblBilling[Amount Paid],$N352),IF($O352=1,PC_TotalPaid,""))</f>
        <v/>
      </c>
      <c r="I352" s="54">
        <f>IF($N352&lt;&gt;"",INDEX(tblBilling[Balance],$N352),IF($O352=1,PC_TotalBalance,""))</f>
        <v/>
      </c>
      <c r="J352" s="53">
        <f>IF($N352&lt;&gt;"",INDEX(tblBilling[Payment Status],$N352),"")</f>
        <v/>
      </c>
      <c r="K352" s="55">
        <f>IF($N352&lt;&gt;"",IF(INDEX(tblBilling[Last Payment Date],$N352)="","",INDEX(tblBilling[Last Payment Date],$N352)),"")</f>
        <v/>
      </c>
      <c r="L352" s="53">
        <f>IF($N352&lt;&gt;"",INDEX(tblBilling[Collector Name],$N352),"")</f>
        <v/>
      </c>
      <c r="N352">
        <f>IF(N351="","",IFERROR(N351+MATCH(1,INDEX(tblBilling[Print Match],N351+1):INDEX(tblBilling[Print Match],ROWS(tblBilling[Print Match])),0),""))</f>
        <v/>
      </c>
      <c r="O352">
        <f>ROW()-9-MIN(PC_Count,500)</f>
        <v/>
      </c>
    </row>
    <row r="353" ht="20" customHeight="1">
      <c r="A353" s="52">
        <f>IF($N353="","",ROW()-9)</f>
        <v/>
      </c>
      <c r="B353" s="53">
        <f>IF($N353&lt;&gt;"",INDEX(tblBilling[Customer ID],$N353),"")</f>
        <v/>
      </c>
      <c r="C353" s="53">
        <f>IF($N353&lt;&gt;"",INDEX(tblBilling[Customer Name],$N353),CHOOSE(MIN(MAX($O353,0),7)+1,"","TOTAL","","Total Customers: "&amp;PC_Count,"Total Recovered: "&amp;CFG_CurrencySymbol&amp;" "&amp;TEXT(PC_TotalPaid,"#,##0"),"","Collector Signature: ____________",""))</f>
        <v/>
      </c>
      <c r="D353" s="53">
        <f>IF($N353&lt;&gt;"",INDEX(tblBilling[Full Address],$N353),CHOOSE(MIN(MAX($O353,0),7)+1,"","","","Total Billing: "&amp;CFG_CurrencySymbol&amp;" "&amp;TEXT(PC_TotalFee,"#,##0"),"Total Pending: "&amp;CFG_CurrencySymbol&amp;" "&amp;TEXT(PC_TotalBalance,"#,##0"),"","Office Verification: ____________",""))</f>
        <v/>
      </c>
      <c r="E353" s="53">
        <f>IF($N353&lt;&gt;"",INDEX(tblBilling[VLAN ID],$N353),"")</f>
        <v/>
      </c>
      <c r="F353" s="52">
        <f>IF($N353&lt;&gt;"",INDEX(tblBilling[Due Date],$N353),"")</f>
        <v/>
      </c>
      <c r="G353" s="54">
        <f>IF($N353&lt;&gt;"",INDEX(tblBilling[Monthly Fee],$N353),IF($O353=1,PC_TotalFee,""))</f>
        <v/>
      </c>
      <c r="H353" s="54">
        <f>IF($N353&lt;&gt;"",INDEX(tblBilling[Amount Paid],$N353),IF($O353=1,PC_TotalPaid,""))</f>
        <v/>
      </c>
      <c r="I353" s="54">
        <f>IF($N353&lt;&gt;"",INDEX(tblBilling[Balance],$N353),IF($O353=1,PC_TotalBalance,""))</f>
        <v/>
      </c>
      <c r="J353" s="53">
        <f>IF($N353&lt;&gt;"",INDEX(tblBilling[Payment Status],$N353),"")</f>
        <v/>
      </c>
      <c r="K353" s="55">
        <f>IF($N353&lt;&gt;"",IF(INDEX(tblBilling[Last Payment Date],$N353)="","",INDEX(tblBilling[Last Payment Date],$N353)),"")</f>
        <v/>
      </c>
      <c r="L353" s="53">
        <f>IF($N353&lt;&gt;"",INDEX(tblBilling[Collector Name],$N353),"")</f>
        <v/>
      </c>
      <c r="N353">
        <f>IF(N352="","",IFERROR(N352+MATCH(1,INDEX(tblBilling[Print Match],N352+1):INDEX(tblBilling[Print Match],ROWS(tblBilling[Print Match])),0),""))</f>
        <v/>
      </c>
      <c r="O353">
        <f>ROW()-9-MIN(PC_Count,500)</f>
        <v/>
      </c>
    </row>
    <row r="354" ht="20" customHeight="1">
      <c r="A354" s="52">
        <f>IF($N354="","",ROW()-9)</f>
        <v/>
      </c>
      <c r="B354" s="53">
        <f>IF($N354&lt;&gt;"",INDEX(tblBilling[Customer ID],$N354),"")</f>
        <v/>
      </c>
      <c r="C354" s="53">
        <f>IF($N354&lt;&gt;"",INDEX(tblBilling[Customer Name],$N354),CHOOSE(MIN(MAX($O354,0),7)+1,"","TOTAL","","Total Customers: "&amp;PC_Count,"Total Recovered: "&amp;CFG_CurrencySymbol&amp;" "&amp;TEXT(PC_TotalPaid,"#,##0"),"","Collector Signature: ____________",""))</f>
        <v/>
      </c>
      <c r="D354" s="53">
        <f>IF($N354&lt;&gt;"",INDEX(tblBilling[Full Address],$N354),CHOOSE(MIN(MAX($O354,0),7)+1,"","","","Total Billing: "&amp;CFG_CurrencySymbol&amp;" "&amp;TEXT(PC_TotalFee,"#,##0"),"Total Pending: "&amp;CFG_CurrencySymbol&amp;" "&amp;TEXT(PC_TotalBalance,"#,##0"),"","Office Verification: ____________",""))</f>
        <v/>
      </c>
      <c r="E354" s="53">
        <f>IF($N354&lt;&gt;"",INDEX(tblBilling[VLAN ID],$N354),"")</f>
        <v/>
      </c>
      <c r="F354" s="52">
        <f>IF($N354&lt;&gt;"",INDEX(tblBilling[Due Date],$N354),"")</f>
        <v/>
      </c>
      <c r="G354" s="54">
        <f>IF($N354&lt;&gt;"",INDEX(tblBilling[Monthly Fee],$N354),IF($O354=1,PC_TotalFee,""))</f>
        <v/>
      </c>
      <c r="H354" s="54">
        <f>IF($N354&lt;&gt;"",INDEX(tblBilling[Amount Paid],$N354),IF($O354=1,PC_TotalPaid,""))</f>
        <v/>
      </c>
      <c r="I354" s="54">
        <f>IF($N354&lt;&gt;"",INDEX(tblBilling[Balance],$N354),IF($O354=1,PC_TotalBalance,""))</f>
        <v/>
      </c>
      <c r="J354" s="53">
        <f>IF($N354&lt;&gt;"",INDEX(tblBilling[Payment Status],$N354),"")</f>
        <v/>
      </c>
      <c r="K354" s="55">
        <f>IF($N354&lt;&gt;"",IF(INDEX(tblBilling[Last Payment Date],$N354)="","",INDEX(tblBilling[Last Payment Date],$N354)),"")</f>
        <v/>
      </c>
      <c r="L354" s="53">
        <f>IF($N354&lt;&gt;"",INDEX(tblBilling[Collector Name],$N354),"")</f>
        <v/>
      </c>
      <c r="N354">
        <f>IF(N353="","",IFERROR(N353+MATCH(1,INDEX(tblBilling[Print Match],N353+1):INDEX(tblBilling[Print Match],ROWS(tblBilling[Print Match])),0),""))</f>
        <v/>
      </c>
      <c r="O354">
        <f>ROW()-9-MIN(PC_Count,500)</f>
        <v/>
      </c>
    </row>
    <row r="355" ht="20" customHeight="1">
      <c r="A355" s="52">
        <f>IF($N355="","",ROW()-9)</f>
        <v/>
      </c>
      <c r="B355" s="53">
        <f>IF($N355&lt;&gt;"",INDEX(tblBilling[Customer ID],$N355),"")</f>
        <v/>
      </c>
      <c r="C355" s="53">
        <f>IF($N355&lt;&gt;"",INDEX(tblBilling[Customer Name],$N355),CHOOSE(MIN(MAX($O355,0),7)+1,"","TOTAL","","Total Customers: "&amp;PC_Count,"Total Recovered: "&amp;CFG_CurrencySymbol&amp;" "&amp;TEXT(PC_TotalPaid,"#,##0"),"","Collector Signature: ____________",""))</f>
        <v/>
      </c>
      <c r="D355" s="53">
        <f>IF($N355&lt;&gt;"",INDEX(tblBilling[Full Address],$N355),CHOOSE(MIN(MAX($O355,0),7)+1,"","","","Total Billing: "&amp;CFG_CurrencySymbol&amp;" "&amp;TEXT(PC_TotalFee,"#,##0"),"Total Pending: "&amp;CFG_CurrencySymbol&amp;" "&amp;TEXT(PC_TotalBalance,"#,##0"),"","Office Verification: ____________",""))</f>
        <v/>
      </c>
      <c r="E355" s="53">
        <f>IF($N355&lt;&gt;"",INDEX(tblBilling[VLAN ID],$N355),"")</f>
        <v/>
      </c>
      <c r="F355" s="52">
        <f>IF($N355&lt;&gt;"",INDEX(tblBilling[Due Date],$N355),"")</f>
        <v/>
      </c>
      <c r="G355" s="54">
        <f>IF($N355&lt;&gt;"",INDEX(tblBilling[Monthly Fee],$N355),IF($O355=1,PC_TotalFee,""))</f>
        <v/>
      </c>
      <c r="H355" s="54">
        <f>IF($N355&lt;&gt;"",INDEX(tblBilling[Amount Paid],$N355),IF($O355=1,PC_TotalPaid,""))</f>
        <v/>
      </c>
      <c r="I355" s="54">
        <f>IF($N355&lt;&gt;"",INDEX(tblBilling[Balance],$N355),IF($O355=1,PC_TotalBalance,""))</f>
        <v/>
      </c>
      <c r="J355" s="53">
        <f>IF($N355&lt;&gt;"",INDEX(tblBilling[Payment Status],$N355),"")</f>
        <v/>
      </c>
      <c r="K355" s="55">
        <f>IF($N355&lt;&gt;"",IF(INDEX(tblBilling[Last Payment Date],$N355)="","",INDEX(tblBilling[Last Payment Date],$N355)),"")</f>
        <v/>
      </c>
      <c r="L355" s="53">
        <f>IF($N355&lt;&gt;"",INDEX(tblBilling[Collector Name],$N355),"")</f>
        <v/>
      </c>
      <c r="N355">
        <f>IF(N354="","",IFERROR(N354+MATCH(1,INDEX(tblBilling[Print Match],N354+1):INDEX(tblBilling[Print Match],ROWS(tblBilling[Print Match])),0),""))</f>
        <v/>
      </c>
      <c r="O355">
        <f>ROW()-9-MIN(PC_Count,500)</f>
        <v/>
      </c>
    </row>
    <row r="356" ht="20" customHeight="1">
      <c r="A356" s="52">
        <f>IF($N356="","",ROW()-9)</f>
        <v/>
      </c>
      <c r="B356" s="53">
        <f>IF($N356&lt;&gt;"",INDEX(tblBilling[Customer ID],$N356),"")</f>
        <v/>
      </c>
      <c r="C356" s="53">
        <f>IF($N356&lt;&gt;"",INDEX(tblBilling[Customer Name],$N356),CHOOSE(MIN(MAX($O356,0),7)+1,"","TOTAL","","Total Customers: "&amp;PC_Count,"Total Recovered: "&amp;CFG_CurrencySymbol&amp;" "&amp;TEXT(PC_TotalPaid,"#,##0"),"","Collector Signature: ____________",""))</f>
        <v/>
      </c>
      <c r="D356" s="53">
        <f>IF($N356&lt;&gt;"",INDEX(tblBilling[Full Address],$N356),CHOOSE(MIN(MAX($O356,0),7)+1,"","","","Total Billing: "&amp;CFG_CurrencySymbol&amp;" "&amp;TEXT(PC_TotalFee,"#,##0"),"Total Pending: "&amp;CFG_CurrencySymbol&amp;" "&amp;TEXT(PC_TotalBalance,"#,##0"),"","Office Verification: ____________",""))</f>
        <v/>
      </c>
      <c r="E356" s="53">
        <f>IF($N356&lt;&gt;"",INDEX(tblBilling[VLAN ID],$N356),"")</f>
        <v/>
      </c>
      <c r="F356" s="52">
        <f>IF($N356&lt;&gt;"",INDEX(tblBilling[Due Date],$N356),"")</f>
        <v/>
      </c>
      <c r="G356" s="54">
        <f>IF($N356&lt;&gt;"",INDEX(tblBilling[Monthly Fee],$N356),IF($O356=1,PC_TotalFee,""))</f>
        <v/>
      </c>
      <c r="H356" s="54">
        <f>IF($N356&lt;&gt;"",INDEX(tblBilling[Amount Paid],$N356),IF($O356=1,PC_TotalPaid,""))</f>
        <v/>
      </c>
      <c r="I356" s="54">
        <f>IF($N356&lt;&gt;"",INDEX(tblBilling[Balance],$N356),IF($O356=1,PC_TotalBalance,""))</f>
        <v/>
      </c>
      <c r="J356" s="53">
        <f>IF($N356&lt;&gt;"",INDEX(tblBilling[Payment Status],$N356),"")</f>
        <v/>
      </c>
      <c r="K356" s="55">
        <f>IF($N356&lt;&gt;"",IF(INDEX(tblBilling[Last Payment Date],$N356)="","",INDEX(tblBilling[Last Payment Date],$N356)),"")</f>
        <v/>
      </c>
      <c r="L356" s="53">
        <f>IF($N356&lt;&gt;"",INDEX(tblBilling[Collector Name],$N356),"")</f>
        <v/>
      </c>
      <c r="N356">
        <f>IF(N355="","",IFERROR(N355+MATCH(1,INDEX(tblBilling[Print Match],N355+1):INDEX(tblBilling[Print Match],ROWS(tblBilling[Print Match])),0),""))</f>
        <v/>
      </c>
      <c r="O356">
        <f>ROW()-9-MIN(PC_Count,500)</f>
        <v/>
      </c>
    </row>
    <row r="357" ht="20" customHeight="1">
      <c r="A357" s="52">
        <f>IF($N357="","",ROW()-9)</f>
        <v/>
      </c>
      <c r="B357" s="53">
        <f>IF($N357&lt;&gt;"",INDEX(tblBilling[Customer ID],$N357),"")</f>
        <v/>
      </c>
      <c r="C357" s="53">
        <f>IF($N357&lt;&gt;"",INDEX(tblBilling[Customer Name],$N357),CHOOSE(MIN(MAX($O357,0),7)+1,"","TOTAL","","Total Customers: "&amp;PC_Count,"Total Recovered: "&amp;CFG_CurrencySymbol&amp;" "&amp;TEXT(PC_TotalPaid,"#,##0"),"","Collector Signature: ____________",""))</f>
        <v/>
      </c>
      <c r="D357" s="53">
        <f>IF($N357&lt;&gt;"",INDEX(tblBilling[Full Address],$N357),CHOOSE(MIN(MAX($O357,0),7)+1,"","","","Total Billing: "&amp;CFG_CurrencySymbol&amp;" "&amp;TEXT(PC_TotalFee,"#,##0"),"Total Pending: "&amp;CFG_CurrencySymbol&amp;" "&amp;TEXT(PC_TotalBalance,"#,##0"),"","Office Verification: ____________",""))</f>
        <v/>
      </c>
      <c r="E357" s="53">
        <f>IF($N357&lt;&gt;"",INDEX(tblBilling[VLAN ID],$N357),"")</f>
        <v/>
      </c>
      <c r="F357" s="52">
        <f>IF($N357&lt;&gt;"",INDEX(tblBilling[Due Date],$N357),"")</f>
        <v/>
      </c>
      <c r="G357" s="54">
        <f>IF($N357&lt;&gt;"",INDEX(tblBilling[Monthly Fee],$N357),IF($O357=1,PC_TotalFee,""))</f>
        <v/>
      </c>
      <c r="H357" s="54">
        <f>IF($N357&lt;&gt;"",INDEX(tblBilling[Amount Paid],$N357),IF($O357=1,PC_TotalPaid,""))</f>
        <v/>
      </c>
      <c r="I357" s="54">
        <f>IF($N357&lt;&gt;"",INDEX(tblBilling[Balance],$N357),IF($O357=1,PC_TotalBalance,""))</f>
        <v/>
      </c>
      <c r="J357" s="53">
        <f>IF($N357&lt;&gt;"",INDEX(tblBilling[Payment Status],$N357),"")</f>
        <v/>
      </c>
      <c r="K357" s="55">
        <f>IF($N357&lt;&gt;"",IF(INDEX(tblBilling[Last Payment Date],$N357)="","",INDEX(tblBilling[Last Payment Date],$N357)),"")</f>
        <v/>
      </c>
      <c r="L357" s="53">
        <f>IF($N357&lt;&gt;"",INDEX(tblBilling[Collector Name],$N357),"")</f>
        <v/>
      </c>
      <c r="N357">
        <f>IF(N356="","",IFERROR(N356+MATCH(1,INDEX(tblBilling[Print Match],N356+1):INDEX(tblBilling[Print Match],ROWS(tblBilling[Print Match])),0),""))</f>
        <v/>
      </c>
      <c r="O357">
        <f>ROW()-9-MIN(PC_Count,500)</f>
        <v/>
      </c>
    </row>
    <row r="358" ht="20" customHeight="1">
      <c r="A358" s="52">
        <f>IF($N358="","",ROW()-9)</f>
        <v/>
      </c>
      <c r="B358" s="53">
        <f>IF($N358&lt;&gt;"",INDEX(tblBilling[Customer ID],$N358),"")</f>
        <v/>
      </c>
      <c r="C358" s="53">
        <f>IF($N358&lt;&gt;"",INDEX(tblBilling[Customer Name],$N358),CHOOSE(MIN(MAX($O358,0),7)+1,"","TOTAL","","Total Customers: "&amp;PC_Count,"Total Recovered: "&amp;CFG_CurrencySymbol&amp;" "&amp;TEXT(PC_TotalPaid,"#,##0"),"","Collector Signature: ____________",""))</f>
        <v/>
      </c>
      <c r="D358" s="53">
        <f>IF($N358&lt;&gt;"",INDEX(tblBilling[Full Address],$N358),CHOOSE(MIN(MAX($O358,0),7)+1,"","","","Total Billing: "&amp;CFG_CurrencySymbol&amp;" "&amp;TEXT(PC_TotalFee,"#,##0"),"Total Pending: "&amp;CFG_CurrencySymbol&amp;" "&amp;TEXT(PC_TotalBalance,"#,##0"),"","Office Verification: ____________",""))</f>
        <v/>
      </c>
      <c r="E358" s="53">
        <f>IF($N358&lt;&gt;"",INDEX(tblBilling[VLAN ID],$N358),"")</f>
        <v/>
      </c>
      <c r="F358" s="52">
        <f>IF($N358&lt;&gt;"",INDEX(tblBilling[Due Date],$N358),"")</f>
        <v/>
      </c>
      <c r="G358" s="54">
        <f>IF($N358&lt;&gt;"",INDEX(tblBilling[Monthly Fee],$N358),IF($O358=1,PC_TotalFee,""))</f>
        <v/>
      </c>
      <c r="H358" s="54">
        <f>IF($N358&lt;&gt;"",INDEX(tblBilling[Amount Paid],$N358),IF($O358=1,PC_TotalPaid,""))</f>
        <v/>
      </c>
      <c r="I358" s="54">
        <f>IF($N358&lt;&gt;"",INDEX(tblBilling[Balance],$N358),IF($O358=1,PC_TotalBalance,""))</f>
        <v/>
      </c>
      <c r="J358" s="53">
        <f>IF($N358&lt;&gt;"",INDEX(tblBilling[Payment Status],$N358),"")</f>
        <v/>
      </c>
      <c r="K358" s="55">
        <f>IF($N358&lt;&gt;"",IF(INDEX(tblBilling[Last Payment Date],$N358)="","",INDEX(tblBilling[Last Payment Date],$N358)),"")</f>
        <v/>
      </c>
      <c r="L358" s="53">
        <f>IF($N358&lt;&gt;"",INDEX(tblBilling[Collector Name],$N358),"")</f>
        <v/>
      </c>
      <c r="N358">
        <f>IF(N357="","",IFERROR(N357+MATCH(1,INDEX(tblBilling[Print Match],N357+1):INDEX(tblBilling[Print Match],ROWS(tblBilling[Print Match])),0),""))</f>
        <v/>
      </c>
      <c r="O358">
        <f>ROW()-9-MIN(PC_Count,500)</f>
        <v/>
      </c>
    </row>
    <row r="359" ht="20" customHeight="1">
      <c r="A359" s="52">
        <f>IF($N359="","",ROW()-9)</f>
        <v/>
      </c>
      <c r="B359" s="53">
        <f>IF($N359&lt;&gt;"",INDEX(tblBilling[Customer ID],$N359),"")</f>
        <v/>
      </c>
      <c r="C359" s="53">
        <f>IF($N359&lt;&gt;"",INDEX(tblBilling[Customer Name],$N359),CHOOSE(MIN(MAX($O359,0),7)+1,"","TOTAL","","Total Customers: "&amp;PC_Count,"Total Recovered: "&amp;CFG_CurrencySymbol&amp;" "&amp;TEXT(PC_TotalPaid,"#,##0"),"","Collector Signature: ____________",""))</f>
        <v/>
      </c>
      <c r="D359" s="53">
        <f>IF($N359&lt;&gt;"",INDEX(tblBilling[Full Address],$N359),CHOOSE(MIN(MAX($O359,0),7)+1,"","","","Total Billing: "&amp;CFG_CurrencySymbol&amp;" "&amp;TEXT(PC_TotalFee,"#,##0"),"Total Pending: "&amp;CFG_CurrencySymbol&amp;" "&amp;TEXT(PC_TotalBalance,"#,##0"),"","Office Verification: ____________",""))</f>
        <v/>
      </c>
      <c r="E359" s="53">
        <f>IF($N359&lt;&gt;"",INDEX(tblBilling[VLAN ID],$N359),"")</f>
        <v/>
      </c>
      <c r="F359" s="52">
        <f>IF($N359&lt;&gt;"",INDEX(tblBilling[Due Date],$N359),"")</f>
        <v/>
      </c>
      <c r="G359" s="54">
        <f>IF($N359&lt;&gt;"",INDEX(tblBilling[Monthly Fee],$N359),IF($O359=1,PC_TotalFee,""))</f>
        <v/>
      </c>
      <c r="H359" s="54">
        <f>IF($N359&lt;&gt;"",INDEX(tblBilling[Amount Paid],$N359),IF($O359=1,PC_TotalPaid,""))</f>
        <v/>
      </c>
      <c r="I359" s="54">
        <f>IF($N359&lt;&gt;"",INDEX(tblBilling[Balance],$N359),IF($O359=1,PC_TotalBalance,""))</f>
        <v/>
      </c>
      <c r="J359" s="53">
        <f>IF($N359&lt;&gt;"",INDEX(tblBilling[Payment Status],$N359),"")</f>
        <v/>
      </c>
      <c r="K359" s="55">
        <f>IF($N359&lt;&gt;"",IF(INDEX(tblBilling[Last Payment Date],$N359)="","",INDEX(tblBilling[Last Payment Date],$N359)),"")</f>
        <v/>
      </c>
      <c r="L359" s="53">
        <f>IF($N359&lt;&gt;"",INDEX(tblBilling[Collector Name],$N359),"")</f>
        <v/>
      </c>
      <c r="N359">
        <f>IF(N358="","",IFERROR(N358+MATCH(1,INDEX(tblBilling[Print Match],N358+1):INDEX(tblBilling[Print Match],ROWS(tblBilling[Print Match])),0),""))</f>
        <v/>
      </c>
      <c r="O359">
        <f>ROW()-9-MIN(PC_Count,500)</f>
        <v/>
      </c>
    </row>
    <row r="360" ht="20" customHeight="1">
      <c r="A360" s="52">
        <f>IF($N360="","",ROW()-9)</f>
        <v/>
      </c>
      <c r="B360" s="53">
        <f>IF($N360&lt;&gt;"",INDEX(tblBilling[Customer ID],$N360),"")</f>
        <v/>
      </c>
      <c r="C360" s="53">
        <f>IF($N360&lt;&gt;"",INDEX(tblBilling[Customer Name],$N360),CHOOSE(MIN(MAX($O360,0),7)+1,"","TOTAL","","Total Customers: "&amp;PC_Count,"Total Recovered: "&amp;CFG_CurrencySymbol&amp;" "&amp;TEXT(PC_TotalPaid,"#,##0"),"","Collector Signature: ____________",""))</f>
        <v/>
      </c>
      <c r="D360" s="53">
        <f>IF($N360&lt;&gt;"",INDEX(tblBilling[Full Address],$N360),CHOOSE(MIN(MAX($O360,0),7)+1,"","","","Total Billing: "&amp;CFG_CurrencySymbol&amp;" "&amp;TEXT(PC_TotalFee,"#,##0"),"Total Pending: "&amp;CFG_CurrencySymbol&amp;" "&amp;TEXT(PC_TotalBalance,"#,##0"),"","Office Verification: ____________",""))</f>
        <v/>
      </c>
      <c r="E360" s="53">
        <f>IF($N360&lt;&gt;"",INDEX(tblBilling[VLAN ID],$N360),"")</f>
        <v/>
      </c>
      <c r="F360" s="52">
        <f>IF($N360&lt;&gt;"",INDEX(tblBilling[Due Date],$N360),"")</f>
        <v/>
      </c>
      <c r="G360" s="54">
        <f>IF($N360&lt;&gt;"",INDEX(tblBilling[Monthly Fee],$N360),IF($O360=1,PC_TotalFee,""))</f>
        <v/>
      </c>
      <c r="H360" s="54">
        <f>IF($N360&lt;&gt;"",INDEX(tblBilling[Amount Paid],$N360),IF($O360=1,PC_TotalPaid,""))</f>
        <v/>
      </c>
      <c r="I360" s="54">
        <f>IF($N360&lt;&gt;"",INDEX(tblBilling[Balance],$N360),IF($O360=1,PC_TotalBalance,""))</f>
        <v/>
      </c>
      <c r="J360" s="53">
        <f>IF($N360&lt;&gt;"",INDEX(tblBilling[Payment Status],$N360),"")</f>
        <v/>
      </c>
      <c r="K360" s="55">
        <f>IF($N360&lt;&gt;"",IF(INDEX(tblBilling[Last Payment Date],$N360)="","",INDEX(tblBilling[Last Payment Date],$N360)),"")</f>
        <v/>
      </c>
      <c r="L360" s="53">
        <f>IF($N360&lt;&gt;"",INDEX(tblBilling[Collector Name],$N360),"")</f>
        <v/>
      </c>
      <c r="N360">
        <f>IF(N359="","",IFERROR(N359+MATCH(1,INDEX(tblBilling[Print Match],N359+1):INDEX(tblBilling[Print Match],ROWS(tblBilling[Print Match])),0),""))</f>
        <v/>
      </c>
      <c r="O360">
        <f>ROW()-9-MIN(PC_Count,500)</f>
        <v/>
      </c>
    </row>
    <row r="361" ht="20" customHeight="1">
      <c r="A361" s="52">
        <f>IF($N361="","",ROW()-9)</f>
        <v/>
      </c>
      <c r="B361" s="53">
        <f>IF($N361&lt;&gt;"",INDEX(tblBilling[Customer ID],$N361),"")</f>
        <v/>
      </c>
      <c r="C361" s="53">
        <f>IF($N361&lt;&gt;"",INDEX(tblBilling[Customer Name],$N361),CHOOSE(MIN(MAX($O361,0),7)+1,"","TOTAL","","Total Customers: "&amp;PC_Count,"Total Recovered: "&amp;CFG_CurrencySymbol&amp;" "&amp;TEXT(PC_TotalPaid,"#,##0"),"","Collector Signature: ____________",""))</f>
        <v/>
      </c>
      <c r="D361" s="53">
        <f>IF($N361&lt;&gt;"",INDEX(tblBilling[Full Address],$N361),CHOOSE(MIN(MAX($O361,0),7)+1,"","","","Total Billing: "&amp;CFG_CurrencySymbol&amp;" "&amp;TEXT(PC_TotalFee,"#,##0"),"Total Pending: "&amp;CFG_CurrencySymbol&amp;" "&amp;TEXT(PC_TotalBalance,"#,##0"),"","Office Verification: ____________",""))</f>
        <v/>
      </c>
      <c r="E361" s="53">
        <f>IF($N361&lt;&gt;"",INDEX(tblBilling[VLAN ID],$N361),"")</f>
        <v/>
      </c>
      <c r="F361" s="52">
        <f>IF($N361&lt;&gt;"",INDEX(tblBilling[Due Date],$N361),"")</f>
        <v/>
      </c>
      <c r="G361" s="54">
        <f>IF($N361&lt;&gt;"",INDEX(tblBilling[Monthly Fee],$N361),IF($O361=1,PC_TotalFee,""))</f>
        <v/>
      </c>
      <c r="H361" s="54">
        <f>IF($N361&lt;&gt;"",INDEX(tblBilling[Amount Paid],$N361),IF($O361=1,PC_TotalPaid,""))</f>
        <v/>
      </c>
      <c r="I361" s="54">
        <f>IF($N361&lt;&gt;"",INDEX(tblBilling[Balance],$N361),IF($O361=1,PC_TotalBalance,""))</f>
        <v/>
      </c>
      <c r="J361" s="53">
        <f>IF($N361&lt;&gt;"",INDEX(tblBilling[Payment Status],$N361),"")</f>
        <v/>
      </c>
      <c r="K361" s="55">
        <f>IF($N361&lt;&gt;"",IF(INDEX(tblBilling[Last Payment Date],$N361)="","",INDEX(tblBilling[Last Payment Date],$N361)),"")</f>
        <v/>
      </c>
      <c r="L361" s="53">
        <f>IF($N361&lt;&gt;"",INDEX(tblBilling[Collector Name],$N361),"")</f>
        <v/>
      </c>
      <c r="N361">
        <f>IF(N360="","",IFERROR(N360+MATCH(1,INDEX(tblBilling[Print Match],N360+1):INDEX(tblBilling[Print Match],ROWS(tblBilling[Print Match])),0),""))</f>
        <v/>
      </c>
      <c r="O361">
        <f>ROW()-9-MIN(PC_Count,500)</f>
        <v/>
      </c>
    </row>
    <row r="362" ht="20" customHeight="1">
      <c r="A362" s="52">
        <f>IF($N362="","",ROW()-9)</f>
        <v/>
      </c>
      <c r="B362" s="53">
        <f>IF($N362&lt;&gt;"",INDEX(tblBilling[Customer ID],$N362),"")</f>
        <v/>
      </c>
      <c r="C362" s="53">
        <f>IF($N362&lt;&gt;"",INDEX(tblBilling[Customer Name],$N362),CHOOSE(MIN(MAX($O362,0),7)+1,"","TOTAL","","Total Customers: "&amp;PC_Count,"Total Recovered: "&amp;CFG_CurrencySymbol&amp;" "&amp;TEXT(PC_TotalPaid,"#,##0"),"","Collector Signature: ____________",""))</f>
        <v/>
      </c>
      <c r="D362" s="53">
        <f>IF($N362&lt;&gt;"",INDEX(tblBilling[Full Address],$N362),CHOOSE(MIN(MAX($O362,0),7)+1,"","","","Total Billing: "&amp;CFG_CurrencySymbol&amp;" "&amp;TEXT(PC_TotalFee,"#,##0"),"Total Pending: "&amp;CFG_CurrencySymbol&amp;" "&amp;TEXT(PC_TotalBalance,"#,##0"),"","Office Verification: ____________",""))</f>
        <v/>
      </c>
      <c r="E362" s="53">
        <f>IF($N362&lt;&gt;"",INDEX(tblBilling[VLAN ID],$N362),"")</f>
        <v/>
      </c>
      <c r="F362" s="52">
        <f>IF($N362&lt;&gt;"",INDEX(tblBilling[Due Date],$N362),"")</f>
        <v/>
      </c>
      <c r="G362" s="54">
        <f>IF($N362&lt;&gt;"",INDEX(tblBilling[Monthly Fee],$N362),IF($O362=1,PC_TotalFee,""))</f>
        <v/>
      </c>
      <c r="H362" s="54">
        <f>IF($N362&lt;&gt;"",INDEX(tblBilling[Amount Paid],$N362),IF($O362=1,PC_TotalPaid,""))</f>
        <v/>
      </c>
      <c r="I362" s="54">
        <f>IF($N362&lt;&gt;"",INDEX(tblBilling[Balance],$N362),IF($O362=1,PC_TotalBalance,""))</f>
        <v/>
      </c>
      <c r="J362" s="53">
        <f>IF($N362&lt;&gt;"",INDEX(tblBilling[Payment Status],$N362),"")</f>
        <v/>
      </c>
      <c r="K362" s="55">
        <f>IF($N362&lt;&gt;"",IF(INDEX(tblBilling[Last Payment Date],$N362)="","",INDEX(tblBilling[Last Payment Date],$N362)),"")</f>
        <v/>
      </c>
      <c r="L362" s="53">
        <f>IF($N362&lt;&gt;"",INDEX(tblBilling[Collector Name],$N362),"")</f>
        <v/>
      </c>
      <c r="N362">
        <f>IF(N361="","",IFERROR(N361+MATCH(1,INDEX(tblBilling[Print Match],N361+1):INDEX(tblBilling[Print Match],ROWS(tblBilling[Print Match])),0),""))</f>
        <v/>
      </c>
      <c r="O362">
        <f>ROW()-9-MIN(PC_Count,500)</f>
        <v/>
      </c>
    </row>
    <row r="363" ht="20" customHeight="1">
      <c r="A363" s="52">
        <f>IF($N363="","",ROW()-9)</f>
        <v/>
      </c>
      <c r="B363" s="53">
        <f>IF($N363&lt;&gt;"",INDEX(tblBilling[Customer ID],$N363),"")</f>
        <v/>
      </c>
      <c r="C363" s="53">
        <f>IF($N363&lt;&gt;"",INDEX(tblBilling[Customer Name],$N363),CHOOSE(MIN(MAX($O363,0),7)+1,"","TOTAL","","Total Customers: "&amp;PC_Count,"Total Recovered: "&amp;CFG_CurrencySymbol&amp;" "&amp;TEXT(PC_TotalPaid,"#,##0"),"","Collector Signature: ____________",""))</f>
        <v/>
      </c>
      <c r="D363" s="53">
        <f>IF($N363&lt;&gt;"",INDEX(tblBilling[Full Address],$N363),CHOOSE(MIN(MAX($O363,0),7)+1,"","","","Total Billing: "&amp;CFG_CurrencySymbol&amp;" "&amp;TEXT(PC_TotalFee,"#,##0"),"Total Pending: "&amp;CFG_CurrencySymbol&amp;" "&amp;TEXT(PC_TotalBalance,"#,##0"),"","Office Verification: ____________",""))</f>
        <v/>
      </c>
      <c r="E363" s="53">
        <f>IF($N363&lt;&gt;"",INDEX(tblBilling[VLAN ID],$N363),"")</f>
        <v/>
      </c>
      <c r="F363" s="52">
        <f>IF($N363&lt;&gt;"",INDEX(tblBilling[Due Date],$N363),"")</f>
        <v/>
      </c>
      <c r="G363" s="54">
        <f>IF($N363&lt;&gt;"",INDEX(tblBilling[Monthly Fee],$N363),IF($O363=1,PC_TotalFee,""))</f>
        <v/>
      </c>
      <c r="H363" s="54">
        <f>IF($N363&lt;&gt;"",INDEX(tblBilling[Amount Paid],$N363),IF($O363=1,PC_TotalPaid,""))</f>
        <v/>
      </c>
      <c r="I363" s="54">
        <f>IF($N363&lt;&gt;"",INDEX(tblBilling[Balance],$N363),IF($O363=1,PC_TotalBalance,""))</f>
        <v/>
      </c>
      <c r="J363" s="53">
        <f>IF($N363&lt;&gt;"",INDEX(tblBilling[Payment Status],$N363),"")</f>
        <v/>
      </c>
      <c r="K363" s="55">
        <f>IF($N363&lt;&gt;"",IF(INDEX(tblBilling[Last Payment Date],$N363)="","",INDEX(tblBilling[Last Payment Date],$N363)),"")</f>
        <v/>
      </c>
      <c r="L363" s="53">
        <f>IF($N363&lt;&gt;"",INDEX(tblBilling[Collector Name],$N363),"")</f>
        <v/>
      </c>
      <c r="N363">
        <f>IF(N362="","",IFERROR(N362+MATCH(1,INDEX(tblBilling[Print Match],N362+1):INDEX(tblBilling[Print Match],ROWS(tblBilling[Print Match])),0),""))</f>
        <v/>
      </c>
      <c r="O363">
        <f>ROW()-9-MIN(PC_Count,500)</f>
        <v/>
      </c>
    </row>
    <row r="364" ht="20" customHeight="1">
      <c r="A364" s="52">
        <f>IF($N364="","",ROW()-9)</f>
        <v/>
      </c>
      <c r="B364" s="53">
        <f>IF($N364&lt;&gt;"",INDEX(tblBilling[Customer ID],$N364),"")</f>
        <v/>
      </c>
      <c r="C364" s="53">
        <f>IF($N364&lt;&gt;"",INDEX(tblBilling[Customer Name],$N364),CHOOSE(MIN(MAX($O364,0),7)+1,"","TOTAL","","Total Customers: "&amp;PC_Count,"Total Recovered: "&amp;CFG_CurrencySymbol&amp;" "&amp;TEXT(PC_TotalPaid,"#,##0"),"","Collector Signature: ____________",""))</f>
        <v/>
      </c>
      <c r="D364" s="53">
        <f>IF($N364&lt;&gt;"",INDEX(tblBilling[Full Address],$N364),CHOOSE(MIN(MAX($O364,0),7)+1,"","","","Total Billing: "&amp;CFG_CurrencySymbol&amp;" "&amp;TEXT(PC_TotalFee,"#,##0"),"Total Pending: "&amp;CFG_CurrencySymbol&amp;" "&amp;TEXT(PC_TotalBalance,"#,##0"),"","Office Verification: ____________",""))</f>
        <v/>
      </c>
      <c r="E364" s="53">
        <f>IF($N364&lt;&gt;"",INDEX(tblBilling[VLAN ID],$N364),"")</f>
        <v/>
      </c>
      <c r="F364" s="52">
        <f>IF($N364&lt;&gt;"",INDEX(tblBilling[Due Date],$N364),"")</f>
        <v/>
      </c>
      <c r="G364" s="54">
        <f>IF($N364&lt;&gt;"",INDEX(tblBilling[Monthly Fee],$N364),IF($O364=1,PC_TotalFee,""))</f>
        <v/>
      </c>
      <c r="H364" s="54">
        <f>IF($N364&lt;&gt;"",INDEX(tblBilling[Amount Paid],$N364),IF($O364=1,PC_TotalPaid,""))</f>
        <v/>
      </c>
      <c r="I364" s="54">
        <f>IF($N364&lt;&gt;"",INDEX(tblBilling[Balance],$N364),IF($O364=1,PC_TotalBalance,""))</f>
        <v/>
      </c>
      <c r="J364" s="53">
        <f>IF($N364&lt;&gt;"",INDEX(tblBilling[Payment Status],$N364),"")</f>
        <v/>
      </c>
      <c r="K364" s="55">
        <f>IF($N364&lt;&gt;"",IF(INDEX(tblBilling[Last Payment Date],$N364)="","",INDEX(tblBilling[Last Payment Date],$N364)),"")</f>
        <v/>
      </c>
      <c r="L364" s="53">
        <f>IF($N364&lt;&gt;"",INDEX(tblBilling[Collector Name],$N364),"")</f>
        <v/>
      </c>
      <c r="N364">
        <f>IF(N363="","",IFERROR(N363+MATCH(1,INDEX(tblBilling[Print Match],N363+1):INDEX(tblBilling[Print Match],ROWS(tblBilling[Print Match])),0),""))</f>
        <v/>
      </c>
      <c r="O364">
        <f>ROW()-9-MIN(PC_Count,500)</f>
        <v/>
      </c>
    </row>
    <row r="365" ht="20" customHeight="1">
      <c r="A365" s="52">
        <f>IF($N365="","",ROW()-9)</f>
        <v/>
      </c>
      <c r="B365" s="53">
        <f>IF($N365&lt;&gt;"",INDEX(tblBilling[Customer ID],$N365),"")</f>
        <v/>
      </c>
      <c r="C365" s="53">
        <f>IF($N365&lt;&gt;"",INDEX(tblBilling[Customer Name],$N365),CHOOSE(MIN(MAX($O365,0),7)+1,"","TOTAL","","Total Customers: "&amp;PC_Count,"Total Recovered: "&amp;CFG_CurrencySymbol&amp;" "&amp;TEXT(PC_TotalPaid,"#,##0"),"","Collector Signature: ____________",""))</f>
        <v/>
      </c>
      <c r="D365" s="53">
        <f>IF($N365&lt;&gt;"",INDEX(tblBilling[Full Address],$N365),CHOOSE(MIN(MAX($O365,0),7)+1,"","","","Total Billing: "&amp;CFG_CurrencySymbol&amp;" "&amp;TEXT(PC_TotalFee,"#,##0"),"Total Pending: "&amp;CFG_CurrencySymbol&amp;" "&amp;TEXT(PC_TotalBalance,"#,##0"),"","Office Verification: ____________",""))</f>
        <v/>
      </c>
      <c r="E365" s="53">
        <f>IF($N365&lt;&gt;"",INDEX(tblBilling[VLAN ID],$N365),"")</f>
        <v/>
      </c>
      <c r="F365" s="52">
        <f>IF($N365&lt;&gt;"",INDEX(tblBilling[Due Date],$N365),"")</f>
        <v/>
      </c>
      <c r="G365" s="54">
        <f>IF($N365&lt;&gt;"",INDEX(tblBilling[Monthly Fee],$N365),IF($O365=1,PC_TotalFee,""))</f>
        <v/>
      </c>
      <c r="H365" s="54">
        <f>IF($N365&lt;&gt;"",INDEX(tblBilling[Amount Paid],$N365),IF($O365=1,PC_TotalPaid,""))</f>
        <v/>
      </c>
      <c r="I365" s="54">
        <f>IF($N365&lt;&gt;"",INDEX(tblBilling[Balance],$N365),IF($O365=1,PC_TotalBalance,""))</f>
        <v/>
      </c>
      <c r="J365" s="53">
        <f>IF($N365&lt;&gt;"",INDEX(tblBilling[Payment Status],$N365),"")</f>
        <v/>
      </c>
      <c r="K365" s="55">
        <f>IF($N365&lt;&gt;"",IF(INDEX(tblBilling[Last Payment Date],$N365)="","",INDEX(tblBilling[Last Payment Date],$N365)),"")</f>
        <v/>
      </c>
      <c r="L365" s="53">
        <f>IF($N365&lt;&gt;"",INDEX(tblBilling[Collector Name],$N365),"")</f>
        <v/>
      </c>
      <c r="N365">
        <f>IF(N364="","",IFERROR(N364+MATCH(1,INDEX(tblBilling[Print Match],N364+1):INDEX(tblBilling[Print Match],ROWS(tblBilling[Print Match])),0),""))</f>
        <v/>
      </c>
      <c r="O365">
        <f>ROW()-9-MIN(PC_Count,500)</f>
        <v/>
      </c>
    </row>
    <row r="366" ht="20" customHeight="1">
      <c r="A366" s="52">
        <f>IF($N366="","",ROW()-9)</f>
        <v/>
      </c>
      <c r="B366" s="53">
        <f>IF($N366&lt;&gt;"",INDEX(tblBilling[Customer ID],$N366),"")</f>
        <v/>
      </c>
      <c r="C366" s="53">
        <f>IF($N366&lt;&gt;"",INDEX(tblBilling[Customer Name],$N366),CHOOSE(MIN(MAX($O366,0),7)+1,"","TOTAL","","Total Customers: "&amp;PC_Count,"Total Recovered: "&amp;CFG_CurrencySymbol&amp;" "&amp;TEXT(PC_TotalPaid,"#,##0"),"","Collector Signature: ____________",""))</f>
        <v/>
      </c>
      <c r="D366" s="53">
        <f>IF($N366&lt;&gt;"",INDEX(tblBilling[Full Address],$N366),CHOOSE(MIN(MAX($O366,0),7)+1,"","","","Total Billing: "&amp;CFG_CurrencySymbol&amp;" "&amp;TEXT(PC_TotalFee,"#,##0"),"Total Pending: "&amp;CFG_CurrencySymbol&amp;" "&amp;TEXT(PC_TotalBalance,"#,##0"),"","Office Verification: ____________",""))</f>
        <v/>
      </c>
      <c r="E366" s="53">
        <f>IF($N366&lt;&gt;"",INDEX(tblBilling[VLAN ID],$N366),"")</f>
        <v/>
      </c>
      <c r="F366" s="52">
        <f>IF($N366&lt;&gt;"",INDEX(tblBilling[Due Date],$N366),"")</f>
        <v/>
      </c>
      <c r="G366" s="54">
        <f>IF($N366&lt;&gt;"",INDEX(tblBilling[Monthly Fee],$N366),IF($O366=1,PC_TotalFee,""))</f>
        <v/>
      </c>
      <c r="H366" s="54">
        <f>IF($N366&lt;&gt;"",INDEX(tblBilling[Amount Paid],$N366),IF($O366=1,PC_TotalPaid,""))</f>
        <v/>
      </c>
      <c r="I366" s="54">
        <f>IF($N366&lt;&gt;"",INDEX(tblBilling[Balance],$N366),IF($O366=1,PC_TotalBalance,""))</f>
        <v/>
      </c>
      <c r="J366" s="53">
        <f>IF($N366&lt;&gt;"",INDEX(tblBilling[Payment Status],$N366),"")</f>
        <v/>
      </c>
      <c r="K366" s="55">
        <f>IF($N366&lt;&gt;"",IF(INDEX(tblBilling[Last Payment Date],$N366)="","",INDEX(tblBilling[Last Payment Date],$N366)),"")</f>
        <v/>
      </c>
      <c r="L366" s="53">
        <f>IF($N366&lt;&gt;"",INDEX(tblBilling[Collector Name],$N366),"")</f>
        <v/>
      </c>
      <c r="N366">
        <f>IF(N365="","",IFERROR(N365+MATCH(1,INDEX(tblBilling[Print Match],N365+1):INDEX(tblBilling[Print Match],ROWS(tblBilling[Print Match])),0),""))</f>
        <v/>
      </c>
      <c r="O366">
        <f>ROW()-9-MIN(PC_Count,500)</f>
        <v/>
      </c>
    </row>
    <row r="367" ht="20" customHeight="1">
      <c r="A367" s="52">
        <f>IF($N367="","",ROW()-9)</f>
        <v/>
      </c>
      <c r="B367" s="53">
        <f>IF($N367&lt;&gt;"",INDEX(tblBilling[Customer ID],$N367),"")</f>
        <v/>
      </c>
      <c r="C367" s="53">
        <f>IF($N367&lt;&gt;"",INDEX(tblBilling[Customer Name],$N367),CHOOSE(MIN(MAX($O367,0),7)+1,"","TOTAL","","Total Customers: "&amp;PC_Count,"Total Recovered: "&amp;CFG_CurrencySymbol&amp;" "&amp;TEXT(PC_TotalPaid,"#,##0"),"","Collector Signature: ____________",""))</f>
        <v/>
      </c>
      <c r="D367" s="53">
        <f>IF($N367&lt;&gt;"",INDEX(tblBilling[Full Address],$N367),CHOOSE(MIN(MAX($O367,0),7)+1,"","","","Total Billing: "&amp;CFG_CurrencySymbol&amp;" "&amp;TEXT(PC_TotalFee,"#,##0"),"Total Pending: "&amp;CFG_CurrencySymbol&amp;" "&amp;TEXT(PC_TotalBalance,"#,##0"),"","Office Verification: ____________",""))</f>
        <v/>
      </c>
      <c r="E367" s="53">
        <f>IF($N367&lt;&gt;"",INDEX(tblBilling[VLAN ID],$N367),"")</f>
        <v/>
      </c>
      <c r="F367" s="52">
        <f>IF($N367&lt;&gt;"",INDEX(tblBilling[Due Date],$N367),"")</f>
        <v/>
      </c>
      <c r="G367" s="54">
        <f>IF($N367&lt;&gt;"",INDEX(tblBilling[Monthly Fee],$N367),IF($O367=1,PC_TotalFee,""))</f>
        <v/>
      </c>
      <c r="H367" s="54">
        <f>IF($N367&lt;&gt;"",INDEX(tblBilling[Amount Paid],$N367),IF($O367=1,PC_TotalPaid,""))</f>
        <v/>
      </c>
      <c r="I367" s="54">
        <f>IF($N367&lt;&gt;"",INDEX(tblBilling[Balance],$N367),IF($O367=1,PC_TotalBalance,""))</f>
        <v/>
      </c>
      <c r="J367" s="53">
        <f>IF($N367&lt;&gt;"",INDEX(tblBilling[Payment Status],$N367),"")</f>
        <v/>
      </c>
      <c r="K367" s="55">
        <f>IF($N367&lt;&gt;"",IF(INDEX(tblBilling[Last Payment Date],$N367)="","",INDEX(tblBilling[Last Payment Date],$N367)),"")</f>
        <v/>
      </c>
      <c r="L367" s="53">
        <f>IF($N367&lt;&gt;"",INDEX(tblBilling[Collector Name],$N367),"")</f>
        <v/>
      </c>
      <c r="N367">
        <f>IF(N366="","",IFERROR(N366+MATCH(1,INDEX(tblBilling[Print Match],N366+1):INDEX(tblBilling[Print Match],ROWS(tblBilling[Print Match])),0),""))</f>
        <v/>
      </c>
      <c r="O367">
        <f>ROW()-9-MIN(PC_Count,500)</f>
        <v/>
      </c>
    </row>
    <row r="368" ht="20" customHeight="1">
      <c r="A368" s="52">
        <f>IF($N368="","",ROW()-9)</f>
        <v/>
      </c>
      <c r="B368" s="53">
        <f>IF($N368&lt;&gt;"",INDEX(tblBilling[Customer ID],$N368),"")</f>
        <v/>
      </c>
      <c r="C368" s="53">
        <f>IF($N368&lt;&gt;"",INDEX(tblBilling[Customer Name],$N368),CHOOSE(MIN(MAX($O368,0),7)+1,"","TOTAL","","Total Customers: "&amp;PC_Count,"Total Recovered: "&amp;CFG_CurrencySymbol&amp;" "&amp;TEXT(PC_TotalPaid,"#,##0"),"","Collector Signature: ____________",""))</f>
        <v/>
      </c>
      <c r="D368" s="53">
        <f>IF($N368&lt;&gt;"",INDEX(tblBilling[Full Address],$N368),CHOOSE(MIN(MAX($O368,0),7)+1,"","","","Total Billing: "&amp;CFG_CurrencySymbol&amp;" "&amp;TEXT(PC_TotalFee,"#,##0"),"Total Pending: "&amp;CFG_CurrencySymbol&amp;" "&amp;TEXT(PC_TotalBalance,"#,##0"),"","Office Verification: ____________",""))</f>
        <v/>
      </c>
      <c r="E368" s="53">
        <f>IF($N368&lt;&gt;"",INDEX(tblBilling[VLAN ID],$N368),"")</f>
        <v/>
      </c>
      <c r="F368" s="52">
        <f>IF($N368&lt;&gt;"",INDEX(tblBilling[Due Date],$N368),"")</f>
        <v/>
      </c>
      <c r="G368" s="54">
        <f>IF($N368&lt;&gt;"",INDEX(tblBilling[Monthly Fee],$N368),IF($O368=1,PC_TotalFee,""))</f>
        <v/>
      </c>
      <c r="H368" s="54">
        <f>IF($N368&lt;&gt;"",INDEX(tblBilling[Amount Paid],$N368),IF($O368=1,PC_TotalPaid,""))</f>
        <v/>
      </c>
      <c r="I368" s="54">
        <f>IF($N368&lt;&gt;"",INDEX(tblBilling[Balance],$N368),IF($O368=1,PC_TotalBalance,""))</f>
        <v/>
      </c>
      <c r="J368" s="53">
        <f>IF($N368&lt;&gt;"",INDEX(tblBilling[Payment Status],$N368),"")</f>
        <v/>
      </c>
      <c r="K368" s="55">
        <f>IF($N368&lt;&gt;"",IF(INDEX(tblBilling[Last Payment Date],$N368)="","",INDEX(tblBilling[Last Payment Date],$N368)),"")</f>
        <v/>
      </c>
      <c r="L368" s="53">
        <f>IF($N368&lt;&gt;"",INDEX(tblBilling[Collector Name],$N368),"")</f>
        <v/>
      </c>
      <c r="N368">
        <f>IF(N367="","",IFERROR(N367+MATCH(1,INDEX(tblBilling[Print Match],N367+1):INDEX(tblBilling[Print Match],ROWS(tblBilling[Print Match])),0),""))</f>
        <v/>
      </c>
      <c r="O368">
        <f>ROW()-9-MIN(PC_Count,500)</f>
        <v/>
      </c>
    </row>
    <row r="369" ht="20" customHeight="1">
      <c r="A369" s="52">
        <f>IF($N369="","",ROW()-9)</f>
        <v/>
      </c>
      <c r="B369" s="53">
        <f>IF($N369&lt;&gt;"",INDEX(tblBilling[Customer ID],$N369),"")</f>
        <v/>
      </c>
      <c r="C369" s="53">
        <f>IF($N369&lt;&gt;"",INDEX(tblBilling[Customer Name],$N369),CHOOSE(MIN(MAX($O369,0),7)+1,"","TOTAL","","Total Customers: "&amp;PC_Count,"Total Recovered: "&amp;CFG_CurrencySymbol&amp;" "&amp;TEXT(PC_TotalPaid,"#,##0"),"","Collector Signature: ____________",""))</f>
        <v/>
      </c>
      <c r="D369" s="53">
        <f>IF($N369&lt;&gt;"",INDEX(tblBilling[Full Address],$N369),CHOOSE(MIN(MAX($O369,0),7)+1,"","","","Total Billing: "&amp;CFG_CurrencySymbol&amp;" "&amp;TEXT(PC_TotalFee,"#,##0"),"Total Pending: "&amp;CFG_CurrencySymbol&amp;" "&amp;TEXT(PC_TotalBalance,"#,##0"),"","Office Verification: ____________",""))</f>
        <v/>
      </c>
      <c r="E369" s="53">
        <f>IF($N369&lt;&gt;"",INDEX(tblBilling[VLAN ID],$N369),"")</f>
        <v/>
      </c>
      <c r="F369" s="52">
        <f>IF($N369&lt;&gt;"",INDEX(tblBilling[Due Date],$N369),"")</f>
        <v/>
      </c>
      <c r="G369" s="54">
        <f>IF($N369&lt;&gt;"",INDEX(tblBilling[Monthly Fee],$N369),IF($O369=1,PC_TotalFee,""))</f>
        <v/>
      </c>
      <c r="H369" s="54">
        <f>IF($N369&lt;&gt;"",INDEX(tblBilling[Amount Paid],$N369),IF($O369=1,PC_TotalPaid,""))</f>
        <v/>
      </c>
      <c r="I369" s="54">
        <f>IF($N369&lt;&gt;"",INDEX(tblBilling[Balance],$N369),IF($O369=1,PC_TotalBalance,""))</f>
        <v/>
      </c>
      <c r="J369" s="53">
        <f>IF($N369&lt;&gt;"",INDEX(tblBilling[Payment Status],$N369),"")</f>
        <v/>
      </c>
      <c r="K369" s="55">
        <f>IF($N369&lt;&gt;"",IF(INDEX(tblBilling[Last Payment Date],$N369)="","",INDEX(tblBilling[Last Payment Date],$N369)),"")</f>
        <v/>
      </c>
      <c r="L369" s="53">
        <f>IF($N369&lt;&gt;"",INDEX(tblBilling[Collector Name],$N369),"")</f>
        <v/>
      </c>
      <c r="N369">
        <f>IF(N368="","",IFERROR(N368+MATCH(1,INDEX(tblBilling[Print Match],N368+1):INDEX(tblBilling[Print Match],ROWS(tblBilling[Print Match])),0),""))</f>
        <v/>
      </c>
      <c r="O369">
        <f>ROW()-9-MIN(PC_Count,500)</f>
        <v/>
      </c>
    </row>
    <row r="370" ht="20" customHeight="1">
      <c r="A370" s="52">
        <f>IF($N370="","",ROW()-9)</f>
        <v/>
      </c>
      <c r="B370" s="53">
        <f>IF($N370&lt;&gt;"",INDEX(tblBilling[Customer ID],$N370),"")</f>
        <v/>
      </c>
      <c r="C370" s="53">
        <f>IF($N370&lt;&gt;"",INDEX(tblBilling[Customer Name],$N370),CHOOSE(MIN(MAX($O370,0),7)+1,"","TOTAL","","Total Customers: "&amp;PC_Count,"Total Recovered: "&amp;CFG_CurrencySymbol&amp;" "&amp;TEXT(PC_TotalPaid,"#,##0"),"","Collector Signature: ____________",""))</f>
        <v/>
      </c>
      <c r="D370" s="53">
        <f>IF($N370&lt;&gt;"",INDEX(tblBilling[Full Address],$N370),CHOOSE(MIN(MAX($O370,0),7)+1,"","","","Total Billing: "&amp;CFG_CurrencySymbol&amp;" "&amp;TEXT(PC_TotalFee,"#,##0"),"Total Pending: "&amp;CFG_CurrencySymbol&amp;" "&amp;TEXT(PC_TotalBalance,"#,##0"),"","Office Verification: ____________",""))</f>
        <v/>
      </c>
      <c r="E370" s="53">
        <f>IF($N370&lt;&gt;"",INDEX(tblBilling[VLAN ID],$N370),"")</f>
        <v/>
      </c>
      <c r="F370" s="52">
        <f>IF($N370&lt;&gt;"",INDEX(tblBilling[Due Date],$N370),"")</f>
        <v/>
      </c>
      <c r="G370" s="54">
        <f>IF($N370&lt;&gt;"",INDEX(tblBilling[Monthly Fee],$N370),IF($O370=1,PC_TotalFee,""))</f>
        <v/>
      </c>
      <c r="H370" s="54">
        <f>IF($N370&lt;&gt;"",INDEX(tblBilling[Amount Paid],$N370),IF($O370=1,PC_TotalPaid,""))</f>
        <v/>
      </c>
      <c r="I370" s="54">
        <f>IF($N370&lt;&gt;"",INDEX(tblBilling[Balance],$N370),IF($O370=1,PC_TotalBalance,""))</f>
        <v/>
      </c>
      <c r="J370" s="53">
        <f>IF($N370&lt;&gt;"",INDEX(tblBilling[Payment Status],$N370),"")</f>
        <v/>
      </c>
      <c r="K370" s="55">
        <f>IF($N370&lt;&gt;"",IF(INDEX(tblBilling[Last Payment Date],$N370)="","",INDEX(tblBilling[Last Payment Date],$N370)),"")</f>
        <v/>
      </c>
      <c r="L370" s="53">
        <f>IF($N370&lt;&gt;"",INDEX(tblBilling[Collector Name],$N370),"")</f>
        <v/>
      </c>
      <c r="N370">
        <f>IF(N369="","",IFERROR(N369+MATCH(1,INDEX(tblBilling[Print Match],N369+1):INDEX(tblBilling[Print Match],ROWS(tblBilling[Print Match])),0),""))</f>
        <v/>
      </c>
      <c r="O370">
        <f>ROW()-9-MIN(PC_Count,500)</f>
        <v/>
      </c>
    </row>
    <row r="371" ht="20" customHeight="1">
      <c r="A371" s="52">
        <f>IF($N371="","",ROW()-9)</f>
        <v/>
      </c>
      <c r="B371" s="53">
        <f>IF($N371&lt;&gt;"",INDEX(tblBilling[Customer ID],$N371),"")</f>
        <v/>
      </c>
      <c r="C371" s="53">
        <f>IF($N371&lt;&gt;"",INDEX(tblBilling[Customer Name],$N371),CHOOSE(MIN(MAX($O371,0),7)+1,"","TOTAL","","Total Customers: "&amp;PC_Count,"Total Recovered: "&amp;CFG_CurrencySymbol&amp;" "&amp;TEXT(PC_TotalPaid,"#,##0"),"","Collector Signature: ____________",""))</f>
        <v/>
      </c>
      <c r="D371" s="53">
        <f>IF($N371&lt;&gt;"",INDEX(tblBilling[Full Address],$N371),CHOOSE(MIN(MAX($O371,0),7)+1,"","","","Total Billing: "&amp;CFG_CurrencySymbol&amp;" "&amp;TEXT(PC_TotalFee,"#,##0"),"Total Pending: "&amp;CFG_CurrencySymbol&amp;" "&amp;TEXT(PC_TotalBalance,"#,##0"),"","Office Verification: ____________",""))</f>
        <v/>
      </c>
      <c r="E371" s="53">
        <f>IF($N371&lt;&gt;"",INDEX(tblBilling[VLAN ID],$N371),"")</f>
        <v/>
      </c>
      <c r="F371" s="52">
        <f>IF($N371&lt;&gt;"",INDEX(tblBilling[Due Date],$N371),"")</f>
        <v/>
      </c>
      <c r="G371" s="54">
        <f>IF($N371&lt;&gt;"",INDEX(tblBilling[Monthly Fee],$N371),IF($O371=1,PC_TotalFee,""))</f>
        <v/>
      </c>
      <c r="H371" s="54">
        <f>IF($N371&lt;&gt;"",INDEX(tblBilling[Amount Paid],$N371),IF($O371=1,PC_TotalPaid,""))</f>
        <v/>
      </c>
      <c r="I371" s="54">
        <f>IF($N371&lt;&gt;"",INDEX(tblBilling[Balance],$N371),IF($O371=1,PC_TotalBalance,""))</f>
        <v/>
      </c>
      <c r="J371" s="53">
        <f>IF($N371&lt;&gt;"",INDEX(tblBilling[Payment Status],$N371),"")</f>
        <v/>
      </c>
      <c r="K371" s="55">
        <f>IF($N371&lt;&gt;"",IF(INDEX(tblBilling[Last Payment Date],$N371)="","",INDEX(tblBilling[Last Payment Date],$N371)),"")</f>
        <v/>
      </c>
      <c r="L371" s="53">
        <f>IF($N371&lt;&gt;"",INDEX(tblBilling[Collector Name],$N371),"")</f>
        <v/>
      </c>
      <c r="N371">
        <f>IF(N370="","",IFERROR(N370+MATCH(1,INDEX(tblBilling[Print Match],N370+1):INDEX(tblBilling[Print Match],ROWS(tblBilling[Print Match])),0),""))</f>
        <v/>
      </c>
      <c r="O371">
        <f>ROW()-9-MIN(PC_Count,500)</f>
        <v/>
      </c>
    </row>
    <row r="372" ht="20" customHeight="1">
      <c r="A372" s="52">
        <f>IF($N372="","",ROW()-9)</f>
        <v/>
      </c>
      <c r="B372" s="53">
        <f>IF($N372&lt;&gt;"",INDEX(tblBilling[Customer ID],$N372),"")</f>
        <v/>
      </c>
      <c r="C372" s="53">
        <f>IF($N372&lt;&gt;"",INDEX(tblBilling[Customer Name],$N372),CHOOSE(MIN(MAX($O372,0),7)+1,"","TOTAL","","Total Customers: "&amp;PC_Count,"Total Recovered: "&amp;CFG_CurrencySymbol&amp;" "&amp;TEXT(PC_TotalPaid,"#,##0"),"","Collector Signature: ____________",""))</f>
        <v/>
      </c>
      <c r="D372" s="53">
        <f>IF($N372&lt;&gt;"",INDEX(tblBilling[Full Address],$N372),CHOOSE(MIN(MAX($O372,0),7)+1,"","","","Total Billing: "&amp;CFG_CurrencySymbol&amp;" "&amp;TEXT(PC_TotalFee,"#,##0"),"Total Pending: "&amp;CFG_CurrencySymbol&amp;" "&amp;TEXT(PC_TotalBalance,"#,##0"),"","Office Verification: ____________",""))</f>
        <v/>
      </c>
      <c r="E372" s="53">
        <f>IF($N372&lt;&gt;"",INDEX(tblBilling[VLAN ID],$N372),"")</f>
        <v/>
      </c>
      <c r="F372" s="52">
        <f>IF($N372&lt;&gt;"",INDEX(tblBilling[Due Date],$N372),"")</f>
        <v/>
      </c>
      <c r="G372" s="54">
        <f>IF($N372&lt;&gt;"",INDEX(tblBilling[Monthly Fee],$N372),IF($O372=1,PC_TotalFee,""))</f>
        <v/>
      </c>
      <c r="H372" s="54">
        <f>IF($N372&lt;&gt;"",INDEX(tblBilling[Amount Paid],$N372),IF($O372=1,PC_TotalPaid,""))</f>
        <v/>
      </c>
      <c r="I372" s="54">
        <f>IF($N372&lt;&gt;"",INDEX(tblBilling[Balance],$N372),IF($O372=1,PC_TotalBalance,""))</f>
        <v/>
      </c>
      <c r="J372" s="53">
        <f>IF($N372&lt;&gt;"",INDEX(tblBilling[Payment Status],$N372),"")</f>
        <v/>
      </c>
      <c r="K372" s="55">
        <f>IF($N372&lt;&gt;"",IF(INDEX(tblBilling[Last Payment Date],$N372)="","",INDEX(tblBilling[Last Payment Date],$N372)),"")</f>
        <v/>
      </c>
      <c r="L372" s="53">
        <f>IF($N372&lt;&gt;"",INDEX(tblBilling[Collector Name],$N372),"")</f>
        <v/>
      </c>
      <c r="N372">
        <f>IF(N371="","",IFERROR(N371+MATCH(1,INDEX(tblBilling[Print Match],N371+1):INDEX(tblBilling[Print Match],ROWS(tblBilling[Print Match])),0),""))</f>
        <v/>
      </c>
      <c r="O372">
        <f>ROW()-9-MIN(PC_Count,500)</f>
        <v/>
      </c>
    </row>
    <row r="373" ht="20" customHeight="1">
      <c r="A373" s="52">
        <f>IF($N373="","",ROW()-9)</f>
        <v/>
      </c>
      <c r="B373" s="53">
        <f>IF($N373&lt;&gt;"",INDEX(tblBilling[Customer ID],$N373),"")</f>
        <v/>
      </c>
      <c r="C373" s="53">
        <f>IF($N373&lt;&gt;"",INDEX(tblBilling[Customer Name],$N373),CHOOSE(MIN(MAX($O373,0),7)+1,"","TOTAL","","Total Customers: "&amp;PC_Count,"Total Recovered: "&amp;CFG_CurrencySymbol&amp;" "&amp;TEXT(PC_TotalPaid,"#,##0"),"","Collector Signature: ____________",""))</f>
        <v/>
      </c>
      <c r="D373" s="53">
        <f>IF($N373&lt;&gt;"",INDEX(tblBilling[Full Address],$N373),CHOOSE(MIN(MAX($O373,0),7)+1,"","","","Total Billing: "&amp;CFG_CurrencySymbol&amp;" "&amp;TEXT(PC_TotalFee,"#,##0"),"Total Pending: "&amp;CFG_CurrencySymbol&amp;" "&amp;TEXT(PC_TotalBalance,"#,##0"),"","Office Verification: ____________",""))</f>
        <v/>
      </c>
      <c r="E373" s="53">
        <f>IF($N373&lt;&gt;"",INDEX(tblBilling[VLAN ID],$N373),"")</f>
        <v/>
      </c>
      <c r="F373" s="52">
        <f>IF($N373&lt;&gt;"",INDEX(tblBilling[Due Date],$N373),"")</f>
        <v/>
      </c>
      <c r="G373" s="54">
        <f>IF($N373&lt;&gt;"",INDEX(tblBilling[Monthly Fee],$N373),IF($O373=1,PC_TotalFee,""))</f>
        <v/>
      </c>
      <c r="H373" s="54">
        <f>IF($N373&lt;&gt;"",INDEX(tblBilling[Amount Paid],$N373),IF($O373=1,PC_TotalPaid,""))</f>
        <v/>
      </c>
      <c r="I373" s="54">
        <f>IF($N373&lt;&gt;"",INDEX(tblBilling[Balance],$N373),IF($O373=1,PC_TotalBalance,""))</f>
        <v/>
      </c>
      <c r="J373" s="53">
        <f>IF($N373&lt;&gt;"",INDEX(tblBilling[Payment Status],$N373),"")</f>
        <v/>
      </c>
      <c r="K373" s="55">
        <f>IF($N373&lt;&gt;"",IF(INDEX(tblBilling[Last Payment Date],$N373)="","",INDEX(tblBilling[Last Payment Date],$N373)),"")</f>
        <v/>
      </c>
      <c r="L373" s="53">
        <f>IF($N373&lt;&gt;"",INDEX(tblBilling[Collector Name],$N373),"")</f>
        <v/>
      </c>
      <c r="N373">
        <f>IF(N372="","",IFERROR(N372+MATCH(1,INDEX(tblBilling[Print Match],N372+1):INDEX(tblBilling[Print Match],ROWS(tblBilling[Print Match])),0),""))</f>
        <v/>
      </c>
      <c r="O373">
        <f>ROW()-9-MIN(PC_Count,500)</f>
        <v/>
      </c>
    </row>
    <row r="374" ht="20" customHeight="1">
      <c r="A374" s="52">
        <f>IF($N374="","",ROW()-9)</f>
        <v/>
      </c>
      <c r="B374" s="53">
        <f>IF($N374&lt;&gt;"",INDEX(tblBilling[Customer ID],$N374),"")</f>
        <v/>
      </c>
      <c r="C374" s="53">
        <f>IF($N374&lt;&gt;"",INDEX(tblBilling[Customer Name],$N374),CHOOSE(MIN(MAX($O374,0),7)+1,"","TOTAL","","Total Customers: "&amp;PC_Count,"Total Recovered: "&amp;CFG_CurrencySymbol&amp;" "&amp;TEXT(PC_TotalPaid,"#,##0"),"","Collector Signature: ____________",""))</f>
        <v/>
      </c>
      <c r="D374" s="53">
        <f>IF($N374&lt;&gt;"",INDEX(tblBilling[Full Address],$N374),CHOOSE(MIN(MAX($O374,0),7)+1,"","","","Total Billing: "&amp;CFG_CurrencySymbol&amp;" "&amp;TEXT(PC_TotalFee,"#,##0"),"Total Pending: "&amp;CFG_CurrencySymbol&amp;" "&amp;TEXT(PC_TotalBalance,"#,##0"),"","Office Verification: ____________",""))</f>
        <v/>
      </c>
      <c r="E374" s="53">
        <f>IF($N374&lt;&gt;"",INDEX(tblBilling[VLAN ID],$N374),"")</f>
        <v/>
      </c>
      <c r="F374" s="52">
        <f>IF($N374&lt;&gt;"",INDEX(tblBilling[Due Date],$N374),"")</f>
        <v/>
      </c>
      <c r="G374" s="54">
        <f>IF($N374&lt;&gt;"",INDEX(tblBilling[Monthly Fee],$N374),IF($O374=1,PC_TotalFee,""))</f>
        <v/>
      </c>
      <c r="H374" s="54">
        <f>IF($N374&lt;&gt;"",INDEX(tblBilling[Amount Paid],$N374),IF($O374=1,PC_TotalPaid,""))</f>
        <v/>
      </c>
      <c r="I374" s="54">
        <f>IF($N374&lt;&gt;"",INDEX(tblBilling[Balance],$N374),IF($O374=1,PC_TotalBalance,""))</f>
        <v/>
      </c>
      <c r="J374" s="53">
        <f>IF($N374&lt;&gt;"",INDEX(tblBilling[Payment Status],$N374),"")</f>
        <v/>
      </c>
      <c r="K374" s="55">
        <f>IF($N374&lt;&gt;"",IF(INDEX(tblBilling[Last Payment Date],$N374)="","",INDEX(tblBilling[Last Payment Date],$N374)),"")</f>
        <v/>
      </c>
      <c r="L374" s="53">
        <f>IF($N374&lt;&gt;"",INDEX(tblBilling[Collector Name],$N374),"")</f>
        <v/>
      </c>
      <c r="N374">
        <f>IF(N373="","",IFERROR(N373+MATCH(1,INDEX(tblBilling[Print Match],N373+1):INDEX(tblBilling[Print Match],ROWS(tblBilling[Print Match])),0),""))</f>
        <v/>
      </c>
      <c r="O374">
        <f>ROW()-9-MIN(PC_Count,500)</f>
        <v/>
      </c>
    </row>
    <row r="375" ht="20" customHeight="1">
      <c r="A375" s="52">
        <f>IF($N375="","",ROW()-9)</f>
        <v/>
      </c>
      <c r="B375" s="53">
        <f>IF($N375&lt;&gt;"",INDEX(tblBilling[Customer ID],$N375),"")</f>
        <v/>
      </c>
      <c r="C375" s="53">
        <f>IF($N375&lt;&gt;"",INDEX(tblBilling[Customer Name],$N375),CHOOSE(MIN(MAX($O375,0),7)+1,"","TOTAL","","Total Customers: "&amp;PC_Count,"Total Recovered: "&amp;CFG_CurrencySymbol&amp;" "&amp;TEXT(PC_TotalPaid,"#,##0"),"","Collector Signature: ____________",""))</f>
        <v/>
      </c>
      <c r="D375" s="53">
        <f>IF($N375&lt;&gt;"",INDEX(tblBilling[Full Address],$N375),CHOOSE(MIN(MAX($O375,0),7)+1,"","","","Total Billing: "&amp;CFG_CurrencySymbol&amp;" "&amp;TEXT(PC_TotalFee,"#,##0"),"Total Pending: "&amp;CFG_CurrencySymbol&amp;" "&amp;TEXT(PC_TotalBalance,"#,##0"),"","Office Verification: ____________",""))</f>
        <v/>
      </c>
      <c r="E375" s="53">
        <f>IF($N375&lt;&gt;"",INDEX(tblBilling[VLAN ID],$N375),"")</f>
        <v/>
      </c>
      <c r="F375" s="52">
        <f>IF($N375&lt;&gt;"",INDEX(tblBilling[Due Date],$N375),"")</f>
        <v/>
      </c>
      <c r="G375" s="54">
        <f>IF($N375&lt;&gt;"",INDEX(tblBilling[Monthly Fee],$N375),IF($O375=1,PC_TotalFee,""))</f>
        <v/>
      </c>
      <c r="H375" s="54">
        <f>IF($N375&lt;&gt;"",INDEX(tblBilling[Amount Paid],$N375),IF($O375=1,PC_TotalPaid,""))</f>
        <v/>
      </c>
      <c r="I375" s="54">
        <f>IF($N375&lt;&gt;"",INDEX(tblBilling[Balance],$N375),IF($O375=1,PC_TotalBalance,""))</f>
        <v/>
      </c>
      <c r="J375" s="53">
        <f>IF($N375&lt;&gt;"",INDEX(tblBilling[Payment Status],$N375),"")</f>
        <v/>
      </c>
      <c r="K375" s="55">
        <f>IF($N375&lt;&gt;"",IF(INDEX(tblBilling[Last Payment Date],$N375)="","",INDEX(tblBilling[Last Payment Date],$N375)),"")</f>
        <v/>
      </c>
      <c r="L375" s="53">
        <f>IF($N375&lt;&gt;"",INDEX(tblBilling[Collector Name],$N375),"")</f>
        <v/>
      </c>
      <c r="N375">
        <f>IF(N374="","",IFERROR(N374+MATCH(1,INDEX(tblBilling[Print Match],N374+1):INDEX(tblBilling[Print Match],ROWS(tblBilling[Print Match])),0),""))</f>
        <v/>
      </c>
      <c r="O375">
        <f>ROW()-9-MIN(PC_Count,500)</f>
        <v/>
      </c>
    </row>
    <row r="376" ht="20" customHeight="1">
      <c r="A376" s="52">
        <f>IF($N376="","",ROW()-9)</f>
        <v/>
      </c>
      <c r="B376" s="53">
        <f>IF($N376&lt;&gt;"",INDEX(tblBilling[Customer ID],$N376),"")</f>
        <v/>
      </c>
      <c r="C376" s="53">
        <f>IF($N376&lt;&gt;"",INDEX(tblBilling[Customer Name],$N376),CHOOSE(MIN(MAX($O376,0),7)+1,"","TOTAL","","Total Customers: "&amp;PC_Count,"Total Recovered: "&amp;CFG_CurrencySymbol&amp;" "&amp;TEXT(PC_TotalPaid,"#,##0"),"","Collector Signature: ____________",""))</f>
        <v/>
      </c>
      <c r="D376" s="53">
        <f>IF($N376&lt;&gt;"",INDEX(tblBilling[Full Address],$N376),CHOOSE(MIN(MAX($O376,0),7)+1,"","","","Total Billing: "&amp;CFG_CurrencySymbol&amp;" "&amp;TEXT(PC_TotalFee,"#,##0"),"Total Pending: "&amp;CFG_CurrencySymbol&amp;" "&amp;TEXT(PC_TotalBalance,"#,##0"),"","Office Verification: ____________",""))</f>
        <v/>
      </c>
      <c r="E376" s="53">
        <f>IF($N376&lt;&gt;"",INDEX(tblBilling[VLAN ID],$N376),"")</f>
        <v/>
      </c>
      <c r="F376" s="52">
        <f>IF($N376&lt;&gt;"",INDEX(tblBilling[Due Date],$N376),"")</f>
        <v/>
      </c>
      <c r="G376" s="54">
        <f>IF($N376&lt;&gt;"",INDEX(tblBilling[Monthly Fee],$N376),IF($O376=1,PC_TotalFee,""))</f>
        <v/>
      </c>
      <c r="H376" s="54">
        <f>IF($N376&lt;&gt;"",INDEX(tblBilling[Amount Paid],$N376),IF($O376=1,PC_TotalPaid,""))</f>
        <v/>
      </c>
      <c r="I376" s="54">
        <f>IF($N376&lt;&gt;"",INDEX(tblBilling[Balance],$N376),IF($O376=1,PC_TotalBalance,""))</f>
        <v/>
      </c>
      <c r="J376" s="53">
        <f>IF($N376&lt;&gt;"",INDEX(tblBilling[Payment Status],$N376),"")</f>
        <v/>
      </c>
      <c r="K376" s="55">
        <f>IF($N376&lt;&gt;"",IF(INDEX(tblBilling[Last Payment Date],$N376)="","",INDEX(tblBilling[Last Payment Date],$N376)),"")</f>
        <v/>
      </c>
      <c r="L376" s="53">
        <f>IF($N376&lt;&gt;"",INDEX(tblBilling[Collector Name],$N376),"")</f>
        <v/>
      </c>
      <c r="N376">
        <f>IF(N375="","",IFERROR(N375+MATCH(1,INDEX(tblBilling[Print Match],N375+1):INDEX(tblBilling[Print Match],ROWS(tblBilling[Print Match])),0),""))</f>
        <v/>
      </c>
      <c r="O376">
        <f>ROW()-9-MIN(PC_Count,500)</f>
        <v/>
      </c>
    </row>
    <row r="377" ht="20" customHeight="1">
      <c r="A377" s="52">
        <f>IF($N377="","",ROW()-9)</f>
        <v/>
      </c>
      <c r="B377" s="53">
        <f>IF($N377&lt;&gt;"",INDEX(tblBilling[Customer ID],$N377),"")</f>
        <v/>
      </c>
      <c r="C377" s="53">
        <f>IF($N377&lt;&gt;"",INDEX(tblBilling[Customer Name],$N377),CHOOSE(MIN(MAX($O377,0),7)+1,"","TOTAL","","Total Customers: "&amp;PC_Count,"Total Recovered: "&amp;CFG_CurrencySymbol&amp;" "&amp;TEXT(PC_TotalPaid,"#,##0"),"","Collector Signature: ____________",""))</f>
        <v/>
      </c>
      <c r="D377" s="53">
        <f>IF($N377&lt;&gt;"",INDEX(tblBilling[Full Address],$N377),CHOOSE(MIN(MAX($O377,0),7)+1,"","","","Total Billing: "&amp;CFG_CurrencySymbol&amp;" "&amp;TEXT(PC_TotalFee,"#,##0"),"Total Pending: "&amp;CFG_CurrencySymbol&amp;" "&amp;TEXT(PC_TotalBalance,"#,##0"),"","Office Verification: ____________",""))</f>
        <v/>
      </c>
      <c r="E377" s="53">
        <f>IF($N377&lt;&gt;"",INDEX(tblBilling[VLAN ID],$N377),"")</f>
        <v/>
      </c>
      <c r="F377" s="52">
        <f>IF($N377&lt;&gt;"",INDEX(tblBilling[Due Date],$N377),"")</f>
        <v/>
      </c>
      <c r="G377" s="54">
        <f>IF($N377&lt;&gt;"",INDEX(tblBilling[Monthly Fee],$N377),IF($O377=1,PC_TotalFee,""))</f>
        <v/>
      </c>
      <c r="H377" s="54">
        <f>IF($N377&lt;&gt;"",INDEX(tblBilling[Amount Paid],$N377),IF($O377=1,PC_TotalPaid,""))</f>
        <v/>
      </c>
      <c r="I377" s="54">
        <f>IF($N377&lt;&gt;"",INDEX(tblBilling[Balance],$N377),IF($O377=1,PC_TotalBalance,""))</f>
        <v/>
      </c>
      <c r="J377" s="53">
        <f>IF($N377&lt;&gt;"",INDEX(tblBilling[Payment Status],$N377),"")</f>
        <v/>
      </c>
      <c r="K377" s="55">
        <f>IF($N377&lt;&gt;"",IF(INDEX(tblBilling[Last Payment Date],$N377)="","",INDEX(tblBilling[Last Payment Date],$N377)),"")</f>
        <v/>
      </c>
      <c r="L377" s="53">
        <f>IF($N377&lt;&gt;"",INDEX(tblBilling[Collector Name],$N377),"")</f>
        <v/>
      </c>
      <c r="N377">
        <f>IF(N376="","",IFERROR(N376+MATCH(1,INDEX(tblBilling[Print Match],N376+1):INDEX(tblBilling[Print Match],ROWS(tblBilling[Print Match])),0),""))</f>
        <v/>
      </c>
      <c r="O377">
        <f>ROW()-9-MIN(PC_Count,500)</f>
        <v/>
      </c>
    </row>
    <row r="378" ht="20" customHeight="1">
      <c r="A378" s="52">
        <f>IF($N378="","",ROW()-9)</f>
        <v/>
      </c>
      <c r="B378" s="53">
        <f>IF($N378&lt;&gt;"",INDEX(tblBilling[Customer ID],$N378),"")</f>
        <v/>
      </c>
      <c r="C378" s="53">
        <f>IF($N378&lt;&gt;"",INDEX(tblBilling[Customer Name],$N378),CHOOSE(MIN(MAX($O378,0),7)+1,"","TOTAL","","Total Customers: "&amp;PC_Count,"Total Recovered: "&amp;CFG_CurrencySymbol&amp;" "&amp;TEXT(PC_TotalPaid,"#,##0"),"","Collector Signature: ____________",""))</f>
        <v/>
      </c>
      <c r="D378" s="53">
        <f>IF($N378&lt;&gt;"",INDEX(tblBilling[Full Address],$N378),CHOOSE(MIN(MAX($O378,0),7)+1,"","","","Total Billing: "&amp;CFG_CurrencySymbol&amp;" "&amp;TEXT(PC_TotalFee,"#,##0"),"Total Pending: "&amp;CFG_CurrencySymbol&amp;" "&amp;TEXT(PC_TotalBalance,"#,##0"),"","Office Verification: ____________",""))</f>
        <v/>
      </c>
      <c r="E378" s="53">
        <f>IF($N378&lt;&gt;"",INDEX(tblBilling[VLAN ID],$N378),"")</f>
        <v/>
      </c>
      <c r="F378" s="52">
        <f>IF($N378&lt;&gt;"",INDEX(tblBilling[Due Date],$N378),"")</f>
        <v/>
      </c>
      <c r="G378" s="54">
        <f>IF($N378&lt;&gt;"",INDEX(tblBilling[Monthly Fee],$N378),IF($O378=1,PC_TotalFee,""))</f>
        <v/>
      </c>
      <c r="H378" s="54">
        <f>IF($N378&lt;&gt;"",INDEX(tblBilling[Amount Paid],$N378),IF($O378=1,PC_TotalPaid,""))</f>
        <v/>
      </c>
      <c r="I378" s="54">
        <f>IF($N378&lt;&gt;"",INDEX(tblBilling[Balance],$N378),IF($O378=1,PC_TotalBalance,""))</f>
        <v/>
      </c>
      <c r="J378" s="53">
        <f>IF($N378&lt;&gt;"",INDEX(tblBilling[Payment Status],$N378),"")</f>
        <v/>
      </c>
      <c r="K378" s="55">
        <f>IF($N378&lt;&gt;"",IF(INDEX(tblBilling[Last Payment Date],$N378)="","",INDEX(tblBilling[Last Payment Date],$N378)),"")</f>
        <v/>
      </c>
      <c r="L378" s="53">
        <f>IF($N378&lt;&gt;"",INDEX(tblBilling[Collector Name],$N378),"")</f>
        <v/>
      </c>
      <c r="N378">
        <f>IF(N377="","",IFERROR(N377+MATCH(1,INDEX(tblBilling[Print Match],N377+1):INDEX(tblBilling[Print Match],ROWS(tblBilling[Print Match])),0),""))</f>
        <v/>
      </c>
      <c r="O378">
        <f>ROW()-9-MIN(PC_Count,500)</f>
        <v/>
      </c>
    </row>
    <row r="379" ht="20" customHeight="1">
      <c r="A379" s="52">
        <f>IF($N379="","",ROW()-9)</f>
        <v/>
      </c>
      <c r="B379" s="53">
        <f>IF($N379&lt;&gt;"",INDEX(tblBilling[Customer ID],$N379),"")</f>
        <v/>
      </c>
      <c r="C379" s="53">
        <f>IF($N379&lt;&gt;"",INDEX(tblBilling[Customer Name],$N379),CHOOSE(MIN(MAX($O379,0),7)+1,"","TOTAL","","Total Customers: "&amp;PC_Count,"Total Recovered: "&amp;CFG_CurrencySymbol&amp;" "&amp;TEXT(PC_TotalPaid,"#,##0"),"","Collector Signature: ____________",""))</f>
        <v/>
      </c>
      <c r="D379" s="53">
        <f>IF($N379&lt;&gt;"",INDEX(tblBilling[Full Address],$N379),CHOOSE(MIN(MAX($O379,0),7)+1,"","","","Total Billing: "&amp;CFG_CurrencySymbol&amp;" "&amp;TEXT(PC_TotalFee,"#,##0"),"Total Pending: "&amp;CFG_CurrencySymbol&amp;" "&amp;TEXT(PC_TotalBalance,"#,##0"),"","Office Verification: ____________",""))</f>
        <v/>
      </c>
      <c r="E379" s="53">
        <f>IF($N379&lt;&gt;"",INDEX(tblBilling[VLAN ID],$N379),"")</f>
        <v/>
      </c>
      <c r="F379" s="52">
        <f>IF($N379&lt;&gt;"",INDEX(tblBilling[Due Date],$N379),"")</f>
        <v/>
      </c>
      <c r="G379" s="54">
        <f>IF($N379&lt;&gt;"",INDEX(tblBilling[Monthly Fee],$N379),IF($O379=1,PC_TotalFee,""))</f>
        <v/>
      </c>
      <c r="H379" s="54">
        <f>IF($N379&lt;&gt;"",INDEX(tblBilling[Amount Paid],$N379),IF($O379=1,PC_TotalPaid,""))</f>
        <v/>
      </c>
      <c r="I379" s="54">
        <f>IF($N379&lt;&gt;"",INDEX(tblBilling[Balance],$N379),IF($O379=1,PC_TotalBalance,""))</f>
        <v/>
      </c>
      <c r="J379" s="53">
        <f>IF($N379&lt;&gt;"",INDEX(tblBilling[Payment Status],$N379),"")</f>
        <v/>
      </c>
      <c r="K379" s="55">
        <f>IF($N379&lt;&gt;"",IF(INDEX(tblBilling[Last Payment Date],$N379)="","",INDEX(tblBilling[Last Payment Date],$N379)),"")</f>
        <v/>
      </c>
      <c r="L379" s="53">
        <f>IF($N379&lt;&gt;"",INDEX(tblBilling[Collector Name],$N379),"")</f>
        <v/>
      </c>
      <c r="N379">
        <f>IF(N378="","",IFERROR(N378+MATCH(1,INDEX(tblBilling[Print Match],N378+1):INDEX(tblBilling[Print Match],ROWS(tblBilling[Print Match])),0),""))</f>
        <v/>
      </c>
      <c r="O379">
        <f>ROW()-9-MIN(PC_Count,500)</f>
        <v/>
      </c>
    </row>
    <row r="380" ht="20" customHeight="1">
      <c r="A380" s="52">
        <f>IF($N380="","",ROW()-9)</f>
        <v/>
      </c>
      <c r="B380" s="53">
        <f>IF($N380&lt;&gt;"",INDEX(tblBilling[Customer ID],$N380),"")</f>
        <v/>
      </c>
      <c r="C380" s="53">
        <f>IF($N380&lt;&gt;"",INDEX(tblBilling[Customer Name],$N380),CHOOSE(MIN(MAX($O380,0),7)+1,"","TOTAL","","Total Customers: "&amp;PC_Count,"Total Recovered: "&amp;CFG_CurrencySymbol&amp;" "&amp;TEXT(PC_TotalPaid,"#,##0"),"","Collector Signature: ____________",""))</f>
        <v/>
      </c>
      <c r="D380" s="53">
        <f>IF($N380&lt;&gt;"",INDEX(tblBilling[Full Address],$N380),CHOOSE(MIN(MAX($O380,0),7)+1,"","","","Total Billing: "&amp;CFG_CurrencySymbol&amp;" "&amp;TEXT(PC_TotalFee,"#,##0"),"Total Pending: "&amp;CFG_CurrencySymbol&amp;" "&amp;TEXT(PC_TotalBalance,"#,##0"),"","Office Verification: ____________",""))</f>
        <v/>
      </c>
      <c r="E380" s="53">
        <f>IF($N380&lt;&gt;"",INDEX(tblBilling[VLAN ID],$N380),"")</f>
        <v/>
      </c>
      <c r="F380" s="52">
        <f>IF($N380&lt;&gt;"",INDEX(tblBilling[Due Date],$N380),"")</f>
        <v/>
      </c>
      <c r="G380" s="54">
        <f>IF($N380&lt;&gt;"",INDEX(tblBilling[Monthly Fee],$N380),IF($O380=1,PC_TotalFee,""))</f>
        <v/>
      </c>
      <c r="H380" s="54">
        <f>IF($N380&lt;&gt;"",INDEX(tblBilling[Amount Paid],$N380),IF($O380=1,PC_TotalPaid,""))</f>
        <v/>
      </c>
      <c r="I380" s="54">
        <f>IF($N380&lt;&gt;"",INDEX(tblBilling[Balance],$N380),IF($O380=1,PC_TotalBalance,""))</f>
        <v/>
      </c>
      <c r="J380" s="53">
        <f>IF($N380&lt;&gt;"",INDEX(tblBilling[Payment Status],$N380),"")</f>
        <v/>
      </c>
      <c r="K380" s="55">
        <f>IF($N380&lt;&gt;"",IF(INDEX(tblBilling[Last Payment Date],$N380)="","",INDEX(tblBilling[Last Payment Date],$N380)),"")</f>
        <v/>
      </c>
      <c r="L380" s="53">
        <f>IF($N380&lt;&gt;"",INDEX(tblBilling[Collector Name],$N380),"")</f>
        <v/>
      </c>
      <c r="N380">
        <f>IF(N379="","",IFERROR(N379+MATCH(1,INDEX(tblBilling[Print Match],N379+1):INDEX(tblBilling[Print Match],ROWS(tblBilling[Print Match])),0),""))</f>
        <v/>
      </c>
      <c r="O380">
        <f>ROW()-9-MIN(PC_Count,500)</f>
        <v/>
      </c>
    </row>
    <row r="381" ht="20" customHeight="1">
      <c r="A381" s="52">
        <f>IF($N381="","",ROW()-9)</f>
        <v/>
      </c>
      <c r="B381" s="53">
        <f>IF($N381&lt;&gt;"",INDEX(tblBilling[Customer ID],$N381),"")</f>
        <v/>
      </c>
      <c r="C381" s="53">
        <f>IF($N381&lt;&gt;"",INDEX(tblBilling[Customer Name],$N381),CHOOSE(MIN(MAX($O381,0),7)+1,"","TOTAL","","Total Customers: "&amp;PC_Count,"Total Recovered: "&amp;CFG_CurrencySymbol&amp;" "&amp;TEXT(PC_TotalPaid,"#,##0"),"","Collector Signature: ____________",""))</f>
        <v/>
      </c>
      <c r="D381" s="53">
        <f>IF($N381&lt;&gt;"",INDEX(tblBilling[Full Address],$N381),CHOOSE(MIN(MAX($O381,0),7)+1,"","","","Total Billing: "&amp;CFG_CurrencySymbol&amp;" "&amp;TEXT(PC_TotalFee,"#,##0"),"Total Pending: "&amp;CFG_CurrencySymbol&amp;" "&amp;TEXT(PC_TotalBalance,"#,##0"),"","Office Verification: ____________",""))</f>
        <v/>
      </c>
      <c r="E381" s="53">
        <f>IF($N381&lt;&gt;"",INDEX(tblBilling[VLAN ID],$N381),"")</f>
        <v/>
      </c>
      <c r="F381" s="52">
        <f>IF($N381&lt;&gt;"",INDEX(tblBilling[Due Date],$N381),"")</f>
        <v/>
      </c>
      <c r="G381" s="54">
        <f>IF($N381&lt;&gt;"",INDEX(tblBilling[Monthly Fee],$N381),IF($O381=1,PC_TotalFee,""))</f>
        <v/>
      </c>
      <c r="H381" s="54">
        <f>IF($N381&lt;&gt;"",INDEX(tblBilling[Amount Paid],$N381),IF($O381=1,PC_TotalPaid,""))</f>
        <v/>
      </c>
      <c r="I381" s="54">
        <f>IF($N381&lt;&gt;"",INDEX(tblBilling[Balance],$N381),IF($O381=1,PC_TotalBalance,""))</f>
        <v/>
      </c>
      <c r="J381" s="53">
        <f>IF($N381&lt;&gt;"",INDEX(tblBilling[Payment Status],$N381),"")</f>
        <v/>
      </c>
      <c r="K381" s="55">
        <f>IF($N381&lt;&gt;"",IF(INDEX(tblBilling[Last Payment Date],$N381)="","",INDEX(tblBilling[Last Payment Date],$N381)),"")</f>
        <v/>
      </c>
      <c r="L381" s="53">
        <f>IF($N381&lt;&gt;"",INDEX(tblBilling[Collector Name],$N381),"")</f>
        <v/>
      </c>
      <c r="N381">
        <f>IF(N380="","",IFERROR(N380+MATCH(1,INDEX(tblBilling[Print Match],N380+1):INDEX(tblBilling[Print Match],ROWS(tblBilling[Print Match])),0),""))</f>
        <v/>
      </c>
      <c r="O381">
        <f>ROW()-9-MIN(PC_Count,500)</f>
        <v/>
      </c>
    </row>
    <row r="382" ht="20" customHeight="1">
      <c r="A382" s="52">
        <f>IF($N382="","",ROW()-9)</f>
        <v/>
      </c>
      <c r="B382" s="53">
        <f>IF($N382&lt;&gt;"",INDEX(tblBilling[Customer ID],$N382),"")</f>
        <v/>
      </c>
      <c r="C382" s="53">
        <f>IF($N382&lt;&gt;"",INDEX(tblBilling[Customer Name],$N382),CHOOSE(MIN(MAX($O382,0),7)+1,"","TOTAL","","Total Customers: "&amp;PC_Count,"Total Recovered: "&amp;CFG_CurrencySymbol&amp;" "&amp;TEXT(PC_TotalPaid,"#,##0"),"","Collector Signature: ____________",""))</f>
        <v/>
      </c>
      <c r="D382" s="53">
        <f>IF($N382&lt;&gt;"",INDEX(tblBilling[Full Address],$N382),CHOOSE(MIN(MAX($O382,0),7)+1,"","","","Total Billing: "&amp;CFG_CurrencySymbol&amp;" "&amp;TEXT(PC_TotalFee,"#,##0"),"Total Pending: "&amp;CFG_CurrencySymbol&amp;" "&amp;TEXT(PC_TotalBalance,"#,##0"),"","Office Verification: ____________",""))</f>
        <v/>
      </c>
      <c r="E382" s="53">
        <f>IF($N382&lt;&gt;"",INDEX(tblBilling[VLAN ID],$N382),"")</f>
        <v/>
      </c>
      <c r="F382" s="52">
        <f>IF($N382&lt;&gt;"",INDEX(tblBilling[Due Date],$N382),"")</f>
        <v/>
      </c>
      <c r="G382" s="54">
        <f>IF($N382&lt;&gt;"",INDEX(tblBilling[Monthly Fee],$N382),IF($O382=1,PC_TotalFee,""))</f>
        <v/>
      </c>
      <c r="H382" s="54">
        <f>IF($N382&lt;&gt;"",INDEX(tblBilling[Amount Paid],$N382),IF($O382=1,PC_TotalPaid,""))</f>
        <v/>
      </c>
      <c r="I382" s="54">
        <f>IF($N382&lt;&gt;"",INDEX(tblBilling[Balance],$N382),IF($O382=1,PC_TotalBalance,""))</f>
        <v/>
      </c>
      <c r="J382" s="53">
        <f>IF($N382&lt;&gt;"",INDEX(tblBilling[Payment Status],$N382),"")</f>
        <v/>
      </c>
      <c r="K382" s="55">
        <f>IF($N382&lt;&gt;"",IF(INDEX(tblBilling[Last Payment Date],$N382)="","",INDEX(tblBilling[Last Payment Date],$N382)),"")</f>
        <v/>
      </c>
      <c r="L382" s="53">
        <f>IF($N382&lt;&gt;"",INDEX(tblBilling[Collector Name],$N382),"")</f>
        <v/>
      </c>
      <c r="N382">
        <f>IF(N381="","",IFERROR(N381+MATCH(1,INDEX(tblBilling[Print Match],N381+1):INDEX(tblBilling[Print Match],ROWS(tblBilling[Print Match])),0),""))</f>
        <v/>
      </c>
      <c r="O382">
        <f>ROW()-9-MIN(PC_Count,500)</f>
        <v/>
      </c>
    </row>
    <row r="383" ht="20" customHeight="1">
      <c r="A383" s="52">
        <f>IF($N383="","",ROW()-9)</f>
        <v/>
      </c>
      <c r="B383" s="53">
        <f>IF($N383&lt;&gt;"",INDEX(tblBilling[Customer ID],$N383),"")</f>
        <v/>
      </c>
      <c r="C383" s="53">
        <f>IF($N383&lt;&gt;"",INDEX(tblBilling[Customer Name],$N383),CHOOSE(MIN(MAX($O383,0),7)+1,"","TOTAL","","Total Customers: "&amp;PC_Count,"Total Recovered: "&amp;CFG_CurrencySymbol&amp;" "&amp;TEXT(PC_TotalPaid,"#,##0"),"","Collector Signature: ____________",""))</f>
        <v/>
      </c>
      <c r="D383" s="53">
        <f>IF($N383&lt;&gt;"",INDEX(tblBilling[Full Address],$N383),CHOOSE(MIN(MAX($O383,0),7)+1,"","","","Total Billing: "&amp;CFG_CurrencySymbol&amp;" "&amp;TEXT(PC_TotalFee,"#,##0"),"Total Pending: "&amp;CFG_CurrencySymbol&amp;" "&amp;TEXT(PC_TotalBalance,"#,##0"),"","Office Verification: ____________",""))</f>
        <v/>
      </c>
      <c r="E383" s="53">
        <f>IF($N383&lt;&gt;"",INDEX(tblBilling[VLAN ID],$N383),"")</f>
        <v/>
      </c>
      <c r="F383" s="52">
        <f>IF($N383&lt;&gt;"",INDEX(tblBilling[Due Date],$N383),"")</f>
        <v/>
      </c>
      <c r="G383" s="54">
        <f>IF($N383&lt;&gt;"",INDEX(tblBilling[Monthly Fee],$N383),IF($O383=1,PC_TotalFee,""))</f>
        <v/>
      </c>
      <c r="H383" s="54">
        <f>IF($N383&lt;&gt;"",INDEX(tblBilling[Amount Paid],$N383),IF($O383=1,PC_TotalPaid,""))</f>
        <v/>
      </c>
      <c r="I383" s="54">
        <f>IF($N383&lt;&gt;"",INDEX(tblBilling[Balance],$N383),IF($O383=1,PC_TotalBalance,""))</f>
        <v/>
      </c>
      <c r="J383" s="53">
        <f>IF($N383&lt;&gt;"",INDEX(tblBilling[Payment Status],$N383),"")</f>
        <v/>
      </c>
      <c r="K383" s="55">
        <f>IF($N383&lt;&gt;"",IF(INDEX(tblBilling[Last Payment Date],$N383)="","",INDEX(tblBilling[Last Payment Date],$N383)),"")</f>
        <v/>
      </c>
      <c r="L383" s="53">
        <f>IF($N383&lt;&gt;"",INDEX(tblBilling[Collector Name],$N383),"")</f>
        <v/>
      </c>
      <c r="N383">
        <f>IF(N382="","",IFERROR(N382+MATCH(1,INDEX(tblBilling[Print Match],N382+1):INDEX(tblBilling[Print Match],ROWS(tblBilling[Print Match])),0),""))</f>
        <v/>
      </c>
      <c r="O383">
        <f>ROW()-9-MIN(PC_Count,500)</f>
        <v/>
      </c>
    </row>
    <row r="384" ht="20" customHeight="1">
      <c r="A384" s="52">
        <f>IF($N384="","",ROW()-9)</f>
        <v/>
      </c>
      <c r="B384" s="53">
        <f>IF($N384&lt;&gt;"",INDEX(tblBilling[Customer ID],$N384),"")</f>
        <v/>
      </c>
      <c r="C384" s="53">
        <f>IF($N384&lt;&gt;"",INDEX(tblBilling[Customer Name],$N384),CHOOSE(MIN(MAX($O384,0),7)+1,"","TOTAL","","Total Customers: "&amp;PC_Count,"Total Recovered: "&amp;CFG_CurrencySymbol&amp;" "&amp;TEXT(PC_TotalPaid,"#,##0"),"","Collector Signature: ____________",""))</f>
        <v/>
      </c>
      <c r="D384" s="53">
        <f>IF($N384&lt;&gt;"",INDEX(tblBilling[Full Address],$N384),CHOOSE(MIN(MAX($O384,0),7)+1,"","","","Total Billing: "&amp;CFG_CurrencySymbol&amp;" "&amp;TEXT(PC_TotalFee,"#,##0"),"Total Pending: "&amp;CFG_CurrencySymbol&amp;" "&amp;TEXT(PC_TotalBalance,"#,##0"),"","Office Verification: ____________",""))</f>
        <v/>
      </c>
      <c r="E384" s="53">
        <f>IF($N384&lt;&gt;"",INDEX(tblBilling[VLAN ID],$N384),"")</f>
        <v/>
      </c>
      <c r="F384" s="52">
        <f>IF($N384&lt;&gt;"",INDEX(tblBilling[Due Date],$N384),"")</f>
        <v/>
      </c>
      <c r="G384" s="54">
        <f>IF($N384&lt;&gt;"",INDEX(tblBilling[Monthly Fee],$N384),IF($O384=1,PC_TotalFee,""))</f>
        <v/>
      </c>
      <c r="H384" s="54">
        <f>IF($N384&lt;&gt;"",INDEX(tblBilling[Amount Paid],$N384),IF($O384=1,PC_TotalPaid,""))</f>
        <v/>
      </c>
      <c r="I384" s="54">
        <f>IF($N384&lt;&gt;"",INDEX(tblBilling[Balance],$N384),IF($O384=1,PC_TotalBalance,""))</f>
        <v/>
      </c>
      <c r="J384" s="53">
        <f>IF($N384&lt;&gt;"",INDEX(tblBilling[Payment Status],$N384),"")</f>
        <v/>
      </c>
      <c r="K384" s="55">
        <f>IF($N384&lt;&gt;"",IF(INDEX(tblBilling[Last Payment Date],$N384)="","",INDEX(tblBilling[Last Payment Date],$N384)),"")</f>
        <v/>
      </c>
      <c r="L384" s="53">
        <f>IF($N384&lt;&gt;"",INDEX(tblBilling[Collector Name],$N384),"")</f>
        <v/>
      </c>
      <c r="N384">
        <f>IF(N383="","",IFERROR(N383+MATCH(1,INDEX(tblBilling[Print Match],N383+1):INDEX(tblBilling[Print Match],ROWS(tblBilling[Print Match])),0),""))</f>
        <v/>
      </c>
      <c r="O384">
        <f>ROW()-9-MIN(PC_Count,500)</f>
        <v/>
      </c>
    </row>
    <row r="385" ht="20" customHeight="1">
      <c r="A385" s="52">
        <f>IF($N385="","",ROW()-9)</f>
        <v/>
      </c>
      <c r="B385" s="53">
        <f>IF($N385&lt;&gt;"",INDEX(tblBilling[Customer ID],$N385),"")</f>
        <v/>
      </c>
      <c r="C385" s="53">
        <f>IF($N385&lt;&gt;"",INDEX(tblBilling[Customer Name],$N385),CHOOSE(MIN(MAX($O385,0),7)+1,"","TOTAL","","Total Customers: "&amp;PC_Count,"Total Recovered: "&amp;CFG_CurrencySymbol&amp;" "&amp;TEXT(PC_TotalPaid,"#,##0"),"","Collector Signature: ____________",""))</f>
        <v/>
      </c>
      <c r="D385" s="53">
        <f>IF($N385&lt;&gt;"",INDEX(tblBilling[Full Address],$N385),CHOOSE(MIN(MAX($O385,0),7)+1,"","","","Total Billing: "&amp;CFG_CurrencySymbol&amp;" "&amp;TEXT(PC_TotalFee,"#,##0"),"Total Pending: "&amp;CFG_CurrencySymbol&amp;" "&amp;TEXT(PC_TotalBalance,"#,##0"),"","Office Verification: ____________",""))</f>
        <v/>
      </c>
      <c r="E385" s="53">
        <f>IF($N385&lt;&gt;"",INDEX(tblBilling[VLAN ID],$N385),"")</f>
        <v/>
      </c>
      <c r="F385" s="52">
        <f>IF($N385&lt;&gt;"",INDEX(tblBilling[Due Date],$N385),"")</f>
        <v/>
      </c>
      <c r="G385" s="54">
        <f>IF($N385&lt;&gt;"",INDEX(tblBilling[Monthly Fee],$N385),IF($O385=1,PC_TotalFee,""))</f>
        <v/>
      </c>
      <c r="H385" s="54">
        <f>IF($N385&lt;&gt;"",INDEX(tblBilling[Amount Paid],$N385),IF($O385=1,PC_TotalPaid,""))</f>
        <v/>
      </c>
      <c r="I385" s="54">
        <f>IF($N385&lt;&gt;"",INDEX(tblBilling[Balance],$N385),IF($O385=1,PC_TotalBalance,""))</f>
        <v/>
      </c>
      <c r="J385" s="53">
        <f>IF($N385&lt;&gt;"",INDEX(tblBilling[Payment Status],$N385),"")</f>
        <v/>
      </c>
      <c r="K385" s="55">
        <f>IF($N385&lt;&gt;"",IF(INDEX(tblBilling[Last Payment Date],$N385)="","",INDEX(tblBilling[Last Payment Date],$N385)),"")</f>
        <v/>
      </c>
      <c r="L385" s="53">
        <f>IF($N385&lt;&gt;"",INDEX(tblBilling[Collector Name],$N385),"")</f>
        <v/>
      </c>
      <c r="N385">
        <f>IF(N384="","",IFERROR(N384+MATCH(1,INDEX(tblBilling[Print Match],N384+1):INDEX(tblBilling[Print Match],ROWS(tblBilling[Print Match])),0),""))</f>
        <v/>
      </c>
      <c r="O385">
        <f>ROW()-9-MIN(PC_Count,500)</f>
        <v/>
      </c>
    </row>
    <row r="386" ht="20" customHeight="1">
      <c r="A386" s="52">
        <f>IF($N386="","",ROW()-9)</f>
        <v/>
      </c>
      <c r="B386" s="53">
        <f>IF($N386&lt;&gt;"",INDEX(tblBilling[Customer ID],$N386),"")</f>
        <v/>
      </c>
      <c r="C386" s="53">
        <f>IF($N386&lt;&gt;"",INDEX(tblBilling[Customer Name],$N386),CHOOSE(MIN(MAX($O386,0),7)+1,"","TOTAL","","Total Customers: "&amp;PC_Count,"Total Recovered: "&amp;CFG_CurrencySymbol&amp;" "&amp;TEXT(PC_TotalPaid,"#,##0"),"","Collector Signature: ____________",""))</f>
        <v/>
      </c>
      <c r="D386" s="53">
        <f>IF($N386&lt;&gt;"",INDEX(tblBilling[Full Address],$N386),CHOOSE(MIN(MAX($O386,0),7)+1,"","","","Total Billing: "&amp;CFG_CurrencySymbol&amp;" "&amp;TEXT(PC_TotalFee,"#,##0"),"Total Pending: "&amp;CFG_CurrencySymbol&amp;" "&amp;TEXT(PC_TotalBalance,"#,##0"),"","Office Verification: ____________",""))</f>
        <v/>
      </c>
      <c r="E386" s="53">
        <f>IF($N386&lt;&gt;"",INDEX(tblBilling[VLAN ID],$N386),"")</f>
        <v/>
      </c>
      <c r="F386" s="52">
        <f>IF($N386&lt;&gt;"",INDEX(tblBilling[Due Date],$N386),"")</f>
        <v/>
      </c>
      <c r="G386" s="54">
        <f>IF($N386&lt;&gt;"",INDEX(tblBilling[Monthly Fee],$N386),IF($O386=1,PC_TotalFee,""))</f>
        <v/>
      </c>
      <c r="H386" s="54">
        <f>IF($N386&lt;&gt;"",INDEX(tblBilling[Amount Paid],$N386),IF($O386=1,PC_TotalPaid,""))</f>
        <v/>
      </c>
      <c r="I386" s="54">
        <f>IF($N386&lt;&gt;"",INDEX(tblBilling[Balance],$N386),IF($O386=1,PC_TotalBalance,""))</f>
        <v/>
      </c>
      <c r="J386" s="53">
        <f>IF($N386&lt;&gt;"",INDEX(tblBilling[Payment Status],$N386),"")</f>
        <v/>
      </c>
      <c r="K386" s="55">
        <f>IF($N386&lt;&gt;"",IF(INDEX(tblBilling[Last Payment Date],$N386)="","",INDEX(tblBilling[Last Payment Date],$N386)),"")</f>
        <v/>
      </c>
      <c r="L386" s="53">
        <f>IF($N386&lt;&gt;"",INDEX(tblBilling[Collector Name],$N386),"")</f>
        <v/>
      </c>
      <c r="N386">
        <f>IF(N385="","",IFERROR(N385+MATCH(1,INDEX(tblBilling[Print Match],N385+1):INDEX(tblBilling[Print Match],ROWS(tblBilling[Print Match])),0),""))</f>
        <v/>
      </c>
      <c r="O386">
        <f>ROW()-9-MIN(PC_Count,500)</f>
        <v/>
      </c>
    </row>
    <row r="387" ht="20" customHeight="1">
      <c r="A387" s="52">
        <f>IF($N387="","",ROW()-9)</f>
        <v/>
      </c>
      <c r="B387" s="53">
        <f>IF($N387&lt;&gt;"",INDEX(tblBilling[Customer ID],$N387),"")</f>
        <v/>
      </c>
      <c r="C387" s="53">
        <f>IF($N387&lt;&gt;"",INDEX(tblBilling[Customer Name],$N387),CHOOSE(MIN(MAX($O387,0),7)+1,"","TOTAL","","Total Customers: "&amp;PC_Count,"Total Recovered: "&amp;CFG_CurrencySymbol&amp;" "&amp;TEXT(PC_TotalPaid,"#,##0"),"","Collector Signature: ____________",""))</f>
        <v/>
      </c>
      <c r="D387" s="53">
        <f>IF($N387&lt;&gt;"",INDEX(tblBilling[Full Address],$N387),CHOOSE(MIN(MAX($O387,0),7)+1,"","","","Total Billing: "&amp;CFG_CurrencySymbol&amp;" "&amp;TEXT(PC_TotalFee,"#,##0"),"Total Pending: "&amp;CFG_CurrencySymbol&amp;" "&amp;TEXT(PC_TotalBalance,"#,##0"),"","Office Verification: ____________",""))</f>
        <v/>
      </c>
      <c r="E387" s="53">
        <f>IF($N387&lt;&gt;"",INDEX(tblBilling[VLAN ID],$N387),"")</f>
        <v/>
      </c>
      <c r="F387" s="52">
        <f>IF($N387&lt;&gt;"",INDEX(tblBilling[Due Date],$N387),"")</f>
        <v/>
      </c>
      <c r="G387" s="54">
        <f>IF($N387&lt;&gt;"",INDEX(tblBilling[Monthly Fee],$N387),IF($O387=1,PC_TotalFee,""))</f>
        <v/>
      </c>
      <c r="H387" s="54">
        <f>IF($N387&lt;&gt;"",INDEX(tblBilling[Amount Paid],$N387),IF($O387=1,PC_TotalPaid,""))</f>
        <v/>
      </c>
      <c r="I387" s="54">
        <f>IF($N387&lt;&gt;"",INDEX(tblBilling[Balance],$N387),IF($O387=1,PC_TotalBalance,""))</f>
        <v/>
      </c>
      <c r="J387" s="53">
        <f>IF($N387&lt;&gt;"",INDEX(tblBilling[Payment Status],$N387),"")</f>
        <v/>
      </c>
      <c r="K387" s="55">
        <f>IF($N387&lt;&gt;"",IF(INDEX(tblBilling[Last Payment Date],$N387)="","",INDEX(tblBilling[Last Payment Date],$N387)),"")</f>
        <v/>
      </c>
      <c r="L387" s="53">
        <f>IF($N387&lt;&gt;"",INDEX(tblBilling[Collector Name],$N387),"")</f>
        <v/>
      </c>
      <c r="N387">
        <f>IF(N386="","",IFERROR(N386+MATCH(1,INDEX(tblBilling[Print Match],N386+1):INDEX(tblBilling[Print Match],ROWS(tblBilling[Print Match])),0),""))</f>
        <v/>
      </c>
      <c r="O387">
        <f>ROW()-9-MIN(PC_Count,500)</f>
        <v/>
      </c>
    </row>
    <row r="388" ht="20" customHeight="1">
      <c r="A388" s="52">
        <f>IF($N388="","",ROW()-9)</f>
        <v/>
      </c>
      <c r="B388" s="53">
        <f>IF($N388&lt;&gt;"",INDEX(tblBilling[Customer ID],$N388),"")</f>
        <v/>
      </c>
      <c r="C388" s="53">
        <f>IF($N388&lt;&gt;"",INDEX(tblBilling[Customer Name],$N388),CHOOSE(MIN(MAX($O388,0),7)+1,"","TOTAL","","Total Customers: "&amp;PC_Count,"Total Recovered: "&amp;CFG_CurrencySymbol&amp;" "&amp;TEXT(PC_TotalPaid,"#,##0"),"","Collector Signature: ____________",""))</f>
        <v/>
      </c>
      <c r="D388" s="53">
        <f>IF($N388&lt;&gt;"",INDEX(tblBilling[Full Address],$N388),CHOOSE(MIN(MAX($O388,0),7)+1,"","","","Total Billing: "&amp;CFG_CurrencySymbol&amp;" "&amp;TEXT(PC_TotalFee,"#,##0"),"Total Pending: "&amp;CFG_CurrencySymbol&amp;" "&amp;TEXT(PC_TotalBalance,"#,##0"),"","Office Verification: ____________",""))</f>
        <v/>
      </c>
      <c r="E388" s="53">
        <f>IF($N388&lt;&gt;"",INDEX(tblBilling[VLAN ID],$N388),"")</f>
        <v/>
      </c>
      <c r="F388" s="52">
        <f>IF($N388&lt;&gt;"",INDEX(tblBilling[Due Date],$N388),"")</f>
        <v/>
      </c>
      <c r="G388" s="54">
        <f>IF($N388&lt;&gt;"",INDEX(tblBilling[Monthly Fee],$N388),IF($O388=1,PC_TotalFee,""))</f>
        <v/>
      </c>
      <c r="H388" s="54">
        <f>IF($N388&lt;&gt;"",INDEX(tblBilling[Amount Paid],$N388),IF($O388=1,PC_TotalPaid,""))</f>
        <v/>
      </c>
      <c r="I388" s="54">
        <f>IF($N388&lt;&gt;"",INDEX(tblBilling[Balance],$N388),IF($O388=1,PC_TotalBalance,""))</f>
        <v/>
      </c>
      <c r="J388" s="53">
        <f>IF($N388&lt;&gt;"",INDEX(tblBilling[Payment Status],$N388),"")</f>
        <v/>
      </c>
      <c r="K388" s="55">
        <f>IF($N388&lt;&gt;"",IF(INDEX(tblBilling[Last Payment Date],$N388)="","",INDEX(tblBilling[Last Payment Date],$N388)),"")</f>
        <v/>
      </c>
      <c r="L388" s="53">
        <f>IF($N388&lt;&gt;"",INDEX(tblBilling[Collector Name],$N388),"")</f>
        <v/>
      </c>
      <c r="N388">
        <f>IF(N387="","",IFERROR(N387+MATCH(1,INDEX(tblBilling[Print Match],N387+1):INDEX(tblBilling[Print Match],ROWS(tblBilling[Print Match])),0),""))</f>
        <v/>
      </c>
      <c r="O388">
        <f>ROW()-9-MIN(PC_Count,500)</f>
        <v/>
      </c>
    </row>
    <row r="389" ht="20" customHeight="1">
      <c r="A389" s="52">
        <f>IF($N389="","",ROW()-9)</f>
        <v/>
      </c>
      <c r="B389" s="53">
        <f>IF($N389&lt;&gt;"",INDEX(tblBilling[Customer ID],$N389),"")</f>
        <v/>
      </c>
      <c r="C389" s="53">
        <f>IF($N389&lt;&gt;"",INDEX(tblBilling[Customer Name],$N389),CHOOSE(MIN(MAX($O389,0),7)+1,"","TOTAL","","Total Customers: "&amp;PC_Count,"Total Recovered: "&amp;CFG_CurrencySymbol&amp;" "&amp;TEXT(PC_TotalPaid,"#,##0"),"","Collector Signature: ____________",""))</f>
        <v/>
      </c>
      <c r="D389" s="53">
        <f>IF($N389&lt;&gt;"",INDEX(tblBilling[Full Address],$N389),CHOOSE(MIN(MAX($O389,0),7)+1,"","","","Total Billing: "&amp;CFG_CurrencySymbol&amp;" "&amp;TEXT(PC_TotalFee,"#,##0"),"Total Pending: "&amp;CFG_CurrencySymbol&amp;" "&amp;TEXT(PC_TotalBalance,"#,##0"),"","Office Verification: ____________",""))</f>
        <v/>
      </c>
      <c r="E389" s="53">
        <f>IF($N389&lt;&gt;"",INDEX(tblBilling[VLAN ID],$N389),"")</f>
        <v/>
      </c>
      <c r="F389" s="52">
        <f>IF($N389&lt;&gt;"",INDEX(tblBilling[Due Date],$N389),"")</f>
        <v/>
      </c>
      <c r="G389" s="54">
        <f>IF($N389&lt;&gt;"",INDEX(tblBilling[Monthly Fee],$N389),IF($O389=1,PC_TotalFee,""))</f>
        <v/>
      </c>
      <c r="H389" s="54">
        <f>IF($N389&lt;&gt;"",INDEX(tblBilling[Amount Paid],$N389),IF($O389=1,PC_TotalPaid,""))</f>
        <v/>
      </c>
      <c r="I389" s="54">
        <f>IF($N389&lt;&gt;"",INDEX(tblBilling[Balance],$N389),IF($O389=1,PC_TotalBalance,""))</f>
        <v/>
      </c>
      <c r="J389" s="53">
        <f>IF($N389&lt;&gt;"",INDEX(tblBilling[Payment Status],$N389),"")</f>
        <v/>
      </c>
      <c r="K389" s="55">
        <f>IF($N389&lt;&gt;"",IF(INDEX(tblBilling[Last Payment Date],$N389)="","",INDEX(tblBilling[Last Payment Date],$N389)),"")</f>
        <v/>
      </c>
      <c r="L389" s="53">
        <f>IF($N389&lt;&gt;"",INDEX(tblBilling[Collector Name],$N389),"")</f>
        <v/>
      </c>
      <c r="N389">
        <f>IF(N388="","",IFERROR(N388+MATCH(1,INDEX(tblBilling[Print Match],N388+1):INDEX(tblBilling[Print Match],ROWS(tblBilling[Print Match])),0),""))</f>
        <v/>
      </c>
      <c r="O389">
        <f>ROW()-9-MIN(PC_Count,500)</f>
        <v/>
      </c>
    </row>
    <row r="390" ht="20" customHeight="1">
      <c r="A390" s="52">
        <f>IF($N390="","",ROW()-9)</f>
        <v/>
      </c>
      <c r="B390" s="53">
        <f>IF($N390&lt;&gt;"",INDEX(tblBilling[Customer ID],$N390),"")</f>
        <v/>
      </c>
      <c r="C390" s="53">
        <f>IF($N390&lt;&gt;"",INDEX(tblBilling[Customer Name],$N390),CHOOSE(MIN(MAX($O390,0),7)+1,"","TOTAL","","Total Customers: "&amp;PC_Count,"Total Recovered: "&amp;CFG_CurrencySymbol&amp;" "&amp;TEXT(PC_TotalPaid,"#,##0"),"","Collector Signature: ____________",""))</f>
        <v/>
      </c>
      <c r="D390" s="53">
        <f>IF($N390&lt;&gt;"",INDEX(tblBilling[Full Address],$N390),CHOOSE(MIN(MAX($O390,0),7)+1,"","","","Total Billing: "&amp;CFG_CurrencySymbol&amp;" "&amp;TEXT(PC_TotalFee,"#,##0"),"Total Pending: "&amp;CFG_CurrencySymbol&amp;" "&amp;TEXT(PC_TotalBalance,"#,##0"),"","Office Verification: ____________",""))</f>
        <v/>
      </c>
      <c r="E390" s="53">
        <f>IF($N390&lt;&gt;"",INDEX(tblBilling[VLAN ID],$N390),"")</f>
        <v/>
      </c>
      <c r="F390" s="52">
        <f>IF($N390&lt;&gt;"",INDEX(tblBilling[Due Date],$N390),"")</f>
        <v/>
      </c>
      <c r="G390" s="54">
        <f>IF($N390&lt;&gt;"",INDEX(tblBilling[Monthly Fee],$N390),IF($O390=1,PC_TotalFee,""))</f>
        <v/>
      </c>
      <c r="H390" s="54">
        <f>IF($N390&lt;&gt;"",INDEX(tblBilling[Amount Paid],$N390),IF($O390=1,PC_TotalPaid,""))</f>
        <v/>
      </c>
      <c r="I390" s="54">
        <f>IF($N390&lt;&gt;"",INDEX(tblBilling[Balance],$N390),IF($O390=1,PC_TotalBalance,""))</f>
        <v/>
      </c>
      <c r="J390" s="53">
        <f>IF($N390&lt;&gt;"",INDEX(tblBilling[Payment Status],$N390),"")</f>
        <v/>
      </c>
      <c r="K390" s="55">
        <f>IF($N390&lt;&gt;"",IF(INDEX(tblBilling[Last Payment Date],$N390)="","",INDEX(tblBilling[Last Payment Date],$N390)),"")</f>
        <v/>
      </c>
      <c r="L390" s="53">
        <f>IF($N390&lt;&gt;"",INDEX(tblBilling[Collector Name],$N390),"")</f>
        <v/>
      </c>
      <c r="N390">
        <f>IF(N389="","",IFERROR(N389+MATCH(1,INDEX(tblBilling[Print Match],N389+1):INDEX(tblBilling[Print Match],ROWS(tblBilling[Print Match])),0),""))</f>
        <v/>
      </c>
      <c r="O390">
        <f>ROW()-9-MIN(PC_Count,500)</f>
        <v/>
      </c>
    </row>
    <row r="391" ht="20" customHeight="1">
      <c r="A391" s="52">
        <f>IF($N391="","",ROW()-9)</f>
        <v/>
      </c>
      <c r="B391" s="53">
        <f>IF($N391&lt;&gt;"",INDEX(tblBilling[Customer ID],$N391),"")</f>
        <v/>
      </c>
      <c r="C391" s="53">
        <f>IF($N391&lt;&gt;"",INDEX(tblBilling[Customer Name],$N391),CHOOSE(MIN(MAX($O391,0),7)+1,"","TOTAL","","Total Customers: "&amp;PC_Count,"Total Recovered: "&amp;CFG_CurrencySymbol&amp;" "&amp;TEXT(PC_TotalPaid,"#,##0"),"","Collector Signature: ____________",""))</f>
        <v/>
      </c>
      <c r="D391" s="53">
        <f>IF($N391&lt;&gt;"",INDEX(tblBilling[Full Address],$N391),CHOOSE(MIN(MAX($O391,0),7)+1,"","","","Total Billing: "&amp;CFG_CurrencySymbol&amp;" "&amp;TEXT(PC_TotalFee,"#,##0"),"Total Pending: "&amp;CFG_CurrencySymbol&amp;" "&amp;TEXT(PC_TotalBalance,"#,##0"),"","Office Verification: ____________",""))</f>
        <v/>
      </c>
      <c r="E391" s="53">
        <f>IF($N391&lt;&gt;"",INDEX(tblBilling[VLAN ID],$N391),"")</f>
        <v/>
      </c>
      <c r="F391" s="52">
        <f>IF($N391&lt;&gt;"",INDEX(tblBilling[Due Date],$N391),"")</f>
        <v/>
      </c>
      <c r="G391" s="54">
        <f>IF($N391&lt;&gt;"",INDEX(tblBilling[Monthly Fee],$N391),IF($O391=1,PC_TotalFee,""))</f>
        <v/>
      </c>
      <c r="H391" s="54">
        <f>IF($N391&lt;&gt;"",INDEX(tblBilling[Amount Paid],$N391),IF($O391=1,PC_TotalPaid,""))</f>
        <v/>
      </c>
      <c r="I391" s="54">
        <f>IF($N391&lt;&gt;"",INDEX(tblBilling[Balance],$N391),IF($O391=1,PC_TotalBalance,""))</f>
        <v/>
      </c>
      <c r="J391" s="53">
        <f>IF($N391&lt;&gt;"",INDEX(tblBilling[Payment Status],$N391),"")</f>
        <v/>
      </c>
      <c r="K391" s="55">
        <f>IF($N391&lt;&gt;"",IF(INDEX(tblBilling[Last Payment Date],$N391)="","",INDEX(tblBilling[Last Payment Date],$N391)),"")</f>
        <v/>
      </c>
      <c r="L391" s="53">
        <f>IF($N391&lt;&gt;"",INDEX(tblBilling[Collector Name],$N391),"")</f>
        <v/>
      </c>
      <c r="N391">
        <f>IF(N390="","",IFERROR(N390+MATCH(1,INDEX(tblBilling[Print Match],N390+1):INDEX(tblBilling[Print Match],ROWS(tblBilling[Print Match])),0),""))</f>
        <v/>
      </c>
      <c r="O391">
        <f>ROW()-9-MIN(PC_Count,500)</f>
        <v/>
      </c>
    </row>
    <row r="392" ht="20" customHeight="1">
      <c r="A392" s="52">
        <f>IF($N392="","",ROW()-9)</f>
        <v/>
      </c>
      <c r="B392" s="53">
        <f>IF($N392&lt;&gt;"",INDEX(tblBilling[Customer ID],$N392),"")</f>
        <v/>
      </c>
      <c r="C392" s="53">
        <f>IF($N392&lt;&gt;"",INDEX(tblBilling[Customer Name],$N392),CHOOSE(MIN(MAX($O392,0),7)+1,"","TOTAL","","Total Customers: "&amp;PC_Count,"Total Recovered: "&amp;CFG_CurrencySymbol&amp;" "&amp;TEXT(PC_TotalPaid,"#,##0"),"","Collector Signature: ____________",""))</f>
        <v/>
      </c>
      <c r="D392" s="53">
        <f>IF($N392&lt;&gt;"",INDEX(tblBilling[Full Address],$N392),CHOOSE(MIN(MAX($O392,0),7)+1,"","","","Total Billing: "&amp;CFG_CurrencySymbol&amp;" "&amp;TEXT(PC_TotalFee,"#,##0"),"Total Pending: "&amp;CFG_CurrencySymbol&amp;" "&amp;TEXT(PC_TotalBalance,"#,##0"),"","Office Verification: ____________",""))</f>
        <v/>
      </c>
      <c r="E392" s="53">
        <f>IF($N392&lt;&gt;"",INDEX(tblBilling[VLAN ID],$N392),"")</f>
        <v/>
      </c>
      <c r="F392" s="52">
        <f>IF($N392&lt;&gt;"",INDEX(tblBilling[Due Date],$N392),"")</f>
        <v/>
      </c>
      <c r="G392" s="54">
        <f>IF($N392&lt;&gt;"",INDEX(tblBilling[Monthly Fee],$N392),IF($O392=1,PC_TotalFee,""))</f>
        <v/>
      </c>
      <c r="H392" s="54">
        <f>IF($N392&lt;&gt;"",INDEX(tblBilling[Amount Paid],$N392),IF($O392=1,PC_TotalPaid,""))</f>
        <v/>
      </c>
      <c r="I392" s="54">
        <f>IF($N392&lt;&gt;"",INDEX(tblBilling[Balance],$N392),IF($O392=1,PC_TotalBalance,""))</f>
        <v/>
      </c>
      <c r="J392" s="53">
        <f>IF($N392&lt;&gt;"",INDEX(tblBilling[Payment Status],$N392),"")</f>
        <v/>
      </c>
      <c r="K392" s="55">
        <f>IF($N392&lt;&gt;"",IF(INDEX(tblBilling[Last Payment Date],$N392)="","",INDEX(tblBilling[Last Payment Date],$N392)),"")</f>
        <v/>
      </c>
      <c r="L392" s="53">
        <f>IF($N392&lt;&gt;"",INDEX(tblBilling[Collector Name],$N392),"")</f>
        <v/>
      </c>
      <c r="N392">
        <f>IF(N391="","",IFERROR(N391+MATCH(1,INDEX(tblBilling[Print Match],N391+1):INDEX(tblBilling[Print Match],ROWS(tblBilling[Print Match])),0),""))</f>
        <v/>
      </c>
      <c r="O392">
        <f>ROW()-9-MIN(PC_Count,500)</f>
        <v/>
      </c>
    </row>
    <row r="393" ht="20" customHeight="1">
      <c r="A393" s="52">
        <f>IF($N393="","",ROW()-9)</f>
        <v/>
      </c>
      <c r="B393" s="53">
        <f>IF($N393&lt;&gt;"",INDEX(tblBilling[Customer ID],$N393),"")</f>
        <v/>
      </c>
      <c r="C393" s="53">
        <f>IF($N393&lt;&gt;"",INDEX(tblBilling[Customer Name],$N393),CHOOSE(MIN(MAX($O393,0),7)+1,"","TOTAL","","Total Customers: "&amp;PC_Count,"Total Recovered: "&amp;CFG_CurrencySymbol&amp;" "&amp;TEXT(PC_TotalPaid,"#,##0"),"","Collector Signature: ____________",""))</f>
        <v/>
      </c>
      <c r="D393" s="53">
        <f>IF($N393&lt;&gt;"",INDEX(tblBilling[Full Address],$N393),CHOOSE(MIN(MAX($O393,0),7)+1,"","","","Total Billing: "&amp;CFG_CurrencySymbol&amp;" "&amp;TEXT(PC_TotalFee,"#,##0"),"Total Pending: "&amp;CFG_CurrencySymbol&amp;" "&amp;TEXT(PC_TotalBalance,"#,##0"),"","Office Verification: ____________",""))</f>
        <v/>
      </c>
      <c r="E393" s="53">
        <f>IF($N393&lt;&gt;"",INDEX(tblBilling[VLAN ID],$N393),"")</f>
        <v/>
      </c>
      <c r="F393" s="52">
        <f>IF($N393&lt;&gt;"",INDEX(tblBilling[Due Date],$N393),"")</f>
        <v/>
      </c>
      <c r="G393" s="54">
        <f>IF($N393&lt;&gt;"",INDEX(tblBilling[Monthly Fee],$N393),IF($O393=1,PC_TotalFee,""))</f>
        <v/>
      </c>
      <c r="H393" s="54">
        <f>IF($N393&lt;&gt;"",INDEX(tblBilling[Amount Paid],$N393),IF($O393=1,PC_TotalPaid,""))</f>
        <v/>
      </c>
      <c r="I393" s="54">
        <f>IF($N393&lt;&gt;"",INDEX(tblBilling[Balance],$N393),IF($O393=1,PC_TotalBalance,""))</f>
        <v/>
      </c>
      <c r="J393" s="53">
        <f>IF($N393&lt;&gt;"",INDEX(tblBilling[Payment Status],$N393),"")</f>
        <v/>
      </c>
      <c r="K393" s="55">
        <f>IF($N393&lt;&gt;"",IF(INDEX(tblBilling[Last Payment Date],$N393)="","",INDEX(tblBilling[Last Payment Date],$N393)),"")</f>
        <v/>
      </c>
      <c r="L393" s="53">
        <f>IF($N393&lt;&gt;"",INDEX(tblBilling[Collector Name],$N393),"")</f>
        <v/>
      </c>
      <c r="N393">
        <f>IF(N392="","",IFERROR(N392+MATCH(1,INDEX(tblBilling[Print Match],N392+1):INDEX(tblBilling[Print Match],ROWS(tblBilling[Print Match])),0),""))</f>
        <v/>
      </c>
      <c r="O393">
        <f>ROW()-9-MIN(PC_Count,500)</f>
        <v/>
      </c>
    </row>
    <row r="394" ht="20" customHeight="1">
      <c r="A394" s="52">
        <f>IF($N394="","",ROW()-9)</f>
        <v/>
      </c>
      <c r="B394" s="53">
        <f>IF($N394&lt;&gt;"",INDEX(tblBilling[Customer ID],$N394),"")</f>
        <v/>
      </c>
      <c r="C394" s="53">
        <f>IF($N394&lt;&gt;"",INDEX(tblBilling[Customer Name],$N394),CHOOSE(MIN(MAX($O394,0),7)+1,"","TOTAL","","Total Customers: "&amp;PC_Count,"Total Recovered: "&amp;CFG_CurrencySymbol&amp;" "&amp;TEXT(PC_TotalPaid,"#,##0"),"","Collector Signature: ____________",""))</f>
        <v/>
      </c>
      <c r="D394" s="53">
        <f>IF($N394&lt;&gt;"",INDEX(tblBilling[Full Address],$N394),CHOOSE(MIN(MAX($O394,0),7)+1,"","","","Total Billing: "&amp;CFG_CurrencySymbol&amp;" "&amp;TEXT(PC_TotalFee,"#,##0"),"Total Pending: "&amp;CFG_CurrencySymbol&amp;" "&amp;TEXT(PC_TotalBalance,"#,##0"),"","Office Verification: ____________",""))</f>
        <v/>
      </c>
      <c r="E394" s="53">
        <f>IF($N394&lt;&gt;"",INDEX(tblBilling[VLAN ID],$N394),"")</f>
        <v/>
      </c>
      <c r="F394" s="52">
        <f>IF($N394&lt;&gt;"",INDEX(tblBilling[Due Date],$N394),"")</f>
        <v/>
      </c>
      <c r="G394" s="54">
        <f>IF($N394&lt;&gt;"",INDEX(tblBilling[Monthly Fee],$N394),IF($O394=1,PC_TotalFee,""))</f>
        <v/>
      </c>
      <c r="H394" s="54">
        <f>IF($N394&lt;&gt;"",INDEX(tblBilling[Amount Paid],$N394),IF($O394=1,PC_TotalPaid,""))</f>
        <v/>
      </c>
      <c r="I394" s="54">
        <f>IF($N394&lt;&gt;"",INDEX(tblBilling[Balance],$N394),IF($O394=1,PC_TotalBalance,""))</f>
        <v/>
      </c>
      <c r="J394" s="53">
        <f>IF($N394&lt;&gt;"",INDEX(tblBilling[Payment Status],$N394),"")</f>
        <v/>
      </c>
      <c r="K394" s="55">
        <f>IF($N394&lt;&gt;"",IF(INDEX(tblBilling[Last Payment Date],$N394)="","",INDEX(tblBilling[Last Payment Date],$N394)),"")</f>
        <v/>
      </c>
      <c r="L394" s="53">
        <f>IF($N394&lt;&gt;"",INDEX(tblBilling[Collector Name],$N394),"")</f>
        <v/>
      </c>
      <c r="N394">
        <f>IF(N393="","",IFERROR(N393+MATCH(1,INDEX(tblBilling[Print Match],N393+1):INDEX(tblBilling[Print Match],ROWS(tblBilling[Print Match])),0),""))</f>
        <v/>
      </c>
      <c r="O394">
        <f>ROW()-9-MIN(PC_Count,500)</f>
        <v/>
      </c>
    </row>
    <row r="395" ht="20" customHeight="1">
      <c r="A395" s="52">
        <f>IF($N395="","",ROW()-9)</f>
        <v/>
      </c>
      <c r="B395" s="53">
        <f>IF($N395&lt;&gt;"",INDEX(tblBilling[Customer ID],$N395),"")</f>
        <v/>
      </c>
      <c r="C395" s="53">
        <f>IF($N395&lt;&gt;"",INDEX(tblBilling[Customer Name],$N395),CHOOSE(MIN(MAX($O395,0),7)+1,"","TOTAL","","Total Customers: "&amp;PC_Count,"Total Recovered: "&amp;CFG_CurrencySymbol&amp;" "&amp;TEXT(PC_TotalPaid,"#,##0"),"","Collector Signature: ____________",""))</f>
        <v/>
      </c>
      <c r="D395" s="53">
        <f>IF($N395&lt;&gt;"",INDEX(tblBilling[Full Address],$N395),CHOOSE(MIN(MAX($O395,0),7)+1,"","","","Total Billing: "&amp;CFG_CurrencySymbol&amp;" "&amp;TEXT(PC_TotalFee,"#,##0"),"Total Pending: "&amp;CFG_CurrencySymbol&amp;" "&amp;TEXT(PC_TotalBalance,"#,##0"),"","Office Verification: ____________",""))</f>
        <v/>
      </c>
      <c r="E395" s="53">
        <f>IF($N395&lt;&gt;"",INDEX(tblBilling[VLAN ID],$N395),"")</f>
        <v/>
      </c>
      <c r="F395" s="52">
        <f>IF($N395&lt;&gt;"",INDEX(tblBilling[Due Date],$N395),"")</f>
        <v/>
      </c>
      <c r="G395" s="54">
        <f>IF($N395&lt;&gt;"",INDEX(tblBilling[Monthly Fee],$N395),IF($O395=1,PC_TotalFee,""))</f>
        <v/>
      </c>
      <c r="H395" s="54">
        <f>IF($N395&lt;&gt;"",INDEX(tblBilling[Amount Paid],$N395),IF($O395=1,PC_TotalPaid,""))</f>
        <v/>
      </c>
      <c r="I395" s="54">
        <f>IF($N395&lt;&gt;"",INDEX(tblBilling[Balance],$N395),IF($O395=1,PC_TotalBalance,""))</f>
        <v/>
      </c>
      <c r="J395" s="53">
        <f>IF($N395&lt;&gt;"",INDEX(tblBilling[Payment Status],$N395),"")</f>
        <v/>
      </c>
      <c r="K395" s="55">
        <f>IF($N395&lt;&gt;"",IF(INDEX(tblBilling[Last Payment Date],$N395)="","",INDEX(tblBilling[Last Payment Date],$N395)),"")</f>
        <v/>
      </c>
      <c r="L395" s="53">
        <f>IF($N395&lt;&gt;"",INDEX(tblBilling[Collector Name],$N395),"")</f>
        <v/>
      </c>
      <c r="N395">
        <f>IF(N394="","",IFERROR(N394+MATCH(1,INDEX(tblBilling[Print Match],N394+1):INDEX(tblBilling[Print Match],ROWS(tblBilling[Print Match])),0),""))</f>
        <v/>
      </c>
      <c r="O395">
        <f>ROW()-9-MIN(PC_Count,500)</f>
        <v/>
      </c>
    </row>
    <row r="396" ht="20" customHeight="1">
      <c r="A396" s="52">
        <f>IF($N396="","",ROW()-9)</f>
        <v/>
      </c>
      <c r="B396" s="53">
        <f>IF($N396&lt;&gt;"",INDEX(tblBilling[Customer ID],$N396),"")</f>
        <v/>
      </c>
      <c r="C396" s="53">
        <f>IF($N396&lt;&gt;"",INDEX(tblBilling[Customer Name],$N396),CHOOSE(MIN(MAX($O396,0),7)+1,"","TOTAL","","Total Customers: "&amp;PC_Count,"Total Recovered: "&amp;CFG_CurrencySymbol&amp;" "&amp;TEXT(PC_TotalPaid,"#,##0"),"","Collector Signature: ____________",""))</f>
        <v/>
      </c>
      <c r="D396" s="53">
        <f>IF($N396&lt;&gt;"",INDEX(tblBilling[Full Address],$N396),CHOOSE(MIN(MAX($O396,0),7)+1,"","","","Total Billing: "&amp;CFG_CurrencySymbol&amp;" "&amp;TEXT(PC_TotalFee,"#,##0"),"Total Pending: "&amp;CFG_CurrencySymbol&amp;" "&amp;TEXT(PC_TotalBalance,"#,##0"),"","Office Verification: ____________",""))</f>
        <v/>
      </c>
      <c r="E396" s="53">
        <f>IF($N396&lt;&gt;"",INDEX(tblBilling[VLAN ID],$N396),"")</f>
        <v/>
      </c>
      <c r="F396" s="52">
        <f>IF($N396&lt;&gt;"",INDEX(tblBilling[Due Date],$N396),"")</f>
        <v/>
      </c>
      <c r="G396" s="54">
        <f>IF($N396&lt;&gt;"",INDEX(tblBilling[Monthly Fee],$N396),IF($O396=1,PC_TotalFee,""))</f>
        <v/>
      </c>
      <c r="H396" s="54">
        <f>IF($N396&lt;&gt;"",INDEX(tblBilling[Amount Paid],$N396),IF($O396=1,PC_TotalPaid,""))</f>
        <v/>
      </c>
      <c r="I396" s="54">
        <f>IF($N396&lt;&gt;"",INDEX(tblBilling[Balance],$N396),IF($O396=1,PC_TotalBalance,""))</f>
        <v/>
      </c>
      <c r="J396" s="53">
        <f>IF($N396&lt;&gt;"",INDEX(tblBilling[Payment Status],$N396),"")</f>
        <v/>
      </c>
      <c r="K396" s="55">
        <f>IF($N396&lt;&gt;"",IF(INDEX(tblBilling[Last Payment Date],$N396)="","",INDEX(tblBilling[Last Payment Date],$N396)),"")</f>
        <v/>
      </c>
      <c r="L396" s="53">
        <f>IF($N396&lt;&gt;"",INDEX(tblBilling[Collector Name],$N396),"")</f>
        <v/>
      </c>
      <c r="N396">
        <f>IF(N395="","",IFERROR(N395+MATCH(1,INDEX(tblBilling[Print Match],N395+1):INDEX(tblBilling[Print Match],ROWS(tblBilling[Print Match])),0),""))</f>
        <v/>
      </c>
      <c r="O396">
        <f>ROW()-9-MIN(PC_Count,500)</f>
        <v/>
      </c>
    </row>
    <row r="397" ht="20" customHeight="1">
      <c r="A397" s="52">
        <f>IF($N397="","",ROW()-9)</f>
        <v/>
      </c>
      <c r="B397" s="53">
        <f>IF($N397&lt;&gt;"",INDEX(tblBilling[Customer ID],$N397),"")</f>
        <v/>
      </c>
      <c r="C397" s="53">
        <f>IF($N397&lt;&gt;"",INDEX(tblBilling[Customer Name],$N397),CHOOSE(MIN(MAX($O397,0),7)+1,"","TOTAL","","Total Customers: "&amp;PC_Count,"Total Recovered: "&amp;CFG_CurrencySymbol&amp;" "&amp;TEXT(PC_TotalPaid,"#,##0"),"","Collector Signature: ____________",""))</f>
        <v/>
      </c>
      <c r="D397" s="53">
        <f>IF($N397&lt;&gt;"",INDEX(tblBilling[Full Address],$N397),CHOOSE(MIN(MAX($O397,0),7)+1,"","","","Total Billing: "&amp;CFG_CurrencySymbol&amp;" "&amp;TEXT(PC_TotalFee,"#,##0"),"Total Pending: "&amp;CFG_CurrencySymbol&amp;" "&amp;TEXT(PC_TotalBalance,"#,##0"),"","Office Verification: ____________",""))</f>
        <v/>
      </c>
      <c r="E397" s="53">
        <f>IF($N397&lt;&gt;"",INDEX(tblBilling[VLAN ID],$N397),"")</f>
        <v/>
      </c>
      <c r="F397" s="52">
        <f>IF($N397&lt;&gt;"",INDEX(tblBilling[Due Date],$N397),"")</f>
        <v/>
      </c>
      <c r="G397" s="54">
        <f>IF($N397&lt;&gt;"",INDEX(tblBilling[Monthly Fee],$N397),IF($O397=1,PC_TotalFee,""))</f>
        <v/>
      </c>
      <c r="H397" s="54">
        <f>IF($N397&lt;&gt;"",INDEX(tblBilling[Amount Paid],$N397),IF($O397=1,PC_TotalPaid,""))</f>
        <v/>
      </c>
      <c r="I397" s="54">
        <f>IF($N397&lt;&gt;"",INDEX(tblBilling[Balance],$N397),IF($O397=1,PC_TotalBalance,""))</f>
        <v/>
      </c>
      <c r="J397" s="53">
        <f>IF($N397&lt;&gt;"",INDEX(tblBilling[Payment Status],$N397),"")</f>
        <v/>
      </c>
      <c r="K397" s="55">
        <f>IF($N397&lt;&gt;"",IF(INDEX(tblBilling[Last Payment Date],$N397)="","",INDEX(tblBilling[Last Payment Date],$N397)),"")</f>
        <v/>
      </c>
      <c r="L397" s="53">
        <f>IF($N397&lt;&gt;"",INDEX(tblBilling[Collector Name],$N397),"")</f>
        <v/>
      </c>
      <c r="N397">
        <f>IF(N396="","",IFERROR(N396+MATCH(1,INDEX(tblBilling[Print Match],N396+1):INDEX(tblBilling[Print Match],ROWS(tblBilling[Print Match])),0),""))</f>
        <v/>
      </c>
      <c r="O397">
        <f>ROW()-9-MIN(PC_Count,500)</f>
        <v/>
      </c>
    </row>
    <row r="398" ht="20" customHeight="1">
      <c r="A398" s="52">
        <f>IF($N398="","",ROW()-9)</f>
        <v/>
      </c>
      <c r="B398" s="53">
        <f>IF($N398&lt;&gt;"",INDEX(tblBilling[Customer ID],$N398),"")</f>
        <v/>
      </c>
      <c r="C398" s="53">
        <f>IF($N398&lt;&gt;"",INDEX(tblBilling[Customer Name],$N398),CHOOSE(MIN(MAX($O398,0),7)+1,"","TOTAL","","Total Customers: "&amp;PC_Count,"Total Recovered: "&amp;CFG_CurrencySymbol&amp;" "&amp;TEXT(PC_TotalPaid,"#,##0"),"","Collector Signature: ____________",""))</f>
        <v/>
      </c>
      <c r="D398" s="53">
        <f>IF($N398&lt;&gt;"",INDEX(tblBilling[Full Address],$N398),CHOOSE(MIN(MAX($O398,0),7)+1,"","","","Total Billing: "&amp;CFG_CurrencySymbol&amp;" "&amp;TEXT(PC_TotalFee,"#,##0"),"Total Pending: "&amp;CFG_CurrencySymbol&amp;" "&amp;TEXT(PC_TotalBalance,"#,##0"),"","Office Verification: ____________",""))</f>
        <v/>
      </c>
      <c r="E398" s="53">
        <f>IF($N398&lt;&gt;"",INDEX(tblBilling[VLAN ID],$N398),"")</f>
        <v/>
      </c>
      <c r="F398" s="52">
        <f>IF($N398&lt;&gt;"",INDEX(tblBilling[Due Date],$N398),"")</f>
        <v/>
      </c>
      <c r="G398" s="54">
        <f>IF($N398&lt;&gt;"",INDEX(tblBilling[Monthly Fee],$N398),IF($O398=1,PC_TotalFee,""))</f>
        <v/>
      </c>
      <c r="H398" s="54">
        <f>IF($N398&lt;&gt;"",INDEX(tblBilling[Amount Paid],$N398),IF($O398=1,PC_TotalPaid,""))</f>
        <v/>
      </c>
      <c r="I398" s="54">
        <f>IF($N398&lt;&gt;"",INDEX(tblBilling[Balance],$N398),IF($O398=1,PC_TotalBalance,""))</f>
        <v/>
      </c>
      <c r="J398" s="53">
        <f>IF($N398&lt;&gt;"",INDEX(tblBilling[Payment Status],$N398),"")</f>
        <v/>
      </c>
      <c r="K398" s="55">
        <f>IF($N398&lt;&gt;"",IF(INDEX(tblBilling[Last Payment Date],$N398)="","",INDEX(tblBilling[Last Payment Date],$N398)),"")</f>
        <v/>
      </c>
      <c r="L398" s="53">
        <f>IF($N398&lt;&gt;"",INDEX(tblBilling[Collector Name],$N398),"")</f>
        <v/>
      </c>
      <c r="N398">
        <f>IF(N397="","",IFERROR(N397+MATCH(1,INDEX(tblBilling[Print Match],N397+1):INDEX(tblBilling[Print Match],ROWS(tblBilling[Print Match])),0),""))</f>
        <v/>
      </c>
      <c r="O398">
        <f>ROW()-9-MIN(PC_Count,500)</f>
        <v/>
      </c>
    </row>
    <row r="399" ht="20" customHeight="1">
      <c r="A399" s="52">
        <f>IF($N399="","",ROW()-9)</f>
        <v/>
      </c>
      <c r="B399" s="53">
        <f>IF($N399&lt;&gt;"",INDEX(tblBilling[Customer ID],$N399),"")</f>
        <v/>
      </c>
      <c r="C399" s="53">
        <f>IF($N399&lt;&gt;"",INDEX(tblBilling[Customer Name],$N399),CHOOSE(MIN(MAX($O399,0),7)+1,"","TOTAL","","Total Customers: "&amp;PC_Count,"Total Recovered: "&amp;CFG_CurrencySymbol&amp;" "&amp;TEXT(PC_TotalPaid,"#,##0"),"","Collector Signature: ____________",""))</f>
        <v/>
      </c>
      <c r="D399" s="53">
        <f>IF($N399&lt;&gt;"",INDEX(tblBilling[Full Address],$N399),CHOOSE(MIN(MAX($O399,0),7)+1,"","","","Total Billing: "&amp;CFG_CurrencySymbol&amp;" "&amp;TEXT(PC_TotalFee,"#,##0"),"Total Pending: "&amp;CFG_CurrencySymbol&amp;" "&amp;TEXT(PC_TotalBalance,"#,##0"),"","Office Verification: ____________",""))</f>
        <v/>
      </c>
      <c r="E399" s="53">
        <f>IF($N399&lt;&gt;"",INDEX(tblBilling[VLAN ID],$N399),"")</f>
        <v/>
      </c>
      <c r="F399" s="52">
        <f>IF($N399&lt;&gt;"",INDEX(tblBilling[Due Date],$N399),"")</f>
        <v/>
      </c>
      <c r="G399" s="54">
        <f>IF($N399&lt;&gt;"",INDEX(tblBilling[Monthly Fee],$N399),IF($O399=1,PC_TotalFee,""))</f>
        <v/>
      </c>
      <c r="H399" s="54">
        <f>IF($N399&lt;&gt;"",INDEX(tblBilling[Amount Paid],$N399),IF($O399=1,PC_TotalPaid,""))</f>
        <v/>
      </c>
      <c r="I399" s="54">
        <f>IF($N399&lt;&gt;"",INDEX(tblBilling[Balance],$N399),IF($O399=1,PC_TotalBalance,""))</f>
        <v/>
      </c>
      <c r="J399" s="53">
        <f>IF($N399&lt;&gt;"",INDEX(tblBilling[Payment Status],$N399),"")</f>
        <v/>
      </c>
      <c r="K399" s="55">
        <f>IF($N399&lt;&gt;"",IF(INDEX(tblBilling[Last Payment Date],$N399)="","",INDEX(tblBilling[Last Payment Date],$N399)),"")</f>
        <v/>
      </c>
      <c r="L399" s="53">
        <f>IF($N399&lt;&gt;"",INDEX(tblBilling[Collector Name],$N399),"")</f>
        <v/>
      </c>
      <c r="N399">
        <f>IF(N398="","",IFERROR(N398+MATCH(1,INDEX(tblBilling[Print Match],N398+1):INDEX(tblBilling[Print Match],ROWS(tblBilling[Print Match])),0),""))</f>
        <v/>
      </c>
      <c r="O399">
        <f>ROW()-9-MIN(PC_Count,500)</f>
        <v/>
      </c>
    </row>
    <row r="400" ht="20" customHeight="1">
      <c r="A400" s="52">
        <f>IF($N400="","",ROW()-9)</f>
        <v/>
      </c>
      <c r="B400" s="53">
        <f>IF($N400&lt;&gt;"",INDEX(tblBilling[Customer ID],$N400),"")</f>
        <v/>
      </c>
      <c r="C400" s="53">
        <f>IF($N400&lt;&gt;"",INDEX(tblBilling[Customer Name],$N400),CHOOSE(MIN(MAX($O400,0),7)+1,"","TOTAL","","Total Customers: "&amp;PC_Count,"Total Recovered: "&amp;CFG_CurrencySymbol&amp;" "&amp;TEXT(PC_TotalPaid,"#,##0"),"","Collector Signature: ____________",""))</f>
        <v/>
      </c>
      <c r="D400" s="53">
        <f>IF($N400&lt;&gt;"",INDEX(tblBilling[Full Address],$N400),CHOOSE(MIN(MAX($O400,0),7)+1,"","","","Total Billing: "&amp;CFG_CurrencySymbol&amp;" "&amp;TEXT(PC_TotalFee,"#,##0"),"Total Pending: "&amp;CFG_CurrencySymbol&amp;" "&amp;TEXT(PC_TotalBalance,"#,##0"),"","Office Verification: ____________",""))</f>
        <v/>
      </c>
      <c r="E400" s="53">
        <f>IF($N400&lt;&gt;"",INDEX(tblBilling[VLAN ID],$N400),"")</f>
        <v/>
      </c>
      <c r="F400" s="52">
        <f>IF($N400&lt;&gt;"",INDEX(tblBilling[Due Date],$N400),"")</f>
        <v/>
      </c>
      <c r="G400" s="54">
        <f>IF($N400&lt;&gt;"",INDEX(tblBilling[Monthly Fee],$N400),IF($O400=1,PC_TotalFee,""))</f>
        <v/>
      </c>
      <c r="H400" s="54">
        <f>IF($N400&lt;&gt;"",INDEX(tblBilling[Amount Paid],$N400),IF($O400=1,PC_TotalPaid,""))</f>
        <v/>
      </c>
      <c r="I400" s="54">
        <f>IF($N400&lt;&gt;"",INDEX(tblBilling[Balance],$N400),IF($O400=1,PC_TotalBalance,""))</f>
        <v/>
      </c>
      <c r="J400" s="53">
        <f>IF($N400&lt;&gt;"",INDEX(tblBilling[Payment Status],$N400),"")</f>
        <v/>
      </c>
      <c r="K400" s="55">
        <f>IF($N400&lt;&gt;"",IF(INDEX(tblBilling[Last Payment Date],$N400)="","",INDEX(tblBilling[Last Payment Date],$N400)),"")</f>
        <v/>
      </c>
      <c r="L400" s="53">
        <f>IF($N400&lt;&gt;"",INDEX(tblBilling[Collector Name],$N400),"")</f>
        <v/>
      </c>
      <c r="N400">
        <f>IF(N399="","",IFERROR(N399+MATCH(1,INDEX(tblBilling[Print Match],N399+1):INDEX(tblBilling[Print Match],ROWS(tblBilling[Print Match])),0),""))</f>
        <v/>
      </c>
      <c r="O400">
        <f>ROW()-9-MIN(PC_Count,500)</f>
        <v/>
      </c>
    </row>
    <row r="401" ht="20" customHeight="1">
      <c r="A401" s="52">
        <f>IF($N401="","",ROW()-9)</f>
        <v/>
      </c>
      <c r="B401" s="53">
        <f>IF($N401&lt;&gt;"",INDEX(tblBilling[Customer ID],$N401),"")</f>
        <v/>
      </c>
      <c r="C401" s="53">
        <f>IF($N401&lt;&gt;"",INDEX(tblBilling[Customer Name],$N401),CHOOSE(MIN(MAX($O401,0),7)+1,"","TOTAL","","Total Customers: "&amp;PC_Count,"Total Recovered: "&amp;CFG_CurrencySymbol&amp;" "&amp;TEXT(PC_TotalPaid,"#,##0"),"","Collector Signature: ____________",""))</f>
        <v/>
      </c>
      <c r="D401" s="53">
        <f>IF($N401&lt;&gt;"",INDEX(tblBilling[Full Address],$N401),CHOOSE(MIN(MAX($O401,0),7)+1,"","","","Total Billing: "&amp;CFG_CurrencySymbol&amp;" "&amp;TEXT(PC_TotalFee,"#,##0"),"Total Pending: "&amp;CFG_CurrencySymbol&amp;" "&amp;TEXT(PC_TotalBalance,"#,##0"),"","Office Verification: ____________",""))</f>
        <v/>
      </c>
      <c r="E401" s="53">
        <f>IF($N401&lt;&gt;"",INDEX(tblBilling[VLAN ID],$N401),"")</f>
        <v/>
      </c>
      <c r="F401" s="52">
        <f>IF($N401&lt;&gt;"",INDEX(tblBilling[Due Date],$N401),"")</f>
        <v/>
      </c>
      <c r="G401" s="54">
        <f>IF($N401&lt;&gt;"",INDEX(tblBilling[Monthly Fee],$N401),IF($O401=1,PC_TotalFee,""))</f>
        <v/>
      </c>
      <c r="H401" s="54">
        <f>IF($N401&lt;&gt;"",INDEX(tblBilling[Amount Paid],$N401),IF($O401=1,PC_TotalPaid,""))</f>
        <v/>
      </c>
      <c r="I401" s="54">
        <f>IF($N401&lt;&gt;"",INDEX(tblBilling[Balance],$N401),IF($O401=1,PC_TotalBalance,""))</f>
        <v/>
      </c>
      <c r="J401" s="53">
        <f>IF($N401&lt;&gt;"",INDEX(tblBilling[Payment Status],$N401),"")</f>
        <v/>
      </c>
      <c r="K401" s="55">
        <f>IF($N401&lt;&gt;"",IF(INDEX(tblBilling[Last Payment Date],$N401)="","",INDEX(tblBilling[Last Payment Date],$N401)),"")</f>
        <v/>
      </c>
      <c r="L401" s="53">
        <f>IF($N401&lt;&gt;"",INDEX(tblBilling[Collector Name],$N401),"")</f>
        <v/>
      </c>
      <c r="N401">
        <f>IF(N400="","",IFERROR(N400+MATCH(1,INDEX(tblBilling[Print Match],N400+1):INDEX(tblBilling[Print Match],ROWS(tblBilling[Print Match])),0),""))</f>
        <v/>
      </c>
      <c r="O401">
        <f>ROW()-9-MIN(PC_Count,500)</f>
        <v/>
      </c>
    </row>
    <row r="402" ht="20" customHeight="1">
      <c r="A402" s="52">
        <f>IF($N402="","",ROW()-9)</f>
        <v/>
      </c>
      <c r="B402" s="53">
        <f>IF($N402&lt;&gt;"",INDEX(tblBilling[Customer ID],$N402),"")</f>
        <v/>
      </c>
      <c r="C402" s="53">
        <f>IF($N402&lt;&gt;"",INDEX(tblBilling[Customer Name],$N402),CHOOSE(MIN(MAX($O402,0),7)+1,"","TOTAL","","Total Customers: "&amp;PC_Count,"Total Recovered: "&amp;CFG_CurrencySymbol&amp;" "&amp;TEXT(PC_TotalPaid,"#,##0"),"","Collector Signature: ____________",""))</f>
        <v/>
      </c>
      <c r="D402" s="53">
        <f>IF($N402&lt;&gt;"",INDEX(tblBilling[Full Address],$N402),CHOOSE(MIN(MAX($O402,0),7)+1,"","","","Total Billing: "&amp;CFG_CurrencySymbol&amp;" "&amp;TEXT(PC_TotalFee,"#,##0"),"Total Pending: "&amp;CFG_CurrencySymbol&amp;" "&amp;TEXT(PC_TotalBalance,"#,##0"),"","Office Verification: ____________",""))</f>
        <v/>
      </c>
      <c r="E402" s="53">
        <f>IF($N402&lt;&gt;"",INDEX(tblBilling[VLAN ID],$N402),"")</f>
        <v/>
      </c>
      <c r="F402" s="52">
        <f>IF($N402&lt;&gt;"",INDEX(tblBilling[Due Date],$N402),"")</f>
        <v/>
      </c>
      <c r="G402" s="54">
        <f>IF($N402&lt;&gt;"",INDEX(tblBilling[Monthly Fee],$N402),IF($O402=1,PC_TotalFee,""))</f>
        <v/>
      </c>
      <c r="H402" s="54">
        <f>IF($N402&lt;&gt;"",INDEX(tblBilling[Amount Paid],$N402),IF($O402=1,PC_TotalPaid,""))</f>
        <v/>
      </c>
      <c r="I402" s="54">
        <f>IF($N402&lt;&gt;"",INDEX(tblBilling[Balance],$N402),IF($O402=1,PC_TotalBalance,""))</f>
        <v/>
      </c>
      <c r="J402" s="53">
        <f>IF($N402&lt;&gt;"",INDEX(tblBilling[Payment Status],$N402),"")</f>
        <v/>
      </c>
      <c r="K402" s="55">
        <f>IF($N402&lt;&gt;"",IF(INDEX(tblBilling[Last Payment Date],$N402)="","",INDEX(tblBilling[Last Payment Date],$N402)),"")</f>
        <v/>
      </c>
      <c r="L402" s="53">
        <f>IF($N402&lt;&gt;"",INDEX(tblBilling[Collector Name],$N402),"")</f>
        <v/>
      </c>
      <c r="N402">
        <f>IF(N401="","",IFERROR(N401+MATCH(1,INDEX(tblBilling[Print Match],N401+1):INDEX(tblBilling[Print Match],ROWS(tblBilling[Print Match])),0),""))</f>
        <v/>
      </c>
      <c r="O402">
        <f>ROW()-9-MIN(PC_Count,500)</f>
        <v/>
      </c>
    </row>
    <row r="403" ht="20" customHeight="1">
      <c r="A403" s="52">
        <f>IF($N403="","",ROW()-9)</f>
        <v/>
      </c>
      <c r="B403" s="53">
        <f>IF($N403&lt;&gt;"",INDEX(tblBilling[Customer ID],$N403),"")</f>
        <v/>
      </c>
      <c r="C403" s="53">
        <f>IF($N403&lt;&gt;"",INDEX(tblBilling[Customer Name],$N403),CHOOSE(MIN(MAX($O403,0),7)+1,"","TOTAL","","Total Customers: "&amp;PC_Count,"Total Recovered: "&amp;CFG_CurrencySymbol&amp;" "&amp;TEXT(PC_TotalPaid,"#,##0"),"","Collector Signature: ____________",""))</f>
        <v/>
      </c>
      <c r="D403" s="53">
        <f>IF($N403&lt;&gt;"",INDEX(tblBilling[Full Address],$N403),CHOOSE(MIN(MAX($O403,0),7)+1,"","","","Total Billing: "&amp;CFG_CurrencySymbol&amp;" "&amp;TEXT(PC_TotalFee,"#,##0"),"Total Pending: "&amp;CFG_CurrencySymbol&amp;" "&amp;TEXT(PC_TotalBalance,"#,##0"),"","Office Verification: ____________",""))</f>
        <v/>
      </c>
      <c r="E403" s="53">
        <f>IF($N403&lt;&gt;"",INDEX(tblBilling[VLAN ID],$N403),"")</f>
        <v/>
      </c>
      <c r="F403" s="52">
        <f>IF($N403&lt;&gt;"",INDEX(tblBilling[Due Date],$N403),"")</f>
        <v/>
      </c>
      <c r="G403" s="54">
        <f>IF($N403&lt;&gt;"",INDEX(tblBilling[Monthly Fee],$N403),IF($O403=1,PC_TotalFee,""))</f>
        <v/>
      </c>
      <c r="H403" s="54">
        <f>IF($N403&lt;&gt;"",INDEX(tblBilling[Amount Paid],$N403),IF($O403=1,PC_TotalPaid,""))</f>
        <v/>
      </c>
      <c r="I403" s="54">
        <f>IF($N403&lt;&gt;"",INDEX(tblBilling[Balance],$N403),IF($O403=1,PC_TotalBalance,""))</f>
        <v/>
      </c>
      <c r="J403" s="53">
        <f>IF($N403&lt;&gt;"",INDEX(tblBilling[Payment Status],$N403),"")</f>
        <v/>
      </c>
      <c r="K403" s="55">
        <f>IF($N403&lt;&gt;"",IF(INDEX(tblBilling[Last Payment Date],$N403)="","",INDEX(tblBilling[Last Payment Date],$N403)),"")</f>
        <v/>
      </c>
      <c r="L403" s="53">
        <f>IF($N403&lt;&gt;"",INDEX(tblBilling[Collector Name],$N403),"")</f>
        <v/>
      </c>
      <c r="N403">
        <f>IF(N402="","",IFERROR(N402+MATCH(1,INDEX(tblBilling[Print Match],N402+1):INDEX(tblBilling[Print Match],ROWS(tblBilling[Print Match])),0),""))</f>
        <v/>
      </c>
      <c r="O403">
        <f>ROW()-9-MIN(PC_Count,500)</f>
        <v/>
      </c>
    </row>
    <row r="404" ht="20" customHeight="1">
      <c r="A404" s="52">
        <f>IF($N404="","",ROW()-9)</f>
        <v/>
      </c>
      <c r="B404" s="53">
        <f>IF($N404&lt;&gt;"",INDEX(tblBilling[Customer ID],$N404),"")</f>
        <v/>
      </c>
      <c r="C404" s="53">
        <f>IF($N404&lt;&gt;"",INDEX(tblBilling[Customer Name],$N404),CHOOSE(MIN(MAX($O404,0),7)+1,"","TOTAL","","Total Customers: "&amp;PC_Count,"Total Recovered: "&amp;CFG_CurrencySymbol&amp;" "&amp;TEXT(PC_TotalPaid,"#,##0"),"","Collector Signature: ____________",""))</f>
        <v/>
      </c>
      <c r="D404" s="53">
        <f>IF($N404&lt;&gt;"",INDEX(tblBilling[Full Address],$N404),CHOOSE(MIN(MAX($O404,0),7)+1,"","","","Total Billing: "&amp;CFG_CurrencySymbol&amp;" "&amp;TEXT(PC_TotalFee,"#,##0"),"Total Pending: "&amp;CFG_CurrencySymbol&amp;" "&amp;TEXT(PC_TotalBalance,"#,##0"),"","Office Verification: ____________",""))</f>
        <v/>
      </c>
      <c r="E404" s="53">
        <f>IF($N404&lt;&gt;"",INDEX(tblBilling[VLAN ID],$N404),"")</f>
        <v/>
      </c>
      <c r="F404" s="52">
        <f>IF($N404&lt;&gt;"",INDEX(tblBilling[Due Date],$N404),"")</f>
        <v/>
      </c>
      <c r="G404" s="54">
        <f>IF($N404&lt;&gt;"",INDEX(tblBilling[Monthly Fee],$N404),IF($O404=1,PC_TotalFee,""))</f>
        <v/>
      </c>
      <c r="H404" s="54">
        <f>IF($N404&lt;&gt;"",INDEX(tblBilling[Amount Paid],$N404),IF($O404=1,PC_TotalPaid,""))</f>
        <v/>
      </c>
      <c r="I404" s="54">
        <f>IF($N404&lt;&gt;"",INDEX(tblBilling[Balance],$N404),IF($O404=1,PC_TotalBalance,""))</f>
        <v/>
      </c>
      <c r="J404" s="53">
        <f>IF($N404&lt;&gt;"",INDEX(tblBilling[Payment Status],$N404),"")</f>
        <v/>
      </c>
      <c r="K404" s="55">
        <f>IF($N404&lt;&gt;"",IF(INDEX(tblBilling[Last Payment Date],$N404)="","",INDEX(tblBilling[Last Payment Date],$N404)),"")</f>
        <v/>
      </c>
      <c r="L404" s="53">
        <f>IF($N404&lt;&gt;"",INDEX(tblBilling[Collector Name],$N404),"")</f>
        <v/>
      </c>
      <c r="N404">
        <f>IF(N403="","",IFERROR(N403+MATCH(1,INDEX(tblBilling[Print Match],N403+1):INDEX(tblBilling[Print Match],ROWS(tblBilling[Print Match])),0),""))</f>
        <v/>
      </c>
      <c r="O404">
        <f>ROW()-9-MIN(PC_Count,500)</f>
        <v/>
      </c>
    </row>
    <row r="405" ht="20" customHeight="1">
      <c r="A405" s="52">
        <f>IF($N405="","",ROW()-9)</f>
        <v/>
      </c>
      <c r="B405" s="53">
        <f>IF($N405&lt;&gt;"",INDEX(tblBilling[Customer ID],$N405),"")</f>
        <v/>
      </c>
      <c r="C405" s="53">
        <f>IF($N405&lt;&gt;"",INDEX(tblBilling[Customer Name],$N405),CHOOSE(MIN(MAX($O405,0),7)+1,"","TOTAL","","Total Customers: "&amp;PC_Count,"Total Recovered: "&amp;CFG_CurrencySymbol&amp;" "&amp;TEXT(PC_TotalPaid,"#,##0"),"","Collector Signature: ____________",""))</f>
        <v/>
      </c>
      <c r="D405" s="53">
        <f>IF($N405&lt;&gt;"",INDEX(tblBilling[Full Address],$N405),CHOOSE(MIN(MAX($O405,0),7)+1,"","","","Total Billing: "&amp;CFG_CurrencySymbol&amp;" "&amp;TEXT(PC_TotalFee,"#,##0"),"Total Pending: "&amp;CFG_CurrencySymbol&amp;" "&amp;TEXT(PC_TotalBalance,"#,##0"),"","Office Verification: ____________",""))</f>
        <v/>
      </c>
      <c r="E405" s="53">
        <f>IF($N405&lt;&gt;"",INDEX(tblBilling[VLAN ID],$N405),"")</f>
        <v/>
      </c>
      <c r="F405" s="52">
        <f>IF($N405&lt;&gt;"",INDEX(tblBilling[Due Date],$N405),"")</f>
        <v/>
      </c>
      <c r="G405" s="54">
        <f>IF($N405&lt;&gt;"",INDEX(tblBilling[Monthly Fee],$N405),IF($O405=1,PC_TotalFee,""))</f>
        <v/>
      </c>
      <c r="H405" s="54">
        <f>IF($N405&lt;&gt;"",INDEX(tblBilling[Amount Paid],$N405),IF($O405=1,PC_TotalPaid,""))</f>
        <v/>
      </c>
      <c r="I405" s="54">
        <f>IF($N405&lt;&gt;"",INDEX(tblBilling[Balance],$N405),IF($O405=1,PC_TotalBalance,""))</f>
        <v/>
      </c>
      <c r="J405" s="53">
        <f>IF($N405&lt;&gt;"",INDEX(tblBilling[Payment Status],$N405),"")</f>
        <v/>
      </c>
      <c r="K405" s="55">
        <f>IF($N405&lt;&gt;"",IF(INDEX(tblBilling[Last Payment Date],$N405)="","",INDEX(tblBilling[Last Payment Date],$N405)),"")</f>
        <v/>
      </c>
      <c r="L405" s="53">
        <f>IF($N405&lt;&gt;"",INDEX(tblBilling[Collector Name],$N405),"")</f>
        <v/>
      </c>
      <c r="N405">
        <f>IF(N404="","",IFERROR(N404+MATCH(1,INDEX(tblBilling[Print Match],N404+1):INDEX(tblBilling[Print Match],ROWS(tblBilling[Print Match])),0),""))</f>
        <v/>
      </c>
      <c r="O405">
        <f>ROW()-9-MIN(PC_Count,500)</f>
        <v/>
      </c>
    </row>
    <row r="406" ht="20" customHeight="1">
      <c r="A406" s="52">
        <f>IF($N406="","",ROW()-9)</f>
        <v/>
      </c>
      <c r="B406" s="53">
        <f>IF($N406&lt;&gt;"",INDEX(tblBilling[Customer ID],$N406),"")</f>
        <v/>
      </c>
      <c r="C406" s="53">
        <f>IF($N406&lt;&gt;"",INDEX(tblBilling[Customer Name],$N406),CHOOSE(MIN(MAX($O406,0),7)+1,"","TOTAL","","Total Customers: "&amp;PC_Count,"Total Recovered: "&amp;CFG_CurrencySymbol&amp;" "&amp;TEXT(PC_TotalPaid,"#,##0"),"","Collector Signature: ____________",""))</f>
        <v/>
      </c>
      <c r="D406" s="53">
        <f>IF($N406&lt;&gt;"",INDEX(tblBilling[Full Address],$N406),CHOOSE(MIN(MAX($O406,0),7)+1,"","","","Total Billing: "&amp;CFG_CurrencySymbol&amp;" "&amp;TEXT(PC_TotalFee,"#,##0"),"Total Pending: "&amp;CFG_CurrencySymbol&amp;" "&amp;TEXT(PC_TotalBalance,"#,##0"),"","Office Verification: ____________",""))</f>
        <v/>
      </c>
      <c r="E406" s="53">
        <f>IF($N406&lt;&gt;"",INDEX(tblBilling[VLAN ID],$N406),"")</f>
        <v/>
      </c>
      <c r="F406" s="52">
        <f>IF($N406&lt;&gt;"",INDEX(tblBilling[Due Date],$N406),"")</f>
        <v/>
      </c>
      <c r="G406" s="54">
        <f>IF($N406&lt;&gt;"",INDEX(tblBilling[Monthly Fee],$N406),IF($O406=1,PC_TotalFee,""))</f>
        <v/>
      </c>
      <c r="H406" s="54">
        <f>IF($N406&lt;&gt;"",INDEX(tblBilling[Amount Paid],$N406),IF($O406=1,PC_TotalPaid,""))</f>
        <v/>
      </c>
      <c r="I406" s="54">
        <f>IF($N406&lt;&gt;"",INDEX(tblBilling[Balance],$N406),IF($O406=1,PC_TotalBalance,""))</f>
        <v/>
      </c>
      <c r="J406" s="53">
        <f>IF($N406&lt;&gt;"",INDEX(tblBilling[Payment Status],$N406),"")</f>
        <v/>
      </c>
      <c r="K406" s="55">
        <f>IF($N406&lt;&gt;"",IF(INDEX(tblBilling[Last Payment Date],$N406)="","",INDEX(tblBilling[Last Payment Date],$N406)),"")</f>
        <v/>
      </c>
      <c r="L406" s="53">
        <f>IF($N406&lt;&gt;"",INDEX(tblBilling[Collector Name],$N406),"")</f>
        <v/>
      </c>
      <c r="N406">
        <f>IF(N405="","",IFERROR(N405+MATCH(1,INDEX(tblBilling[Print Match],N405+1):INDEX(tblBilling[Print Match],ROWS(tblBilling[Print Match])),0),""))</f>
        <v/>
      </c>
      <c r="O406">
        <f>ROW()-9-MIN(PC_Count,500)</f>
        <v/>
      </c>
    </row>
    <row r="407" ht="20" customHeight="1">
      <c r="A407" s="52">
        <f>IF($N407="","",ROW()-9)</f>
        <v/>
      </c>
      <c r="B407" s="53">
        <f>IF($N407&lt;&gt;"",INDEX(tblBilling[Customer ID],$N407),"")</f>
        <v/>
      </c>
      <c r="C407" s="53">
        <f>IF($N407&lt;&gt;"",INDEX(tblBilling[Customer Name],$N407),CHOOSE(MIN(MAX($O407,0),7)+1,"","TOTAL","","Total Customers: "&amp;PC_Count,"Total Recovered: "&amp;CFG_CurrencySymbol&amp;" "&amp;TEXT(PC_TotalPaid,"#,##0"),"","Collector Signature: ____________",""))</f>
        <v/>
      </c>
      <c r="D407" s="53">
        <f>IF($N407&lt;&gt;"",INDEX(tblBilling[Full Address],$N407),CHOOSE(MIN(MAX($O407,0),7)+1,"","","","Total Billing: "&amp;CFG_CurrencySymbol&amp;" "&amp;TEXT(PC_TotalFee,"#,##0"),"Total Pending: "&amp;CFG_CurrencySymbol&amp;" "&amp;TEXT(PC_TotalBalance,"#,##0"),"","Office Verification: ____________",""))</f>
        <v/>
      </c>
      <c r="E407" s="53">
        <f>IF($N407&lt;&gt;"",INDEX(tblBilling[VLAN ID],$N407),"")</f>
        <v/>
      </c>
      <c r="F407" s="52">
        <f>IF($N407&lt;&gt;"",INDEX(tblBilling[Due Date],$N407),"")</f>
        <v/>
      </c>
      <c r="G407" s="54">
        <f>IF($N407&lt;&gt;"",INDEX(tblBilling[Monthly Fee],$N407),IF($O407=1,PC_TotalFee,""))</f>
        <v/>
      </c>
      <c r="H407" s="54">
        <f>IF($N407&lt;&gt;"",INDEX(tblBilling[Amount Paid],$N407),IF($O407=1,PC_TotalPaid,""))</f>
        <v/>
      </c>
      <c r="I407" s="54">
        <f>IF($N407&lt;&gt;"",INDEX(tblBilling[Balance],$N407),IF($O407=1,PC_TotalBalance,""))</f>
        <v/>
      </c>
      <c r="J407" s="53">
        <f>IF($N407&lt;&gt;"",INDEX(tblBilling[Payment Status],$N407),"")</f>
        <v/>
      </c>
      <c r="K407" s="55">
        <f>IF($N407&lt;&gt;"",IF(INDEX(tblBilling[Last Payment Date],$N407)="","",INDEX(tblBilling[Last Payment Date],$N407)),"")</f>
        <v/>
      </c>
      <c r="L407" s="53">
        <f>IF($N407&lt;&gt;"",INDEX(tblBilling[Collector Name],$N407),"")</f>
        <v/>
      </c>
      <c r="N407">
        <f>IF(N406="","",IFERROR(N406+MATCH(1,INDEX(tblBilling[Print Match],N406+1):INDEX(tblBilling[Print Match],ROWS(tblBilling[Print Match])),0),""))</f>
        <v/>
      </c>
      <c r="O407">
        <f>ROW()-9-MIN(PC_Count,500)</f>
        <v/>
      </c>
    </row>
    <row r="408" ht="20" customHeight="1">
      <c r="A408" s="52">
        <f>IF($N408="","",ROW()-9)</f>
        <v/>
      </c>
      <c r="B408" s="53">
        <f>IF($N408&lt;&gt;"",INDEX(tblBilling[Customer ID],$N408),"")</f>
        <v/>
      </c>
      <c r="C408" s="53">
        <f>IF($N408&lt;&gt;"",INDEX(tblBilling[Customer Name],$N408),CHOOSE(MIN(MAX($O408,0),7)+1,"","TOTAL","","Total Customers: "&amp;PC_Count,"Total Recovered: "&amp;CFG_CurrencySymbol&amp;" "&amp;TEXT(PC_TotalPaid,"#,##0"),"","Collector Signature: ____________",""))</f>
        <v/>
      </c>
      <c r="D408" s="53">
        <f>IF($N408&lt;&gt;"",INDEX(tblBilling[Full Address],$N408),CHOOSE(MIN(MAX($O408,0),7)+1,"","","","Total Billing: "&amp;CFG_CurrencySymbol&amp;" "&amp;TEXT(PC_TotalFee,"#,##0"),"Total Pending: "&amp;CFG_CurrencySymbol&amp;" "&amp;TEXT(PC_TotalBalance,"#,##0"),"","Office Verification: ____________",""))</f>
        <v/>
      </c>
      <c r="E408" s="53">
        <f>IF($N408&lt;&gt;"",INDEX(tblBilling[VLAN ID],$N408),"")</f>
        <v/>
      </c>
      <c r="F408" s="52">
        <f>IF($N408&lt;&gt;"",INDEX(tblBilling[Due Date],$N408),"")</f>
        <v/>
      </c>
      <c r="G408" s="54">
        <f>IF($N408&lt;&gt;"",INDEX(tblBilling[Monthly Fee],$N408),IF($O408=1,PC_TotalFee,""))</f>
        <v/>
      </c>
      <c r="H408" s="54">
        <f>IF($N408&lt;&gt;"",INDEX(tblBilling[Amount Paid],$N408),IF($O408=1,PC_TotalPaid,""))</f>
        <v/>
      </c>
      <c r="I408" s="54">
        <f>IF($N408&lt;&gt;"",INDEX(tblBilling[Balance],$N408),IF($O408=1,PC_TotalBalance,""))</f>
        <v/>
      </c>
      <c r="J408" s="53">
        <f>IF($N408&lt;&gt;"",INDEX(tblBilling[Payment Status],$N408),"")</f>
        <v/>
      </c>
      <c r="K408" s="55">
        <f>IF($N408&lt;&gt;"",IF(INDEX(tblBilling[Last Payment Date],$N408)="","",INDEX(tblBilling[Last Payment Date],$N408)),"")</f>
        <v/>
      </c>
      <c r="L408" s="53">
        <f>IF($N408&lt;&gt;"",INDEX(tblBilling[Collector Name],$N408),"")</f>
        <v/>
      </c>
      <c r="N408">
        <f>IF(N407="","",IFERROR(N407+MATCH(1,INDEX(tblBilling[Print Match],N407+1):INDEX(tblBilling[Print Match],ROWS(tblBilling[Print Match])),0),""))</f>
        <v/>
      </c>
      <c r="O408">
        <f>ROW()-9-MIN(PC_Count,500)</f>
        <v/>
      </c>
    </row>
    <row r="409" ht="20" customHeight="1">
      <c r="A409" s="52">
        <f>IF($N409="","",ROW()-9)</f>
        <v/>
      </c>
      <c r="B409" s="53">
        <f>IF($N409&lt;&gt;"",INDEX(tblBilling[Customer ID],$N409),"")</f>
        <v/>
      </c>
      <c r="C409" s="53">
        <f>IF($N409&lt;&gt;"",INDEX(tblBilling[Customer Name],$N409),CHOOSE(MIN(MAX($O409,0),7)+1,"","TOTAL","","Total Customers: "&amp;PC_Count,"Total Recovered: "&amp;CFG_CurrencySymbol&amp;" "&amp;TEXT(PC_TotalPaid,"#,##0"),"","Collector Signature: ____________",""))</f>
        <v/>
      </c>
      <c r="D409" s="53">
        <f>IF($N409&lt;&gt;"",INDEX(tblBilling[Full Address],$N409),CHOOSE(MIN(MAX($O409,0),7)+1,"","","","Total Billing: "&amp;CFG_CurrencySymbol&amp;" "&amp;TEXT(PC_TotalFee,"#,##0"),"Total Pending: "&amp;CFG_CurrencySymbol&amp;" "&amp;TEXT(PC_TotalBalance,"#,##0"),"","Office Verification: ____________",""))</f>
        <v/>
      </c>
      <c r="E409" s="53">
        <f>IF($N409&lt;&gt;"",INDEX(tblBilling[VLAN ID],$N409),"")</f>
        <v/>
      </c>
      <c r="F409" s="52">
        <f>IF($N409&lt;&gt;"",INDEX(tblBilling[Due Date],$N409),"")</f>
        <v/>
      </c>
      <c r="G409" s="54">
        <f>IF($N409&lt;&gt;"",INDEX(tblBilling[Monthly Fee],$N409),IF($O409=1,PC_TotalFee,""))</f>
        <v/>
      </c>
      <c r="H409" s="54">
        <f>IF($N409&lt;&gt;"",INDEX(tblBilling[Amount Paid],$N409),IF($O409=1,PC_TotalPaid,""))</f>
        <v/>
      </c>
      <c r="I409" s="54">
        <f>IF($N409&lt;&gt;"",INDEX(tblBilling[Balance],$N409),IF($O409=1,PC_TotalBalance,""))</f>
        <v/>
      </c>
      <c r="J409" s="53">
        <f>IF($N409&lt;&gt;"",INDEX(tblBilling[Payment Status],$N409),"")</f>
        <v/>
      </c>
      <c r="K409" s="55">
        <f>IF($N409&lt;&gt;"",IF(INDEX(tblBilling[Last Payment Date],$N409)="","",INDEX(tblBilling[Last Payment Date],$N409)),"")</f>
        <v/>
      </c>
      <c r="L409" s="53">
        <f>IF($N409&lt;&gt;"",INDEX(tblBilling[Collector Name],$N409),"")</f>
        <v/>
      </c>
      <c r="N409">
        <f>IF(N408="","",IFERROR(N408+MATCH(1,INDEX(tblBilling[Print Match],N408+1):INDEX(tblBilling[Print Match],ROWS(tblBilling[Print Match])),0),""))</f>
        <v/>
      </c>
      <c r="O409">
        <f>ROW()-9-MIN(PC_Count,500)</f>
        <v/>
      </c>
    </row>
    <row r="410" ht="20" customHeight="1">
      <c r="A410" s="52">
        <f>IF($N410="","",ROW()-9)</f>
        <v/>
      </c>
      <c r="B410" s="53">
        <f>IF($N410&lt;&gt;"",INDEX(tblBilling[Customer ID],$N410),"")</f>
        <v/>
      </c>
      <c r="C410" s="53">
        <f>IF($N410&lt;&gt;"",INDEX(tblBilling[Customer Name],$N410),CHOOSE(MIN(MAX($O410,0),7)+1,"","TOTAL","","Total Customers: "&amp;PC_Count,"Total Recovered: "&amp;CFG_CurrencySymbol&amp;" "&amp;TEXT(PC_TotalPaid,"#,##0"),"","Collector Signature: ____________",""))</f>
        <v/>
      </c>
      <c r="D410" s="53">
        <f>IF($N410&lt;&gt;"",INDEX(tblBilling[Full Address],$N410),CHOOSE(MIN(MAX($O410,0),7)+1,"","","","Total Billing: "&amp;CFG_CurrencySymbol&amp;" "&amp;TEXT(PC_TotalFee,"#,##0"),"Total Pending: "&amp;CFG_CurrencySymbol&amp;" "&amp;TEXT(PC_TotalBalance,"#,##0"),"","Office Verification: ____________",""))</f>
        <v/>
      </c>
      <c r="E410" s="53">
        <f>IF($N410&lt;&gt;"",INDEX(tblBilling[VLAN ID],$N410),"")</f>
        <v/>
      </c>
      <c r="F410" s="52">
        <f>IF($N410&lt;&gt;"",INDEX(tblBilling[Due Date],$N410),"")</f>
        <v/>
      </c>
      <c r="G410" s="54">
        <f>IF($N410&lt;&gt;"",INDEX(tblBilling[Monthly Fee],$N410),IF($O410=1,PC_TotalFee,""))</f>
        <v/>
      </c>
      <c r="H410" s="54">
        <f>IF($N410&lt;&gt;"",INDEX(tblBilling[Amount Paid],$N410),IF($O410=1,PC_TotalPaid,""))</f>
        <v/>
      </c>
      <c r="I410" s="54">
        <f>IF($N410&lt;&gt;"",INDEX(tblBilling[Balance],$N410),IF($O410=1,PC_TotalBalance,""))</f>
        <v/>
      </c>
      <c r="J410" s="53">
        <f>IF($N410&lt;&gt;"",INDEX(tblBilling[Payment Status],$N410),"")</f>
        <v/>
      </c>
      <c r="K410" s="55">
        <f>IF($N410&lt;&gt;"",IF(INDEX(tblBilling[Last Payment Date],$N410)="","",INDEX(tblBilling[Last Payment Date],$N410)),"")</f>
        <v/>
      </c>
      <c r="L410" s="53">
        <f>IF($N410&lt;&gt;"",INDEX(tblBilling[Collector Name],$N410),"")</f>
        <v/>
      </c>
      <c r="N410">
        <f>IF(N409="","",IFERROR(N409+MATCH(1,INDEX(tblBilling[Print Match],N409+1):INDEX(tblBilling[Print Match],ROWS(tblBilling[Print Match])),0),""))</f>
        <v/>
      </c>
      <c r="O410">
        <f>ROW()-9-MIN(PC_Count,500)</f>
        <v/>
      </c>
    </row>
    <row r="411" ht="20" customHeight="1">
      <c r="A411" s="52">
        <f>IF($N411="","",ROW()-9)</f>
        <v/>
      </c>
      <c r="B411" s="53">
        <f>IF($N411&lt;&gt;"",INDEX(tblBilling[Customer ID],$N411),"")</f>
        <v/>
      </c>
      <c r="C411" s="53">
        <f>IF($N411&lt;&gt;"",INDEX(tblBilling[Customer Name],$N411),CHOOSE(MIN(MAX($O411,0),7)+1,"","TOTAL","","Total Customers: "&amp;PC_Count,"Total Recovered: "&amp;CFG_CurrencySymbol&amp;" "&amp;TEXT(PC_TotalPaid,"#,##0"),"","Collector Signature: ____________",""))</f>
        <v/>
      </c>
      <c r="D411" s="53">
        <f>IF($N411&lt;&gt;"",INDEX(tblBilling[Full Address],$N411),CHOOSE(MIN(MAX($O411,0),7)+1,"","","","Total Billing: "&amp;CFG_CurrencySymbol&amp;" "&amp;TEXT(PC_TotalFee,"#,##0"),"Total Pending: "&amp;CFG_CurrencySymbol&amp;" "&amp;TEXT(PC_TotalBalance,"#,##0"),"","Office Verification: ____________",""))</f>
        <v/>
      </c>
      <c r="E411" s="53">
        <f>IF($N411&lt;&gt;"",INDEX(tblBilling[VLAN ID],$N411),"")</f>
        <v/>
      </c>
      <c r="F411" s="52">
        <f>IF($N411&lt;&gt;"",INDEX(tblBilling[Due Date],$N411),"")</f>
        <v/>
      </c>
      <c r="G411" s="54">
        <f>IF($N411&lt;&gt;"",INDEX(tblBilling[Monthly Fee],$N411),IF($O411=1,PC_TotalFee,""))</f>
        <v/>
      </c>
      <c r="H411" s="54">
        <f>IF($N411&lt;&gt;"",INDEX(tblBilling[Amount Paid],$N411),IF($O411=1,PC_TotalPaid,""))</f>
        <v/>
      </c>
      <c r="I411" s="54">
        <f>IF($N411&lt;&gt;"",INDEX(tblBilling[Balance],$N411),IF($O411=1,PC_TotalBalance,""))</f>
        <v/>
      </c>
      <c r="J411" s="53">
        <f>IF($N411&lt;&gt;"",INDEX(tblBilling[Payment Status],$N411),"")</f>
        <v/>
      </c>
      <c r="K411" s="55">
        <f>IF($N411&lt;&gt;"",IF(INDEX(tblBilling[Last Payment Date],$N411)="","",INDEX(tblBilling[Last Payment Date],$N411)),"")</f>
        <v/>
      </c>
      <c r="L411" s="53">
        <f>IF($N411&lt;&gt;"",INDEX(tblBilling[Collector Name],$N411),"")</f>
        <v/>
      </c>
      <c r="N411">
        <f>IF(N410="","",IFERROR(N410+MATCH(1,INDEX(tblBilling[Print Match],N410+1):INDEX(tblBilling[Print Match],ROWS(tblBilling[Print Match])),0),""))</f>
        <v/>
      </c>
      <c r="O411">
        <f>ROW()-9-MIN(PC_Count,500)</f>
        <v/>
      </c>
    </row>
    <row r="412" ht="20" customHeight="1">
      <c r="A412" s="52">
        <f>IF($N412="","",ROW()-9)</f>
        <v/>
      </c>
      <c r="B412" s="53">
        <f>IF($N412&lt;&gt;"",INDEX(tblBilling[Customer ID],$N412),"")</f>
        <v/>
      </c>
      <c r="C412" s="53">
        <f>IF($N412&lt;&gt;"",INDEX(tblBilling[Customer Name],$N412),CHOOSE(MIN(MAX($O412,0),7)+1,"","TOTAL","","Total Customers: "&amp;PC_Count,"Total Recovered: "&amp;CFG_CurrencySymbol&amp;" "&amp;TEXT(PC_TotalPaid,"#,##0"),"","Collector Signature: ____________",""))</f>
        <v/>
      </c>
      <c r="D412" s="53">
        <f>IF($N412&lt;&gt;"",INDEX(tblBilling[Full Address],$N412),CHOOSE(MIN(MAX($O412,0),7)+1,"","","","Total Billing: "&amp;CFG_CurrencySymbol&amp;" "&amp;TEXT(PC_TotalFee,"#,##0"),"Total Pending: "&amp;CFG_CurrencySymbol&amp;" "&amp;TEXT(PC_TotalBalance,"#,##0"),"","Office Verification: ____________",""))</f>
        <v/>
      </c>
      <c r="E412" s="53">
        <f>IF($N412&lt;&gt;"",INDEX(tblBilling[VLAN ID],$N412),"")</f>
        <v/>
      </c>
      <c r="F412" s="52">
        <f>IF($N412&lt;&gt;"",INDEX(tblBilling[Due Date],$N412),"")</f>
        <v/>
      </c>
      <c r="G412" s="54">
        <f>IF($N412&lt;&gt;"",INDEX(tblBilling[Monthly Fee],$N412),IF($O412=1,PC_TotalFee,""))</f>
        <v/>
      </c>
      <c r="H412" s="54">
        <f>IF($N412&lt;&gt;"",INDEX(tblBilling[Amount Paid],$N412),IF($O412=1,PC_TotalPaid,""))</f>
        <v/>
      </c>
      <c r="I412" s="54">
        <f>IF($N412&lt;&gt;"",INDEX(tblBilling[Balance],$N412),IF($O412=1,PC_TotalBalance,""))</f>
        <v/>
      </c>
      <c r="J412" s="53">
        <f>IF($N412&lt;&gt;"",INDEX(tblBilling[Payment Status],$N412),"")</f>
        <v/>
      </c>
      <c r="K412" s="55">
        <f>IF($N412&lt;&gt;"",IF(INDEX(tblBilling[Last Payment Date],$N412)="","",INDEX(tblBilling[Last Payment Date],$N412)),"")</f>
        <v/>
      </c>
      <c r="L412" s="53">
        <f>IF($N412&lt;&gt;"",INDEX(tblBilling[Collector Name],$N412),"")</f>
        <v/>
      </c>
      <c r="N412">
        <f>IF(N411="","",IFERROR(N411+MATCH(1,INDEX(tblBilling[Print Match],N411+1):INDEX(tblBilling[Print Match],ROWS(tblBilling[Print Match])),0),""))</f>
        <v/>
      </c>
      <c r="O412">
        <f>ROW()-9-MIN(PC_Count,500)</f>
        <v/>
      </c>
    </row>
    <row r="413" ht="20" customHeight="1">
      <c r="A413" s="52">
        <f>IF($N413="","",ROW()-9)</f>
        <v/>
      </c>
      <c r="B413" s="53">
        <f>IF($N413&lt;&gt;"",INDEX(tblBilling[Customer ID],$N413),"")</f>
        <v/>
      </c>
      <c r="C413" s="53">
        <f>IF($N413&lt;&gt;"",INDEX(tblBilling[Customer Name],$N413),CHOOSE(MIN(MAX($O413,0),7)+1,"","TOTAL","","Total Customers: "&amp;PC_Count,"Total Recovered: "&amp;CFG_CurrencySymbol&amp;" "&amp;TEXT(PC_TotalPaid,"#,##0"),"","Collector Signature: ____________",""))</f>
        <v/>
      </c>
      <c r="D413" s="53">
        <f>IF($N413&lt;&gt;"",INDEX(tblBilling[Full Address],$N413),CHOOSE(MIN(MAX($O413,0),7)+1,"","","","Total Billing: "&amp;CFG_CurrencySymbol&amp;" "&amp;TEXT(PC_TotalFee,"#,##0"),"Total Pending: "&amp;CFG_CurrencySymbol&amp;" "&amp;TEXT(PC_TotalBalance,"#,##0"),"","Office Verification: ____________",""))</f>
        <v/>
      </c>
      <c r="E413" s="53">
        <f>IF($N413&lt;&gt;"",INDEX(tblBilling[VLAN ID],$N413),"")</f>
        <v/>
      </c>
      <c r="F413" s="52">
        <f>IF($N413&lt;&gt;"",INDEX(tblBilling[Due Date],$N413),"")</f>
        <v/>
      </c>
      <c r="G413" s="54">
        <f>IF($N413&lt;&gt;"",INDEX(tblBilling[Monthly Fee],$N413),IF($O413=1,PC_TotalFee,""))</f>
        <v/>
      </c>
      <c r="H413" s="54">
        <f>IF($N413&lt;&gt;"",INDEX(tblBilling[Amount Paid],$N413),IF($O413=1,PC_TotalPaid,""))</f>
        <v/>
      </c>
      <c r="I413" s="54">
        <f>IF($N413&lt;&gt;"",INDEX(tblBilling[Balance],$N413),IF($O413=1,PC_TotalBalance,""))</f>
        <v/>
      </c>
      <c r="J413" s="53">
        <f>IF($N413&lt;&gt;"",INDEX(tblBilling[Payment Status],$N413),"")</f>
        <v/>
      </c>
      <c r="K413" s="55">
        <f>IF($N413&lt;&gt;"",IF(INDEX(tblBilling[Last Payment Date],$N413)="","",INDEX(tblBilling[Last Payment Date],$N413)),"")</f>
        <v/>
      </c>
      <c r="L413" s="53">
        <f>IF($N413&lt;&gt;"",INDEX(tblBilling[Collector Name],$N413),"")</f>
        <v/>
      </c>
      <c r="N413">
        <f>IF(N412="","",IFERROR(N412+MATCH(1,INDEX(tblBilling[Print Match],N412+1):INDEX(tblBilling[Print Match],ROWS(tblBilling[Print Match])),0),""))</f>
        <v/>
      </c>
      <c r="O413">
        <f>ROW()-9-MIN(PC_Count,500)</f>
        <v/>
      </c>
    </row>
    <row r="414" ht="20" customHeight="1">
      <c r="A414" s="52">
        <f>IF($N414="","",ROW()-9)</f>
        <v/>
      </c>
      <c r="B414" s="53">
        <f>IF($N414&lt;&gt;"",INDEX(tblBilling[Customer ID],$N414),"")</f>
        <v/>
      </c>
      <c r="C414" s="53">
        <f>IF($N414&lt;&gt;"",INDEX(tblBilling[Customer Name],$N414),CHOOSE(MIN(MAX($O414,0),7)+1,"","TOTAL","","Total Customers: "&amp;PC_Count,"Total Recovered: "&amp;CFG_CurrencySymbol&amp;" "&amp;TEXT(PC_TotalPaid,"#,##0"),"","Collector Signature: ____________",""))</f>
        <v/>
      </c>
      <c r="D414" s="53">
        <f>IF($N414&lt;&gt;"",INDEX(tblBilling[Full Address],$N414),CHOOSE(MIN(MAX($O414,0),7)+1,"","","","Total Billing: "&amp;CFG_CurrencySymbol&amp;" "&amp;TEXT(PC_TotalFee,"#,##0"),"Total Pending: "&amp;CFG_CurrencySymbol&amp;" "&amp;TEXT(PC_TotalBalance,"#,##0"),"","Office Verification: ____________",""))</f>
        <v/>
      </c>
      <c r="E414" s="53">
        <f>IF($N414&lt;&gt;"",INDEX(tblBilling[VLAN ID],$N414),"")</f>
        <v/>
      </c>
      <c r="F414" s="52">
        <f>IF($N414&lt;&gt;"",INDEX(tblBilling[Due Date],$N414),"")</f>
        <v/>
      </c>
      <c r="G414" s="54">
        <f>IF($N414&lt;&gt;"",INDEX(tblBilling[Monthly Fee],$N414),IF($O414=1,PC_TotalFee,""))</f>
        <v/>
      </c>
      <c r="H414" s="54">
        <f>IF($N414&lt;&gt;"",INDEX(tblBilling[Amount Paid],$N414),IF($O414=1,PC_TotalPaid,""))</f>
        <v/>
      </c>
      <c r="I414" s="54">
        <f>IF($N414&lt;&gt;"",INDEX(tblBilling[Balance],$N414),IF($O414=1,PC_TotalBalance,""))</f>
        <v/>
      </c>
      <c r="J414" s="53">
        <f>IF($N414&lt;&gt;"",INDEX(tblBilling[Payment Status],$N414),"")</f>
        <v/>
      </c>
      <c r="K414" s="55">
        <f>IF($N414&lt;&gt;"",IF(INDEX(tblBilling[Last Payment Date],$N414)="","",INDEX(tblBilling[Last Payment Date],$N414)),"")</f>
        <v/>
      </c>
      <c r="L414" s="53">
        <f>IF($N414&lt;&gt;"",INDEX(tblBilling[Collector Name],$N414),"")</f>
        <v/>
      </c>
      <c r="N414">
        <f>IF(N413="","",IFERROR(N413+MATCH(1,INDEX(tblBilling[Print Match],N413+1):INDEX(tblBilling[Print Match],ROWS(tblBilling[Print Match])),0),""))</f>
        <v/>
      </c>
      <c r="O414">
        <f>ROW()-9-MIN(PC_Count,500)</f>
        <v/>
      </c>
    </row>
    <row r="415" ht="20" customHeight="1">
      <c r="A415" s="52">
        <f>IF($N415="","",ROW()-9)</f>
        <v/>
      </c>
      <c r="B415" s="53">
        <f>IF($N415&lt;&gt;"",INDEX(tblBilling[Customer ID],$N415),"")</f>
        <v/>
      </c>
      <c r="C415" s="53">
        <f>IF($N415&lt;&gt;"",INDEX(tblBilling[Customer Name],$N415),CHOOSE(MIN(MAX($O415,0),7)+1,"","TOTAL","","Total Customers: "&amp;PC_Count,"Total Recovered: "&amp;CFG_CurrencySymbol&amp;" "&amp;TEXT(PC_TotalPaid,"#,##0"),"","Collector Signature: ____________",""))</f>
        <v/>
      </c>
      <c r="D415" s="53">
        <f>IF($N415&lt;&gt;"",INDEX(tblBilling[Full Address],$N415),CHOOSE(MIN(MAX($O415,0),7)+1,"","","","Total Billing: "&amp;CFG_CurrencySymbol&amp;" "&amp;TEXT(PC_TotalFee,"#,##0"),"Total Pending: "&amp;CFG_CurrencySymbol&amp;" "&amp;TEXT(PC_TotalBalance,"#,##0"),"","Office Verification: ____________",""))</f>
        <v/>
      </c>
      <c r="E415" s="53">
        <f>IF($N415&lt;&gt;"",INDEX(tblBilling[VLAN ID],$N415),"")</f>
        <v/>
      </c>
      <c r="F415" s="52">
        <f>IF($N415&lt;&gt;"",INDEX(tblBilling[Due Date],$N415),"")</f>
        <v/>
      </c>
      <c r="G415" s="54">
        <f>IF($N415&lt;&gt;"",INDEX(tblBilling[Monthly Fee],$N415),IF($O415=1,PC_TotalFee,""))</f>
        <v/>
      </c>
      <c r="H415" s="54">
        <f>IF($N415&lt;&gt;"",INDEX(tblBilling[Amount Paid],$N415),IF($O415=1,PC_TotalPaid,""))</f>
        <v/>
      </c>
      <c r="I415" s="54">
        <f>IF($N415&lt;&gt;"",INDEX(tblBilling[Balance],$N415),IF($O415=1,PC_TotalBalance,""))</f>
        <v/>
      </c>
      <c r="J415" s="53">
        <f>IF($N415&lt;&gt;"",INDEX(tblBilling[Payment Status],$N415),"")</f>
        <v/>
      </c>
      <c r="K415" s="55">
        <f>IF($N415&lt;&gt;"",IF(INDEX(tblBilling[Last Payment Date],$N415)="","",INDEX(tblBilling[Last Payment Date],$N415)),"")</f>
        <v/>
      </c>
      <c r="L415" s="53">
        <f>IF($N415&lt;&gt;"",INDEX(tblBilling[Collector Name],$N415),"")</f>
        <v/>
      </c>
      <c r="N415">
        <f>IF(N414="","",IFERROR(N414+MATCH(1,INDEX(tblBilling[Print Match],N414+1):INDEX(tblBilling[Print Match],ROWS(tblBilling[Print Match])),0),""))</f>
        <v/>
      </c>
      <c r="O415">
        <f>ROW()-9-MIN(PC_Count,500)</f>
        <v/>
      </c>
    </row>
    <row r="416" ht="20" customHeight="1">
      <c r="A416" s="52">
        <f>IF($N416="","",ROW()-9)</f>
        <v/>
      </c>
      <c r="B416" s="53">
        <f>IF($N416&lt;&gt;"",INDEX(tblBilling[Customer ID],$N416),"")</f>
        <v/>
      </c>
      <c r="C416" s="53">
        <f>IF($N416&lt;&gt;"",INDEX(tblBilling[Customer Name],$N416),CHOOSE(MIN(MAX($O416,0),7)+1,"","TOTAL","","Total Customers: "&amp;PC_Count,"Total Recovered: "&amp;CFG_CurrencySymbol&amp;" "&amp;TEXT(PC_TotalPaid,"#,##0"),"","Collector Signature: ____________",""))</f>
        <v/>
      </c>
      <c r="D416" s="53">
        <f>IF($N416&lt;&gt;"",INDEX(tblBilling[Full Address],$N416),CHOOSE(MIN(MAX($O416,0),7)+1,"","","","Total Billing: "&amp;CFG_CurrencySymbol&amp;" "&amp;TEXT(PC_TotalFee,"#,##0"),"Total Pending: "&amp;CFG_CurrencySymbol&amp;" "&amp;TEXT(PC_TotalBalance,"#,##0"),"","Office Verification: ____________",""))</f>
        <v/>
      </c>
      <c r="E416" s="53">
        <f>IF($N416&lt;&gt;"",INDEX(tblBilling[VLAN ID],$N416),"")</f>
        <v/>
      </c>
      <c r="F416" s="52">
        <f>IF($N416&lt;&gt;"",INDEX(tblBilling[Due Date],$N416),"")</f>
        <v/>
      </c>
      <c r="G416" s="54">
        <f>IF($N416&lt;&gt;"",INDEX(tblBilling[Monthly Fee],$N416),IF($O416=1,PC_TotalFee,""))</f>
        <v/>
      </c>
      <c r="H416" s="54">
        <f>IF($N416&lt;&gt;"",INDEX(tblBilling[Amount Paid],$N416),IF($O416=1,PC_TotalPaid,""))</f>
        <v/>
      </c>
      <c r="I416" s="54">
        <f>IF($N416&lt;&gt;"",INDEX(tblBilling[Balance],$N416),IF($O416=1,PC_TotalBalance,""))</f>
        <v/>
      </c>
      <c r="J416" s="53">
        <f>IF($N416&lt;&gt;"",INDEX(tblBilling[Payment Status],$N416),"")</f>
        <v/>
      </c>
      <c r="K416" s="55">
        <f>IF($N416&lt;&gt;"",IF(INDEX(tblBilling[Last Payment Date],$N416)="","",INDEX(tblBilling[Last Payment Date],$N416)),"")</f>
        <v/>
      </c>
      <c r="L416" s="53">
        <f>IF($N416&lt;&gt;"",INDEX(tblBilling[Collector Name],$N416),"")</f>
        <v/>
      </c>
      <c r="N416">
        <f>IF(N415="","",IFERROR(N415+MATCH(1,INDEX(tblBilling[Print Match],N415+1):INDEX(tblBilling[Print Match],ROWS(tblBilling[Print Match])),0),""))</f>
        <v/>
      </c>
      <c r="O416">
        <f>ROW()-9-MIN(PC_Count,500)</f>
        <v/>
      </c>
    </row>
    <row r="417" ht="20" customHeight="1">
      <c r="A417" s="52">
        <f>IF($N417="","",ROW()-9)</f>
        <v/>
      </c>
      <c r="B417" s="53">
        <f>IF($N417&lt;&gt;"",INDEX(tblBilling[Customer ID],$N417),"")</f>
        <v/>
      </c>
      <c r="C417" s="53">
        <f>IF($N417&lt;&gt;"",INDEX(tblBilling[Customer Name],$N417),CHOOSE(MIN(MAX($O417,0),7)+1,"","TOTAL","","Total Customers: "&amp;PC_Count,"Total Recovered: "&amp;CFG_CurrencySymbol&amp;" "&amp;TEXT(PC_TotalPaid,"#,##0"),"","Collector Signature: ____________",""))</f>
        <v/>
      </c>
      <c r="D417" s="53">
        <f>IF($N417&lt;&gt;"",INDEX(tblBilling[Full Address],$N417),CHOOSE(MIN(MAX($O417,0),7)+1,"","","","Total Billing: "&amp;CFG_CurrencySymbol&amp;" "&amp;TEXT(PC_TotalFee,"#,##0"),"Total Pending: "&amp;CFG_CurrencySymbol&amp;" "&amp;TEXT(PC_TotalBalance,"#,##0"),"","Office Verification: ____________",""))</f>
        <v/>
      </c>
      <c r="E417" s="53">
        <f>IF($N417&lt;&gt;"",INDEX(tblBilling[VLAN ID],$N417),"")</f>
        <v/>
      </c>
      <c r="F417" s="52">
        <f>IF($N417&lt;&gt;"",INDEX(tblBilling[Due Date],$N417),"")</f>
        <v/>
      </c>
      <c r="G417" s="54">
        <f>IF($N417&lt;&gt;"",INDEX(tblBilling[Monthly Fee],$N417),IF($O417=1,PC_TotalFee,""))</f>
        <v/>
      </c>
      <c r="H417" s="54">
        <f>IF($N417&lt;&gt;"",INDEX(tblBilling[Amount Paid],$N417),IF($O417=1,PC_TotalPaid,""))</f>
        <v/>
      </c>
      <c r="I417" s="54">
        <f>IF($N417&lt;&gt;"",INDEX(tblBilling[Balance],$N417),IF($O417=1,PC_TotalBalance,""))</f>
        <v/>
      </c>
      <c r="J417" s="53">
        <f>IF($N417&lt;&gt;"",INDEX(tblBilling[Payment Status],$N417),"")</f>
        <v/>
      </c>
      <c r="K417" s="55">
        <f>IF($N417&lt;&gt;"",IF(INDEX(tblBilling[Last Payment Date],$N417)="","",INDEX(tblBilling[Last Payment Date],$N417)),"")</f>
        <v/>
      </c>
      <c r="L417" s="53">
        <f>IF($N417&lt;&gt;"",INDEX(tblBilling[Collector Name],$N417),"")</f>
        <v/>
      </c>
      <c r="N417">
        <f>IF(N416="","",IFERROR(N416+MATCH(1,INDEX(tblBilling[Print Match],N416+1):INDEX(tblBilling[Print Match],ROWS(tblBilling[Print Match])),0),""))</f>
        <v/>
      </c>
      <c r="O417">
        <f>ROW()-9-MIN(PC_Count,500)</f>
        <v/>
      </c>
    </row>
    <row r="418" ht="20" customHeight="1">
      <c r="A418" s="52">
        <f>IF($N418="","",ROW()-9)</f>
        <v/>
      </c>
      <c r="B418" s="53">
        <f>IF($N418&lt;&gt;"",INDEX(tblBilling[Customer ID],$N418),"")</f>
        <v/>
      </c>
      <c r="C418" s="53">
        <f>IF($N418&lt;&gt;"",INDEX(tblBilling[Customer Name],$N418),CHOOSE(MIN(MAX($O418,0),7)+1,"","TOTAL","","Total Customers: "&amp;PC_Count,"Total Recovered: "&amp;CFG_CurrencySymbol&amp;" "&amp;TEXT(PC_TotalPaid,"#,##0"),"","Collector Signature: ____________",""))</f>
        <v/>
      </c>
      <c r="D418" s="53">
        <f>IF($N418&lt;&gt;"",INDEX(tblBilling[Full Address],$N418),CHOOSE(MIN(MAX($O418,0),7)+1,"","","","Total Billing: "&amp;CFG_CurrencySymbol&amp;" "&amp;TEXT(PC_TotalFee,"#,##0"),"Total Pending: "&amp;CFG_CurrencySymbol&amp;" "&amp;TEXT(PC_TotalBalance,"#,##0"),"","Office Verification: ____________",""))</f>
        <v/>
      </c>
      <c r="E418" s="53">
        <f>IF($N418&lt;&gt;"",INDEX(tblBilling[VLAN ID],$N418),"")</f>
        <v/>
      </c>
      <c r="F418" s="52">
        <f>IF($N418&lt;&gt;"",INDEX(tblBilling[Due Date],$N418),"")</f>
        <v/>
      </c>
      <c r="G418" s="54">
        <f>IF($N418&lt;&gt;"",INDEX(tblBilling[Monthly Fee],$N418),IF($O418=1,PC_TotalFee,""))</f>
        <v/>
      </c>
      <c r="H418" s="54">
        <f>IF($N418&lt;&gt;"",INDEX(tblBilling[Amount Paid],$N418),IF($O418=1,PC_TotalPaid,""))</f>
        <v/>
      </c>
      <c r="I418" s="54">
        <f>IF($N418&lt;&gt;"",INDEX(tblBilling[Balance],$N418),IF($O418=1,PC_TotalBalance,""))</f>
        <v/>
      </c>
      <c r="J418" s="53">
        <f>IF($N418&lt;&gt;"",INDEX(tblBilling[Payment Status],$N418),"")</f>
        <v/>
      </c>
      <c r="K418" s="55">
        <f>IF($N418&lt;&gt;"",IF(INDEX(tblBilling[Last Payment Date],$N418)="","",INDEX(tblBilling[Last Payment Date],$N418)),"")</f>
        <v/>
      </c>
      <c r="L418" s="53">
        <f>IF($N418&lt;&gt;"",INDEX(tblBilling[Collector Name],$N418),"")</f>
        <v/>
      </c>
      <c r="N418">
        <f>IF(N417="","",IFERROR(N417+MATCH(1,INDEX(tblBilling[Print Match],N417+1):INDEX(tblBilling[Print Match],ROWS(tblBilling[Print Match])),0),""))</f>
        <v/>
      </c>
      <c r="O418">
        <f>ROW()-9-MIN(PC_Count,500)</f>
        <v/>
      </c>
    </row>
    <row r="419" ht="20" customHeight="1">
      <c r="A419" s="52">
        <f>IF($N419="","",ROW()-9)</f>
        <v/>
      </c>
      <c r="B419" s="53">
        <f>IF($N419&lt;&gt;"",INDEX(tblBilling[Customer ID],$N419),"")</f>
        <v/>
      </c>
      <c r="C419" s="53">
        <f>IF($N419&lt;&gt;"",INDEX(tblBilling[Customer Name],$N419),CHOOSE(MIN(MAX($O419,0),7)+1,"","TOTAL","","Total Customers: "&amp;PC_Count,"Total Recovered: "&amp;CFG_CurrencySymbol&amp;" "&amp;TEXT(PC_TotalPaid,"#,##0"),"","Collector Signature: ____________",""))</f>
        <v/>
      </c>
      <c r="D419" s="53">
        <f>IF($N419&lt;&gt;"",INDEX(tblBilling[Full Address],$N419),CHOOSE(MIN(MAX($O419,0),7)+1,"","","","Total Billing: "&amp;CFG_CurrencySymbol&amp;" "&amp;TEXT(PC_TotalFee,"#,##0"),"Total Pending: "&amp;CFG_CurrencySymbol&amp;" "&amp;TEXT(PC_TotalBalance,"#,##0"),"","Office Verification: ____________",""))</f>
        <v/>
      </c>
      <c r="E419" s="53">
        <f>IF($N419&lt;&gt;"",INDEX(tblBilling[VLAN ID],$N419),"")</f>
        <v/>
      </c>
      <c r="F419" s="52">
        <f>IF($N419&lt;&gt;"",INDEX(tblBilling[Due Date],$N419),"")</f>
        <v/>
      </c>
      <c r="G419" s="54">
        <f>IF($N419&lt;&gt;"",INDEX(tblBilling[Monthly Fee],$N419),IF($O419=1,PC_TotalFee,""))</f>
        <v/>
      </c>
      <c r="H419" s="54">
        <f>IF($N419&lt;&gt;"",INDEX(tblBilling[Amount Paid],$N419),IF($O419=1,PC_TotalPaid,""))</f>
        <v/>
      </c>
      <c r="I419" s="54">
        <f>IF($N419&lt;&gt;"",INDEX(tblBilling[Balance],$N419),IF($O419=1,PC_TotalBalance,""))</f>
        <v/>
      </c>
      <c r="J419" s="53">
        <f>IF($N419&lt;&gt;"",INDEX(tblBilling[Payment Status],$N419),"")</f>
        <v/>
      </c>
      <c r="K419" s="55">
        <f>IF($N419&lt;&gt;"",IF(INDEX(tblBilling[Last Payment Date],$N419)="","",INDEX(tblBilling[Last Payment Date],$N419)),"")</f>
        <v/>
      </c>
      <c r="L419" s="53">
        <f>IF($N419&lt;&gt;"",INDEX(tblBilling[Collector Name],$N419),"")</f>
        <v/>
      </c>
      <c r="N419">
        <f>IF(N418="","",IFERROR(N418+MATCH(1,INDEX(tblBilling[Print Match],N418+1):INDEX(tblBilling[Print Match],ROWS(tblBilling[Print Match])),0),""))</f>
        <v/>
      </c>
      <c r="O419">
        <f>ROW()-9-MIN(PC_Count,500)</f>
        <v/>
      </c>
    </row>
    <row r="420" ht="20" customHeight="1">
      <c r="A420" s="52">
        <f>IF($N420="","",ROW()-9)</f>
        <v/>
      </c>
      <c r="B420" s="53">
        <f>IF($N420&lt;&gt;"",INDEX(tblBilling[Customer ID],$N420),"")</f>
        <v/>
      </c>
      <c r="C420" s="53">
        <f>IF($N420&lt;&gt;"",INDEX(tblBilling[Customer Name],$N420),CHOOSE(MIN(MAX($O420,0),7)+1,"","TOTAL","","Total Customers: "&amp;PC_Count,"Total Recovered: "&amp;CFG_CurrencySymbol&amp;" "&amp;TEXT(PC_TotalPaid,"#,##0"),"","Collector Signature: ____________",""))</f>
        <v/>
      </c>
      <c r="D420" s="53">
        <f>IF($N420&lt;&gt;"",INDEX(tblBilling[Full Address],$N420),CHOOSE(MIN(MAX($O420,0),7)+1,"","","","Total Billing: "&amp;CFG_CurrencySymbol&amp;" "&amp;TEXT(PC_TotalFee,"#,##0"),"Total Pending: "&amp;CFG_CurrencySymbol&amp;" "&amp;TEXT(PC_TotalBalance,"#,##0"),"","Office Verification: ____________",""))</f>
        <v/>
      </c>
      <c r="E420" s="53">
        <f>IF($N420&lt;&gt;"",INDEX(tblBilling[VLAN ID],$N420),"")</f>
        <v/>
      </c>
      <c r="F420" s="52">
        <f>IF($N420&lt;&gt;"",INDEX(tblBilling[Due Date],$N420),"")</f>
        <v/>
      </c>
      <c r="G420" s="54">
        <f>IF($N420&lt;&gt;"",INDEX(tblBilling[Monthly Fee],$N420),IF($O420=1,PC_TotalFee,""))</f>
        <v/>
      </c>
      <c r="H420" s="54">
        <f>IF($N420&lt;&gt;"",INDEX(tblBilling[Amount Paid],$N420),IF($O420=1,PC_TotalPaid,""))</f>
        <v/>
      </c>
      <c r="I420" s="54">
        <f>IF($N420&lt;&gt;"",INDEX(tblBilling[Balance],$N420),IF($O420=1,PC_TotalBalance,""))</f>
        <v/>
      </c>
      <c r="J420" s="53">
        <f>IF($N420&lt;&gt;"",INDEX(tblBilling[Payment Status],$N420),"")</f>
        <v/>
      </c>
      <c r="K420" s="55">
        <f>IF($N420&lt;&gt;"",IF(INDEX(tblBilling[Last Payment Date],$N420)="","",INDEX(tblBilling[Last Payment Date],$N420)),"")</f>
        <v/>
      </c>
      <c r="L420" s="53">
        <f>IF($N420&lt;&gt;"",INDEX(tblBilling[Collector Name],$N420),"")</f>
        <v/>
      </c>
      <c r="N420">
        <f>IF(N419="","",IFERROR(N419+MATCH(1,INDEX(tblBilling[Print Match],N419+1):INDEX(tblBilling[Print Match],ROWS(tblBilling[Print Match])),0),""))</f>
        <v/>
      </c>
      <c r="O420">
        <f>ROW()-9-MIN(PC_Count,500)</f>
        <v/>
      </c>
    </row>
    <row r="421" ht="20" customHeight="1">
      <c r="A421" s="52">
        <f>IF($N421="","",ROW()-9)</f>
        <v/>
      </c>
      <c r="B421" s="53">
        <f>IF($N421&lt;&gt;"",INDEX(tblBilling[Customer ID],$N421),"")</f>
        <v/>
      </c>
      <c r="C421" s="53">
        <f>IF($N421&lt;&gt;"",INDEX(tblBilling[Customer Name],$N421),CHOOSE(MIN(MAX($O421,0),7)+1,"","TOTAL","","Total Customers: "&amp;PC_Count,"Total Recovered: "&amp;CFG_CurrencySymbol&amp;" "&amp;TEXT(PC_TotalPaid,"#,##0"),"","Collector Signature: ____________",""))</f>
        <v/>
      </c>
      <c r="D421" s="53">
        <f>IF($N421&lt;&gt;"",INDEX(tblBilling[Full Address],$N421),CHOOSE(MIN(MAX($O421,0),7)+1,"","","","Total Billing: "&amp;CFG_CurrencySymbol&amp;" "&amp;TEXT(PC_TotalFee,"#,##0"),"Total Pending: "&amp;CFG_CurrencySymbol&amp;" "&amp;TEXT(PC_TotalBalance,"#,##0"),"","Office Verification: ____________",""))</f>
        <v/>
      </c>
      <c r="E421" s="53">
        <f>IF($N421&lt;&gt;"",INDEX(tblBilling[VLAN ID],$N421),"")</f>
        <v/>
      </c>
      <c r="F421" s="52">
        <f>IF($N421&lt;&gt;"",INDEX(tblBilling[Due Date],$N421),"")</f>
        <v/>
      </c>
      <c r="G421" s="54">
        <f>IF($N421&lt;&gt;"",INDEX(tblBilling[Monthly Fee],$N421),IF($O421=1,PC_TotalFee,""))</f>
        <v/>
      </c>
      <c r="H421" s="54">
        <f>IF($N421&lt;&gt;"",INDEX(tblBilling[Amount Paid],$N421),IF($O421=1,PC_TotalPaid,""))</f>
        <v/>
      </c>
      <c r="I421" s="54">
        <f>IF($N421&lt;&gt;"",INDEX(tblBilling[Balance],$N421),IF($O421=1,PC_TotalBalance,""))</f>
        <v/>
      </c>
      <c r="J421" s="53">
        <f>IF($N421&lt;&gt;"",INDEX(tblBilling[Payment Status],$N421),"")</f>
        <v/>
      </c>
      <c r="K421" s="55">
        <f>IF($N421&lt;&gt;"",IF(INDEX(tblBilling[Last Payment Date],$N421)="","",INDEX(tblBilling[Last Payment Date],$N421)),"")</f>
        <v/>
      </c>
      <c r="L421" s="53">
        <f>IF($N421&lt;&gt;"",INDEX(tblBilling[Collector Name],$N421),"")</f>
        <v/>
      </c>
      <c r="N421">
        <f>IF(N420="","",IFERROR(N420+MATCH(1,INDEX(tblBilling[Print Match],N420+1):INDEX(tblBilling[Print Match],ROWS(tblBilling[Print Match])),0),""))</f>
        <v/>
      </c>
      <c r="O421">
        <f>ROW()-9-MIN(PC_Count,500)</f>
        <v/>
      </c>
    </row>
    <row r="422" ht="20" customHeight="1">
      <c r="A422" s="52">
        <f>IF($N422="","",ROW()-9)</f>
        <v/>
      </c>
      <c r="B422" s="53">
        <f>IF($N422&lt;&gt;"",INDEX(tblBilling[Customer ID],$N422),"")</f>
        <v/>
      </c>
      <c r="C422" s="53">
        <f>IF($N422&lt;&gt;"",INDEX(tblBilling[Customer Name],$N422),CHOOSE(MIN(MAX($O422,0),7)+1,"","TOTAL","","Total Customers: "&amp;PC_Count,"Total Recovered: "&amp;CFG_CurrencySymbol&amp;" "&amp;TEXT(PC_TotalPaid,"#,##0"),"","Collector Signature: ____________",""))</f>
        <v/>
      </c>
      <c r="D422" s="53">
        <f>IF($N422&lt;&gt;"",INDEX(tblBilling[Full Address],$N422),CHOOSE(MIN(MAX($O422,0),7)+1,"","","","Total Billing: "&amp;CFG_CurrencySymbol&amp;" "&amp;TEXT(PC_TotalFee,"#,##0"),"Total Pending: "&amp;CFG_CurrencySymbol&amp;" "&amp;TEXT(PC_TotalBalance,"#,##0"),"","Office Verification: ____________",""))</f>
        <v/>
      </c>
      <c r="E422" s="53">
        <f>IF($N422&lt;&gt;"",INDEX(tblBilling[VLAN ID],$N422),"")</f>
        <v/>
      </c>
      <c r="F422" s="52">
        <f>IF($N422&lt;&gt;"",INDEX(tblBilling[Due Date],$N422),"")</f>
        <v/>
      </c>
      <c r="G422" s="54">
        <f>IF($N422&lt;&gt;"",INDEX(tblBilling[Monthly Fee],$N422),IF($O422=1,PC_TotalFee,""))</f>
        <v/>
      </c>
      <c r="H422" s="54">
        <f>IF($N422&lt;&gt;"",INDEX(tblBilling[Amount Paid],$N422),IF($O422=1,PC_TotalPaid,""))</f>
        <v/>
      </c>
      <c r="I422" s="54">
        <f>IF($N422&lt;&gt;"",INDEX(tblBilling[Balance],$N422),IF($O422=1,PC_TotalBalance,""))</f>
        <v/>
      </c>
      <c r="J422" s="53">
        <f>IF($N422&lt;&gt;"",INDEX(tblBilling[Payment Status],$N422),"")</f>
        <v/>
      </c>
      <c r="K422" s="55">
        <f>IF($N422&lt;&gt;"",IF(INDEX(tblBilling[Last Payment Date],$N422)="","",INDEX(tblBilling[Last Payment Date],$N422)),"")</f>
        <v/>
      </c>
      <c r="L422" s="53">
        <f>IF($N422&lt;&gt;"",INDEX(tblBilling[Collector Name],$N422),"")</f>
        <v/>
      </c>
      <c r="N422">
        <f>IF(N421="","",IFERROR(N421+MATCH(1,INDEX(tblBilling[Print Match],N421+1):INDEX(tblBilling[Print Match],ROWS(tblBilling[Print Match])),0),""))</f>
        <v/>
      </c>
      <c r="O422">
        <f>ROW()-9-MIN(PC_Count,500)</f>
        <v/>
      </c>
    </row>
    <row r="423" ht="20" customHeight="1">
      <c r="A423" s="52">
        <f>IF($N423="","",ROW()-9)</f>
        <v/>
      </c>
      <c r="B423" s="53">
        <f>IF($N423&lt;&gt;"",INDEX(tblBilling[Customer ID],$N423),"")</f>
        <v/>
      </c>
      <c r="C423" s="53">
        <f>IF($N423&lt;&gt;"",INDEX(tblBilling[Customer Name],$N423),CHOOSE(MIN(MAX($O423,0),7)+1,"","TOTAL","","Total Customers: "&amp;PC_Count,"Total Recovered: "&amp;CFG_CurrencySymbol&amp;" "&amp;TEXT(PC_TotalPaid,"#,##0"),"","Collector Signature: ____________",""))</f>
        <v/>
      </c>
      <c r="D423" s="53">
        <f>IF($N423&lt;&gt;"",INDEX(tblBilling[Full Address],$N423),CHOOSE(MIN(MAX($O423,0),7)+1,"","","","Total Billing: "&amp;CFG_CurrencySymbol&amp;" "&amp;TEXT(PC_TotalFee,"#,##0"),"Total Pending: "&amp;CFG_CurrencySymbol&amp;" "&amp;TEXT(PC_TotalBalance,"#,##0"),"","Office Verification: ____________",""))</f>
        <v/>
      </c>
      <c r="E423" s="53">
        <f>IF($N423&lt;&gt;"",INDEX(tblBilling[VLAN ID],$N423),"")</f>
        <v/>
      </c>
      <c r="F423" s="52">
        <f>IF($N423&lt;&gt;"",INDEX(tblBilling[Due Date],$N423),"")</f>
        <v/>
      </c>
      <c r="G423" s="54">
        <f>IF($N423&lt;&gt;"",INDEX(tblBilling[Monthly Fee],$N423),IF($O423=1,PC_TotalFee,""))</f>
        <v/>
      </c>
      <c r="H423" s="54">
        <f>IF($N423&lt;&gt;"",INDEX(tblBilling[Amount Paid],$N423),IF($O423=1,PC_TotalPaid,""))</f>
        <v/>
      </c>
      <c r="I423" s="54">
        <f>IF($N423&lt;&gt;"",INDEX(tblBilling[Balance],$N423),IF($O423=1,PC_TotalBalance,""))</f>
        <v/>
      </c>
      <c r="J423" s="53">
        <f>IF($N423&lt;&gt;"",INDEX(tblBilling[Payment Status],$N423),"")</f>
        <v/>
      </c>
      <c r="K423" s="55">
        <f>IF($N423&lt;&gt;"",IF(INDEX(tblBilling[Last Payment Date],$N423)="","",INDEX(tblBilling[Last Payment Date],$N423)),"")</f>
        <v/>
      </c>
      <c r="L423" s="53">
        <f>IF($N423&lt;&gt;"",INDEX(tblBilling[Collector Name],$N423),"")</f>
        <v/>
      </c>
      <c r="N423">
        <f>IF(N422="","",IFERROR(N422+MATCH(1,INDEX(tblBilling[Print Match],N422+1):INDEX(tblBilling[Print Match],ROWS(tblBilling[Print Match])),0),""))</f>
        <v/>
      </c>
      <c r="O423">
        <f>ROW()-9-MIN(PC_Count,500)</f>
        <v/>
      </c>
    </row>
    <row r="424" ht="20" customHeight="1">
      <c r="A424" s="52">
        <f>IF($N424="","",ROW()-9)</f>
        <v/>
      </c>
      <c r="B424" s="53">
        <f>IF($N424&lt;&gt;"",INDEX(tblBilling[Customer ID],$N424),"")</f>
        <v/>
      </c>
      <c r="C424" s="53">
        <f>IF($N424&lt;&gt;"",INDEX(tblBilling[Customer Name],$N424),CHOOSE(MIN(MAX($O424,0),7)+1,"","TOTAL","","Total Customers: "&amp;PC_Count,"Total Recovered: "&amp;CFG_CurrencySymbol&amp;" "&amp;TEXT(PC_TotalPaid,"#,##0"),"","Collector Signature: ____________",""))</f>
        <v/>
      </c>
      <c r="D424" s="53">
        <f>IF($N424&lt;&gt;"",INDEX(tblBilling[Full Address],$N424),CHOOSE(MIN(MAX($O424,0),7)+1,"","","","Total Billing: "&amp;CFG_CurrencySymbol&amp;" "&amp;TEXT(PC_TotalFee,"#,##0"),"Total Pending: "&amp;CFG_CurrencySymbol&amp;" "&amp;TEXT(PC_TotalBalance,"#,##0"),"","Office Verification: ____________",""))</f>
        <v/>
      </c>
      <c r="E424" s="53">
        <f>IF($N424&lt;&gt;"",INDEX(tblBilling[VLAN ID],$N424),"")</f>
        <v/>
      </c>
      <c r="F424" s="52">
        <f>IF($N424&lt;&gt;"",INDEX(tblBilling[Due Date],$N424),"")</f>
        <v/>
      </c>
      <c r="G424" s="54">
        <f>IF($N424&lt;&gt;"",INDEX(tblBilling[Monthly Fee],$N424),IF($O424=1,PC_TotalFee,""))</f>
        <v/>
      </c>
      <c r="H424" s="54">
        <f>IF($N424&lt;&gt;"",INDEX(tblBilling[Amount Paid],$N424),IF($O424=1,PC_TotalPaid,""))</f>
        <v/>
      </c>
      <c r="I424" s="54">
        <f>IF($N424&lt;&gt;"",INDEX(tblBilling[Balance],$N424),IF($O424=1,PC_TotalBalance,""))</f>
        <v/>
      </c>
      <c r="J424" s="53">
        <f>IF($N424&lt;&gt;"",INDEX(tblBilling[Payment Status],$N424),"")</f>
        <v/>
      </c>
      <c r="K424" s="55">
        <f>IF($N424&lt;&gt;"",IF(INDEX(tblBilling[Last Payment Date],$N424)="","",INDEX(tblBilling[Last Payment Date],$N424)),"")</f>
        <v/>
      </c>
      <c r="L424" s="53">
        <f>IF($N424&lt;&gt;"",INDEX(tblBilling[Collector Name],$N424),"")</f>
        <v/>
      </c>
      <c r="N424">
        <f>IF(N423="","",IFERROR(N423+MATCH(1,INDEX(tblBilling[Print Match],N423+1):INDEX(tblBilling[Print Match],ROWS(tblBilling[Print Match])),0),""))</f>
        <v/>
      </c>
      <c r="O424">
        <f>ROW()-9-MIN(PC_Count,500)</f>
        <v/>
      </c>
    </row>
    <row r="425" ht="20" customHeight="1">
      <c r="A425" s="52">
        <f>IF($N425="","",ROW()-9)</f>
        <v/>
      </c>
      <c r="B425" s="53">
        <f>IF($N425&lt;&gt;"",INDEX(tblBilling[Customer ID],$N425),"")</f>
        <v/>
      </c>
      <c r="C425" s="53">
        <f>IF($N425&lt;&gt;"",INDEX(tblBilling[Customer Name],$N425),CHOOSE(MIN(MAX($O425,0),7)+1,"","TOTAL","","Total Customers: "&amp;PC_Count,"Total Recovered: "&amp;CFG_CurrencySymbol&amp;" "&amp;TEXT(PC_TotalPaid,"#,##0"),"","Collector Signature: ____________",""))</f>
        <v/>
      </c>
      <c r="D425" s="53">
        <f>IF($N425&lt;&gt;"",INDEX(tblBilling[Full Address],$N425),CHOOSE(MIN(MAX($O425,0),7)+1,"","","","Total Billing: "&amp;CFG_CurrencySymbol&amp;" "&amp;TEXT(PC_TotalFee,"#,##0"),"Total Pending: "&amp;CFG_CurrencySymbol&amp;" "&amp;TEXT(PC_TotalBalance,"#,##0"),"","Office Verification: ____________",""))</f>
        <v/>
      </c>
      <c r="E425" s="53">
        <f>IF($N425&lt;&gt;"",INDEX(tblBilling[VLAN ID],$N425),"")</f>
        <v/>
      </c>
      <c r="F425" s="52">
        <f>IF($N425&lt;&gt;"",INDEX(tblBilling[Due Date],$N425),"")</f>
        <v/>
      </c>
      <c r="G425" s="54">
        <f>IF($N425&lt;&gt;"",INDEX(tblBilling[Monthly Fee],$N425),IF($O425=1,PC_TotalFee,""))</f>
        <v/>
      </c>
      <c r="H425" s="54">
        <f>IF($N425&lt;&gt;"",INDEX(tblBilling[Amount Paid],$N425),IF($O425=1,PC_TotalPaid,""))</f>
        <v/>
      </c>
      <c r="I425" s="54">
        <f>IF($N425&lt;&gt;"",INDEX(tblBilling[Balance],$N425),IF($O425=1,PC_TotalBalance,""))</f>
        <v/>
      </c>
      <c r="J425" s="53">
        <f>IF($N425&lt;&gt;"",INDEX(tblBilling[Payment Status],$N425),"")</f>
        <v/>
      </c>
      <c r="K425" s="55">
        <f>IF($N425&lt;&gt;"",IF(INDEX(tblBilling[Last Payment Date],$N425)="","",INDEX(tblBilling[Last Payment Date],$N425)),"")</f>
        <v/>
      </c>
      <c r="L425" s="53">
        <f>IF($N425&lt;&gt;"",INDEX(tblBilling[Collector Name],$N425),"")</f>
        <v/>
      </c>
      <c r="N425">
        <f>IF(N424="","",IFERROR(N424+MATCH(1,INDEX(tblBilling[Print Match],N424+1):INDEX(tblBilling[Print Match],ROWS(tblBilling[Print Match])),0),""))</f>
        <v/>
      </c>
      <c r="O425">
        <f>ROW()-9-MIN(PC_Count,500)</f>
        <v/>
      </c>
    </row>
    <row r="426" ht="20" customHeight="1">
      <c r="A426" s="52">
        <f>IF($N426="","",ROW()-9)</f>
        <v/>
      </c>
      <c r="B426" s="53">
        <f>IF($N426&lt;&gt;"",INDEX(tblBilling[Customer ID],$N426),"")</f>
        <v/>
      </c>
      <c r="C426" s="53">
        <f>IF($N426&lt;&gt;"",INDEX(tblBilling[Customer Name],$N426),CHOOSE(MIN(MAX($O426,0),7)+1,"","TOTAL","","Total Customers: "&amp;PC_Count,"Total Recovered: "&amp;CFG_CurrencySymbol&amp;" "&amp;TEXT(PC_TotalPaid,"#,##0"),"","Collector Signature: ____________",""))</f>
        <v/>
      </c>
      <c r="D426" s="53">
        <f>IF($N426&lt;&gt;"",INDEX(tblBilling[Full Address],$N426),CHOOSE(MIN(MAX($O426,0),7)+1,"","","","Total Billing: "&amp;CFG_CurrencySymbol&amp;" "&amp;TEXT(PC_TotalFee,"#,##0"),"Total Pending: "&amp;CFG_CurrencySymbol&amp;" "&amp;TEXT(PC_TotalBalance,"#,##0"),"","Office Verification: ____________",""))</f>
        <v/>
      </c>
      <c r="E426" s="53">
        <f>IF($N426&lt;&gt;"",INDEX(tblBilling[VLAN ID],$N426),"")</f>
        <v/>
      </c>
      <c r="F426" s="52">
        <f>IF($N426&lt;&gt;"",INDEX(tblBilling[Due Date],$N426),"")</f>
        <v/>
      </c>
      <c r="G426" s="54">
        <f>IF($N426&lt;&gt;"",INDEX(tblBilling[Monthly Fee],$N426),IF($O426=1,PC_TotalFee,""))</f>
        <v/>
      </c>
      <c r="H426" s="54">
        <f>IF($N426&lt;&gt;"",INDEX(tblBilling[Amount Paid],$N426),IF($O426=1,PC_TotalPaid,""))</f>
        <v/>
      </c>
      <c r="I426" s="54">
        <f>IF($N426&lt;&gt;"",INDEX(tblBilling[Balance],$N426),IF($O426=1,PC_TotalBalance,""))</f>
        <v/>
      </c>
      <c r="J426" s="53">
        <f>IF($N426&lt;&gt;"",INDEX(tblBilling[Payment Status],$N426),"")</f>
        <v/>
      </c>
      <c r="K426" s="55">
        <f>IF($N426&lt;&gt;"",IF(INDEX(tblBilling[Last Payment Date],$N426)="","",INDEX(tblBilling[Last Payment Date],$N426)),"")</f>
        <v/>
      </c>
      <c r="L426" s="53">
        <f>IF($N426&lt;&gt;"",INDEX(tblBilling[Collector Name],$N426),"")</f>
        <v/>
      </c>
      <c r="N426">
        <f>IF(N425="","",IFERROR(N425+MATCH(1,INDEX(tblBilling[Print Match],N425+1):INDEX(tblBilling[Print Match],ROWS(tblBilling[Print Match])),0),""))</f>
        <v/>
      </c>
      <c r="O426">
        <f>ROW()-9-MIN(PC_Count,500)</f>
        <v/>
      </c>
    </row>
    <row r="427" ht="20" customHeight="1">
      <c r="A427" s="52">
        <f>IF($N427="","",ROW()-9)</f>
        <v/>
      </c>
      <c r="B427" s="53">
        <f>IF($N427&lt;&gt;"",INDEX(tblBilling[Customer ID],$N427),"")</f>
        <v/>
      </c>
      <c r="C427" s="53">
        <f>IF($N427&lt;&gt;"",INDEX(tblBilling[Customer Name],$N427),CHOOSE(MIN(MAX($O427,0),7)+1,"","TOTAL","","Total Customers: "&amp;PC_Count,"Total Recovered: "&amp;CFG_CurrencySymbol&amp;" "&amp;TEXT(PC_TotalPaid,"#,##0"),"","Collector Signature: ____________",""))</f>
        <v/>
      </c>
      <c r="D427" s="53">
        <f>IF($N427&lt;&gt;"",INDEX(tblBilling[Full Address],$N427),CHOOSE(MIN(MAX($O427,0),7)+1,"","","","Total Billing: "&amp;CFG_CurrencySymbol&amp;" "&amp;TEXT(PC_TotalFee,"#,##0"),"Total Pending: "&amp;CFG_CurrencySymbol&amp;" "&amp;TEXT(PC_TotalBalance,"#,##0"),"","Office Verification: ____________",""))</f>
        <v/>
      </c>
      <c r="E427" s="53">
        <f>IF($N427&lt;&gt;"",INDEX(tblBilling[VLAN ID],$N427),"")</f>
        <v/>
      </c>
      <c r="F427" s="52">
        <f>IF($N427&lt;&gt;"",INDEX(tblBilling[Due Date],$N427),"")</f>
        <v/>
      </c>
      <c r="G427" s="54">
        <f>IF($N427&lt;&gt;"",INDEX(tblBilling[Monthly Fee],$N427),IF($O427=1,PC_TotalFee,""))</f>
        <v/>
      </c>
      <c r="H427" s="54">
        <f>IF($N427&lt;&gt;"",INDEX(tblBilling[Amount Paid],$N427),IF($O427=1,PC_TotalPaid,""))</f>
        <v/>
      </c>
      <c r="I427" s="54">
        <f>IF($N427&lt;&gt;"",INDEX(tblBilling[Balance],$N427),IF($O427=1,PC_TotalBalance,""))</f>
        <v/>
      </c>
      <c r="J427" s="53">
        <f>IF($N427&lt;&gt;"",INDEX(tblBilling[Payment Status],$N427),"")</f>
        <v/>
      </c>
      <c r="K427" s="55">
        <f>IF($N427&lt;&gt;"",IF(INDEX(tblBilling[Last Payment Date],$N427)="","",INDEX(tblBilling[Last Payment Date],$N427)),"")</f>
        <v/>
      </c>
      <c r="L427" s="53">
        <f>IF($N427&lt;&gt;"",INDEX(tblBilling[Collector Name],$N427),"")</f>
        <v/>
      </c>
      <c r="N427">
        <f>IF(N426="","",IFERROR(N426+MATCH(1,INDEX(tblBilling[Print Match],N426+1):INDEX(tblBilling[Print Match],ROWS(tblBilling[Print Match])),0),""))</f>
        <v/>
      </c>
      <c r="O427">
        <f>ROW()-9-MIN(PC_Count,500)</f>
        <v/>
      </c>
    </row>
    <row r="428" ht="20" customHeight="1">
      <c r="A428" s="52">
        <f>IF($N428="","",ROW()-9)</f>
        <v/>
      </c>
      <c r="B428" s="53">
        <f>IF($N428&lt;&gt;"",INDEX(tblBilling[Customer ID],$N428),"")</f>
        <v/>
      </c>
      <c r="C428" s="53">
        <f>IF($N428&lt;&gt;"",INDEX(tblBilling[Customer Name],$N428),CHOOSE(MIN(MAX($O428,0),7)+1,"","TOTAL","","Total Customers: "&amp;PC_Count,"Total Recovered: "&amp;CFG_CurrencySymbol&amp;" "&amp;TEXT(PC_TotalPaid,"#,##0"),"","Collector Signature: ____________",""))</f>
        <v/>
      </c>
      <c r="D428" s="53">
        <f>IF($N428&lt;&gt;"",INDEX(tblBilling[Full Address],$N428),CHOOSE(MIN(MAX($O428,0),7)+1,"","","","Total Billing: "&amp;CFG_CurrencySymbol&amp;" "&amp;TEXT(PC_TotalFee,"#,##0"),"Total Pending: "&amp;CFG_CurrencySymbol&amp;" "&amp;TEXT(PC_TotalBalance,"#,##0"),"","Office Verification: ____________",""))</f>
        <v/>
      </c>
      <c r="E428" s="53">
        <f>IF($N428&lt;&gt;"",INDEX(tblBilling[VLAN ID],$N428),"")</f>
        <v/>
      </c>
      <c r="F428" s="52">
        <f>IF($N428&lt;&gt;"",INDEX(tblBilling[Due Date],$N428),"")</f>
        <v/>
      </c>
      <c r="G428" s="54">
        <f>IF($N428&lt;&gt;"",INDEX(tblBilling[Monthly Fee],$N428),IF($O428=1,PC_TotalFee,""))</f>
        <v/>
      </c>
      <c r="H428" s="54">
        <f>IF($N428&lt;&gt;"",INDEX(tblBilling[Amount Paid],$N428),IF($O428=1,PC_TotalPaid,""))</f>
        <v/>
      </c>
      <c r="I428" s="54">
        <f>IF($N428&lt;&gt;"",INDEX(tblBilling[Balance],$N428),IF($O428=1,PC_TotalBalance,""))</f>
        <v/>
      </c>
      <c r="J428" s="53">
        <f>IF($N428&lt;&gt;"",INDEX(tblBilling[Payment Status],$N428),"")</f>
        <v/>
      </c>
      <c r="K428" s="55">
        <f>IF($N428&lt;&gt;"",IF(INDEX(tblBilling[Last Payment Date],$N428)="","",INDEX(tblBilling[Last Payment Date],$N428)),"")</f>
        <v/>
      </c>
      <c r="L428" s="53">
        <f>IF($N428&lt;&gt;"",INDEX(tblBilling[Collector Name],$N428),"")</f>
        <v/>
      </c>
      <c r="N428">
        <f>IF(N427="","",IFERROR(N427+MATCH(1,INDEX(tblBilling[Print Match],N427+1):INDEX(tblBilling[Print Match],ROWS(tblBilling[Print Match])),0),""))</f>
        <v/>
      </c>
      <c r="O428">
        <f>ROW()-9-MIN(PC_Count,500)</f>
        <v/>
      </c>
    </row>
    <row r="429" ht="20" customHeight="1">
      <c r="A429" s="52">
        <f>IF($N429="","",ROW()-9)</f>
        <v/>
      </c>
      <c r="B429" s="53">
        <f>IF($N429&lt;&gt;"",INDEX(tblBilling[Customer ID],$N429),"")</f>
        <v/>
      </c>
      <c r="C429" s="53">
        <f>IF($N429&lt;&gt;"",INDEX(tblBilling[Customer Name],$N429),CHOOSE(MIN(MAX($O429,0),7)+1,"","TOTAL","","Total Customers: "&amp;PC_Count,"Total Recovered: "&amp;CFG_CurrencySymbol&amp;" "&amp;TEXT(PC_TotalPaid,"#,##0"),"","Collector Signature: ____________",""))</f>
        <v/>
      </c>
      <c r="D429" s="53">
        <f>IF($N429&lt;&gt;"",INDEX(tblBilling[Full Address],$N429),CHOOSE(MIN(MAX($O429,0),7)+1,"","","","Total Billing: "&amp;CFG_CurrencySymbol&amp;" "&amp;TEXT(PC_TotalFee,"#,##0"),"Total Pending: "&amp;CFG_CurrencySymbol&amp;" "&amp;TEXT(PC_TotalBalance,"#,##0"),"","Office Verification: ____________",""))</f>
        <v/>
      </c>
      <c r="E429" s="53">
        <f>IF($N429&lt;&gt;"",INDEX(tblBilling[VLAN ID],$N429),"")</f>
        <v/>
      </c>
      <c r="F429" s="52">
        <f>IF($N429&lt;&gt;"",INDEX(tblBilling[Due Date],$N429),"")</f>
        <v/>
      </c>
      <c r="G429" s="54">
        <f>IF($N429&lt;&gt;"",INDEX(tblBilling[Monthly Fee],$N429),IF($O429=1,PC_TotalFee,""))</f>
        <v/>
      </c>
      <c r="H429" s="54">
        <f>IF($N429&lt;&gt;"",INDEX(tblBilling[Amount Paid],$N429),IF($O429=1,PC_TotalPaid,""))</f>
        <v/>
      </c>
      <c r="I429" s="54">
        <f>IF($N429&lt;&gt;"",INDEX(tblBilling[Balance],$N429),IF($O429=1,PC_TotalBalance,""))</f>
        <v/>
      </c>
      <c r="J429" s="53">
        <f>IF($N429&lt;&gt;"",INDEX(tblBilling[Payment Status],$N429),"")</f>
        <v/>
      </c>
      <c r="K429" s="55">
        <f>IF($N429&lt;&gt;"",IF(INDEX(tblBilling[Last Payment Date],$N429)="","",INDEX(tblBilling[Last Payment Date],$N429)),"")</f>
        <v/>
      </c>
      <c r="L429" s="53">
        <f>IF($N429&lt;&gt;"",INDEX(tblBilling[Collector Name],$N429),"")</f>
        <v/>
      </c>
      <c r="N429">
        <f>IF(N428="","",IFERROR(N428+MATCH(1,INDEX(tblBilling[Print Match],N428+1):INDEX(tblBilling[Print Match],ROWS(tblBilling[Print Match])),0),""))</f>
        <v/>
      </c>
      <c r="O429">
        <f>ROW()-9-MIN(PC_Count,500)</f>
        <v/>
      </c>
    </row>
    <row r="430" ht="20" customHeight="1">
      <c r="A430" s="52">
        <f>IF($N430="","",ROW()-9)</f>
        <v/>
      </c>
      <c r="B430" s="53">
        <f>IF($N430&lt;&gt;"",INDEX(tblBilling[Customer ID],$N430),"")</f>
        <v/>
      </c>
      <c r="C430" s="53">
        <f>IF($N430&lt;&gt;"",INDEX(tblBilling[Customer Name],$N430),CHOOSE(MIN(MAX($O430,0),7)+1,"","TOTAL","","Total Customers: "&amp;PC_Count,"Total Recovered: "&amp;CFG_CurrencySymbol&amp;" "&amp;TEXT(PC_TotalPaid,"#,##0"),"","Collector Signature: ____________",""))</f>
        <v/>
      </c>
      <c r="D430" s="53">
        <f>IF($N430&lt;&gt;"",INDEX(tblBilling[Full Address],$N430),CHOOSE(MIN(MAX($O430,0),7)+1,"","","","Total Billing: "&amp;CFG_CurrencySymbol&amp;" "&amp;TEXT(PC_TotalFee,"#,##0"),"Total Pending: "&amp;CFG_CurrencySymbol&amp;" "&amp;TEXT(PC_TotalBalance,"#,##0"),"","Office Verification: ____________",""))</f>
        <v/>
      </c>
      <c r="E430" s="53">
        <f>IF($N430&lt;&gt;"",INDEX(tblBilling[VLAN ID],$N430),"")</f>
        <v/>
      </c>
      <c r="F430" s="52">
        <f>IF($N430&lt;&gt;"",INDEX(tblBilling[Due Date],$N430),"")</f>
        <v/>
      </c>
      <c r="G430" s="54">
        <f>IF($N430&lt;&gt;"",INDEX(tblBilling[Monthly Fee],$N430),IF($O430=1,PC_TotalFee,""))</f>
        <v/>
      </c>
      <c r="H430" s="54">
        <f>IF($N430&lt;&gt;"",INDEX(tblBilling[Amount Paid],$N430),IF($O430=1,PC_TotalPaid,""))</f>
        <v/>
      </c>
      <c r="I430" s="54">
        <f>IF($N430&lt;&gt;"",INDEX(tblBilling[Balance],$N430),IF($O430=1,PC_TotalBalance,""))</f>
        <v/>
      </c>
      <c r="J430" s="53">
        <f>IF($N430&lt;&gt;"",INDEX(tblBilling[Payment Status],$N430),"")</f>
        <v/>
      </c>
      <c r="K430" s="55">
        <f>IF($N430&lt;&gt;"",IF(INDEX(tblBilling[Last Payment Date],$N430)="","",INDEX(tblBilling[Last Payment Date],$N430)),"")</f>
        <v/>
      </c>
      <c r="L430" s="53">
        <f>IF($N430&lt;&gt;"",INDEX(tblBilling[Collector Name],$N430),"")</f>
        <v/>
      </c>
      <c r="N430">
        <f>IF(N429="","",IFERROR(N429+MATCH(1,INDEX(tblBilling[Print Match],N429+1):INDEX(tblBilling[Print Match],ROWS(tblBilling[Print Match])),0),""))</f>
        <v/>
      </c>
      <c r="O430">
        <f>ROW()-9-MIN(PC_Count,500)</f>
        <v/>
      </c>
    </row>
    <row r="431" ht="20" customHeight="1">
      <c r="A431" s="52">
        <f>IF($N431="","",ROW()-9)</f>
        <v/>
      </c>
      <c r="B431" s="53">
        <f>IF($N431&lt;&gt;"",INDEX(tblBilling[Customer ID],$N431),"")</f>
        <v/>
      </c>
      <c r="C431" s="53">
        <f>IF($N431&lt;&gt;"",INDEX(tblBilling[Customer Name],$N431),CHOOSE(MIN(MAX($O431,0),7)+1,"","TOTAL","","Total Customers: "&amp;PC_Count,"Total Recovered: "&amp;CFG_CurrencySymbol&amp;" "&amp;TEXT(PC_TotalPaid,"#,##0"),"","Collector Signature: ____________",""))</f>
        <v/>
      </c>
      <c r="D431" s="53">
        <f>IF($N431&lt;&gt;"",INDEX(tblBilling[Full Address],$N431),CHOOSE(MIN(MAX($O431,0),7)+1,"","","","Total Billing: "&amp;CFG_CurrencySymbol&amp;" "&amp;TEXT(PC_TotalFee,"#,##0"),"Total Pending: "&amp;CFG_CurrencySymbol&amp;" "&amp;TEXT(PC_TotalBalance,"#,##0"),"","Office Verification: ____________",""))</f>
        <v/>
      </c>
      <c r="E431" s="53">
        <f>IF($N431&lt;&gt;"",INDEX(tblBilling[VLAN ID],$N431),"")</f>
        <v/>
      </c>
      <c r="F431" s="52">
        <f>IF($N431&lt;&gt;"",INDEX(tblBilling[Due Date],$N431),"")</f>
        <v/>
      </c>
      <c r="G431" s="54">
        <f>IF($N431&lt;&gt;"",INDEX(tblBilling[Monthly Fee],$N431),IF($O431=1,PC_TotalFee,""))</f>
        <v/>
      </c>
      <c r="H431" s="54">
        <f>IF($N431&lt;&gt;"",INDEX(tblBilling[Amount Paid],$N431),IF($O431=1,PC_TotalPaid,""))</f>
        <v/>
      </c>
      <c r="I431" s="54">
        <f>IF($N431&lt;&gt;"",INDEX(tblBilling[Balance],$N431),IF($O431=1,PC_TotalBalance,""))</f>
        <v/>
      </c>
      <c r="J431" s="53">
        <f>IF($N431&lt;&gt;"",INDEX(tblBilling[Payment Status],$N431),"")</f>
        <v/>
      </c>
      <c r="K431" s="55">
        <f>IF($N431&lt;&gt;"",IF(INDEX(tblBilling[Last Payment Date],$N431)="","",INDEX(tblBilling[Last Payment Date],$N431)),"")</f>
        <v/>
      </c>
      <c r="L431" s="53">
        <f>IF($N431&lt;&gt;"",INDEX(tblBilling[Collector Name],$N431),"")</f>
        <v/>
      </c>
      <c r="N431">
        <f>IF(N430="","",IFERROR(N430+MATCH(1,INDEX(tblBilling[Print Match],N430+1):INDEX(tblBilling[Print Match],ROWS(tblBilling[Print Match])),0),""))</f>
        <v/>
      </c>
      <c r="O431">
        <f>ROW()-9-MIN(PC_Count,500)</f>
        <v/>
      </c>
    </row>
    <row r="432" ht="20" customHeight="1">
      <c r="A432" s="52">
        <f>IF($N432="","",ROW()-9)</f>
        <v/>
      </c>
      <c r="B432" s="53">
        <f>IF($N432&lt;&gt;"",INDEX(tblBilling[Customer ID],$N432),"")</f>
        <v/>
      </c>
      <c r="C432" s="53">
        <f>IF($N432&lt;&gt;"",INDEX(tblBilling[Customer Name],$N432),CHOOSE(MIN(MAX($O432,0),7)+1,"","TOTAL","","Total Customers: "&amp;PC_Count,"Total Recovered: "&amp;CFG_CurrencySymbol&amp;" "&amp;TEXT(PC_TotalPaid,"#,##0"),"","Collector Signature: ____________",""))</f>
        <v/>
      </c>
      <c r="D432" s="53">
        <f>IF($N432&lt;&gt;"",INDEX(tblBilling[Full Address],$N432),CHOOSE(MIN(MAX($O432,0),7)+1,"","","","Total Billing: "&amp;CFG_CurrencySymbol&amp;" "&amp;TEXT(PC_TotalFee,"#,##0"),"Total Pending: "&amp;CFG_CurrencySymbol&amp;" "&amp;TEXT(PC_TotalBalance,"#,##0"),"","Office Verification: ____________",""))</f>
        <v/>
      </c>
      <c r="E432" s="53">
        <f>IF($N432&lt;&gt;"",INDEX(tblBilling[VLAN ID],$N432),"")</f>
        <v/>
      </c>
      <c r="F432" s="52">
        <f>IF($N432&lt;&gt;"",INDEX(tblBilling[Due Date],$N432),"")</f>
        <v/>
      </c>
      <c r="G432" s="54">
        <f>IF($N432&lt;&gt;"",INDEX(tblBilling[Monthly Fee],$N432),IF($O432=1,PC_TotalFee,""))</f>
        <v/>
      </c>
      <c r="H432" s="54">
        <f>IF($N432&lt;&gt;"",INDEX(tblBilling[Amount Paid],$N432),IF($O432=1,PC_TotalPaid,""))</f>
        <v/>
      </c>
      <c r="I432" s="54">
        <f>IF($N432&lt;&gt;"",INDEX(tblBilling[Balance],$N432),IF($O432=1,PC_TotalBalance,""))</f>
        <v/>
      </c>
      <c r="J432" s="53">
        <f>IF($N432&lt;&gt;"",INDEX(tblBilling[Payment Status],$N432),"")</f>
        <v/>
      </c>
      <c r="K432" s="55">
        <f>IF($N432&lt;&gt;"",IF(INDEX(tblBilling[Last Payment Date],$N432)="","",INDEX(tblBilling[Last Payment Date],$N432)),"")</f>
        <v/>
      </c>
      <c r="L432" s="53">
        <f>IF($N432&lt;&gt;"",INDEX(tblBilling[Collector Name],$N432),"")</f>
        <v/>
      </c>
      <c r="N432">
        <f>IF(N431="","",IFERROR(N431+MATCH(1,INDEX(tblBilling[Print Match],N431+1):INDEX(tblBilling[Print Match],ROWS(tblBilling[Print Match])),0),""))</f>
        <v/>
      </c>
      <c r="O432">
        <f>ROW()-9-MIN(PC_Count,500)</f>
        <v/>
      </c>
    </row>
    <row r="433" ht="20" customHeight="1">
      <c r="A433" s="52">
        <f>IF($N433="","",ROW()-9)</f>
        <v/>
      </c>
      <c r="B433" s="53">
        <f>IF($N433&lt;&gt;"",INDEX(tblBilling[Customer ID],$N433),"")</f>
        <v/>
      </c>
      <c r="C433" s="53">
        <f>IF($N433&lt;&gt;"",INDEX(tblBilling[Customer Name],$N433),CHOOSE(MIN(MAX($O433,0),7)+1,"","TOTAL","","Total Customers: "&amp;PC_Count,"Total Recovered: "&amp;CFG_CurrencySymbol&amp;" "&amp;TEXT(PC_TotalPaid,"#,##0"),"","Collector Signature: ____________",""))</f>
        <v/>
      </c>
      <c r="D433" s="53">
        <f>IF($N433&lt;&gt;"",INDEX(tblBilling[Full Address],$N433),CHOOSE(MIN(MAX($O433,0),7)+1,"","","","Total Billing: "&amp;CFG_CurrencySymbol&amp;" "&amp;TEXT(PC_TotalFee,"#,##0"),"Total Pending: "&amp;CFG_CurrencySymbol&amp;" "&amp;TEXT(PC_TotalBalance,"#,##0"),"","Office Verification: ____________",""))</f>
        <v/>
      </c>
      <c r="E433" s="53">
        <f>IF($N433&lt;&gt;"",INDEX(tblBilling[VLAN ID],$N433),"")</f>
        <v/>
      </c>
      <c r="F433" s="52">
        <f>IF($N433&lt;&gt;"",INDEX(tblBilling[Due Date],$N433),"")</f>
        <v/>
      </c>
      <c r="G433" s="54">
        <f>IF($N433&lt;&gt;"",INDEX(tblBilling[Monthly Fee],$N433),IF($O433=1,PC_TotalFee,""))</f>
        <v/>
      </c>
      <c r="H433" s="54">
        <f>IF($N433&lt;&gt;"",INDEX(tblBilling[Amount Paid],$N433),IF($O433=1,PC_TotalPaid,""))</f>
        <v/>
      </c>
      <c r="I433" s="54">
        <f>IF($N433&lt;&gt;"",INDEX(tblBilling[Balance],$N433),IF($O433=1,PC_TotalBalance,""))</f>
        <v/>
      </c>
      <c r="J433" s="53">
        <f>IF($N433&lt;&gt;"",INDEX(tblBilling[Payment Status],$N433),"")</f>
        <v/>
      </c>
      <c r="K433" s="55">
        <f>IF($N433&lt;&gt;"",IF(INDEX(tblBilling[Last Payment Date],$N433)="","",INDEX(tblBilling[Last Payment Date],$N433)),"")</f>
        <v/>
      </c>
      <c r="L433" s="53">
        <f>IF($N433&lt;&gt;"",INDEX(tblBilling[Collector Name],$N433),"")</f>
        <v/>
      </c>
      <c r="N433">
        <f>IF(N432="","",IFERROR(N432+MATCH(1,INDEX(tblBilling[Print Match],N432+1):INDEX(tblBilling[Print Match],ROWS(tblBilling[Print Match])),0),""))</f>
        <v/>
      </c>
      <c r="O433">
        <f>ROW()-9-MIN(PC_Count,500)</f>
        <v/>
      </c>
    </row>
    <row r="434" ht="20" customHeight="1">
      <c r="A434" s="52">
        <f>IF($N434="","",ROW()-9)</f>
        <v/>
      </c>
      <c r="B434" s="53">
        <f>IF($N434&lt;&gt;"",INDEX(tblBilling[Customer ID],$N434),"")</f>
        <v/>
      </c>
      <c r="C434" s="53">
        <f>IF($N434&lt;&gt;"",INDEX(tblBilling[Customer Name],$N434),CHOOSE(MIN(MAX($O434,0),7)+1,"","TOTAL","","Total Customers: "&amp;PC_Count,"Total Recovered: "&amp;CFG_CurrencySymbol&amp;" "&amp;TEXT(PC_TotalPaid,"#,##0"),"","Collector Signature: ____________",""))</f>
        <v/>
      </c>
      <c r="D434" s="53">
        <f>IF($N434&lt;&gt;"",INDEX(tblBilling[Full Address],$N434),CHOOSE(MIN(MAX($O434,0),7)+1,"","","","Total Billing: "&amp;CFG_CurrencySymbol&amp;" "&amp;TEXT(PC_TotalFee,"#,##0"),"Total Pending: "&amp;CFG_CurrencySymbol&amp;" "&amp;TEXT(PC_TotalBalance,"#,##0"),"","Office Verification: ____________",""))</f>
        <v/>
      </c>
      <c r="E434" s="53">
        <f>IF($N434&lt;&gt;"",INDEX(tblBilling[VLAN ID],$N434),"")</f>
        <v/>
      </c>
      <c r="F434" s="52">
        <f>IF($N434&lt;&gt;"",INDEX(tblBilling[Due Date],$N434),"")</f>
        <v/>
      </c>
      <c r="G434" s="54">
        <f>IF($N434&lt;&gt;"",INDEX(tblBilling[Monthly Fee],$N434),IF($O434=1,PC_TotalFee,""))</f>
        <v/>
      </c>
      <c r="H434" s="54">
        <f>IF($N434&lt;&gt;"",INDEX(tblBilling[Amount Paid],$N434),IF($O434=1,PC_TotalPaid,""))</f>
        <v/>
      </c>
      <c r="I434" s="54">
        <f>IF($N434&lt;&gt;"",INDEX(tblBilling[Balance],$N434),IF($O434=1,PC_TotalBalance,""))</f>
        <v/>
      </c>
      <c r="J434" s="53">
        <f>IF($N434&lt;&gt;"",INDEX(tblBilling[Payment Status],$N434),"")</f>
        <v/>
      </c>
      <c r="K434" s="55">
        <f>IF($N434&lt;&gt;"",IF(INDEX(tblBilling[Last Payment Date],$N434)="","",INDEX(tblBilling[Last Payment Date],$N434)),"")</f>
        <v/>
      </c>
      <c r="L434" s="53">
        <f>IF($N434&lt;&gt;"",INDEX(tblBilling[Collector Name],$N434),"")</f>
        <v/>
      </c>
      <c r="N434">
        <f>IF(N433="","",IFERROR(N433+MATCH(1,INDEX(tblBilling[Print Match],N433+1):INDEX(tblBilling[Print Match],ROWS(tblBilling[Print Match])),0),""))</f>
        <v/>
      </c>
      <c r="O434">
        <f>ROW()-9-MIN(PC_Count,500)</f>
        <v/>
      </c>
    </row>
    <row r="435" ht="20" customHeight="1">
      <c r="A435" s="52">
        <f>IF($N435="","",ROW()-9)</f>
        <v/>
      </c>
      <c r="B435" s="53">
        <f>IF($N435&lt;&gt;"",INDEX(tblBilling[Customer ID],$N435),"")</f>
        <v/>
      </c>
      <c r="C435" s="53">
        <f>IF($N435&lt;&gt;"",INDEX(tblBilling[Customer Name],$N435),CHOOSE(MIN(MAX($O435,0),7)+1,"","TOTAL","","Total Customers: "&amp;PC_Count,"Total Recovered: "&amp;CFG_CurrencySymbol&amp;" "&amp;TEXT(PC_TotalPaid,"#,##0"),"","Collector Signature: ____________",""))</f>
        <v/>
      </c>
      <c r="D435" s="53">
        <f>IF($N435&lt;&gt;"",INDEX(tblBilling[Full Address],$N435),CHOOSE(MIN(MAX($O435,0),7)+1,"","","","Total Billing: "&amp;CFG_CurrencySymbol&amp;" "&amp;TEXT(PC_TotalFee,"#,##0"),"Total Pending: "&amp;CFG_CurrencySymbol&amp;" "&amp;TEXT(PC_TotalBalance,"#,##0"),"","Office Verification: ____________",""))</f>
        <v/>
      </c>
      <c r="E435" s="53">
        <f>IF($N435&lt;&gt;"",INDEX(tblBilling[VLAN ID],$N435),"")</f>
        <v/>
      </c>
      <c r="F435" s="52">
        <f>IF($N435&lt;&gt;"",INDEX(tblBilling[Due Date],$N435),"")</f>
        <v/>
      </c>
      <c r="G435" s="54">
        <f>IF($N435&lt;&gt;"",INDEX(tblBilling[Monthly Fee],$N435),IF($O435=1,PC_TotalFee,""))</f>
        <v/>
      </c>
      <c r="H435" s="54">
        <f>IF($N435&lt;&gt;"",INDEX(tblBilling[Amount Paid],$N435),IF($O435=1,PC_TotalPaid,""))</f>
        <v/>
      </c>
      <c r="I435" s="54">
        <f>IF($N435&lt;&gt;"",INDEX(tblBilling[Balance],$N435),IF($O435=1,PC_TotalBalance,""))</f>
        <v/>
      </c>
      <c r="J435" s="53">
        <f>IF($N435&lt;&gt;"",INDEX(tblBilling[Payment Status],$N435),"")</f>
        <v/>
      </c>
      <c r="K435" s="55">
        <f>IF($N435&lt;&gt;"",IF(INDEX(tblBilling[Last Payment Date],$N435)="","",INDEX(tblBilling[Last Payment Date],$N435)),"")</f>
        <v/>
      </c>
      <c r="L435" s="53">
        <f>IF($N435&lt;&gt;"",INDEX(tblBilling[Collector Name],$N435),"")</f>
        <v/>
      </c>
      <c r="N435">
        <f>IF(N434="","",IFERROR(N434+MATCH(1,INDEX(tblBilling[Print Match],N434+1):INDEX(tblBilling[Print Match],ROWS(tblBilling[Print Match])),0),""))</f>
        <v/>
      </c>
      <c r="O435">
        <f>ROW()-9-MIN(PC_Count,500)</f>
        <v/>
      </c>
    </row>
    <row r="436" ht="20" customHeight="1">
      <c r="A436" s="52">
        <f>IF($N436="","",ROW()-9)</f>
        <v/>
      </c>
      <c r="B436" s="53">
        <f>IF($N436&lt;&gt;"",INDEX(tblBilling[Customer ID],$N436),"")</f>
        <v/>
      </c>
      <c r="C436" s="53">
        <f>IF($N436&lt;&gt;"",INDEX(tblBilling[Customer Name],$N436),CHOOSE(MIN(MAX($O436,0),7)+1,"","TOTAL","","Total Customers: "&amp;PC_Count,"Total Recovered: "&amp;CFG_CurrencySymbol&amp;" "&amp;TEXT(PC_TotalPaid,"#,##0"),"","Collector Signature: ____________",""))</f>
        <v/>
      </c>
      <c r="D436" s="53">
        <f>IF($N436&lt;&gt;"",INDEX(tblBilling[Full Address],$N436),CHOOSE(MIN(MAX($O436,0),7)+1,"","","","Total Billing: "&amp;CFG_CurrencySymbol&amp;" "&amp;TEXT(PC_TotalFee,"#,##0"),"Total Pending: "&amp;CFG_CurrencySymbol&amp;" "&amp;TEXT(PC_TotalBalance,"#,##0"),"","Office Verification: ____________",""))</f>
        <v/>
      </c>
      <c r="E436" s="53">
        <f>IF($N436&lt;&gt;"",INDEX(tblBilling[VLAN ID],$N436),"")</f>
        <v/>
      </c>
      <c r="F436" s="52">
        <f>IF($N436&lt;&gt;"",INDEX(tblBilling[Due Date],$N436),"")</f>
        <v/>
      </c>
      <c r="G436" s="54">
        <f>IF($N436&lt;&gt;"",INDEX(tblBilling[Monthly Fee],$N436),IF($O436=1,PC_TotalFee,""))</f>
        <v/>
      </c>
      <c r="H436" s="54">
        <f>IF($N436&lt;&gt;"",INDEX(tblBilling[Amount Paid],$N436),IF($O436=1,PC_TotalPaid,""))</f>
        <v/>
      </c>
      <c r="I436" s="54">
        <f>IF($N436&lt;&gt;"",INDEX(tblBilling[Balance],$N436),IF($O436=1,PC_TotalBalance,""))</f>
        <v/>
      </c>
      <c r="J436" s="53">
        <f>IF($N436&lt;&gt;"",INDEX(tblBilling[Payment Status],$N436),"")</f>
        <v/>
      </c>
      <c r="K436" s="55">
        <f>IF($N436&lt;&gt;"",IF(INDEX(tblBilling[Last Payment Date],$N436)="","",INDEX(tblBilling[Last Payment Date],$N436)),"")</f>
        <v/>
      </c>
      <c r="L436" s="53">
        <f>IF($N436&lt;&gt;"",INDEX(tblBilling[Collector Name],$N436),"")</f>
        <v/>
      </c>
      <c r="N436">
        <f>IF(N435="","",IFERROR(N435+MATCH(1,INDEX(tblBilling[Print Match],N435+1):INDEX(tblBilling[Print Match],ROWS(tblBilling[Print Match])),0),""))</f>
        <v/>
      </c>
      <c r="O436">
        <f>ROW()-9-MIN(PC_Count,500)</f>
        <v/>
      </c>
    </row>
    <row r="437" ht="20" customHeight="1">
      <c r="A437" s="52">
        <f>IF($N437="","",ROW()-9)</f>
        <v/>
      </c>
      <c r="B437" s="53">
        <f>IF($N437&lt;&gt;"",INDEX(tblBilling[Customer ID],$N437),"")</f>
        <v/>
      </c>
      <c r="C437" s="53">
        <f>IF($N437&lt;&gt;"",INDEX(tblBilling[Customer Name],$N437),CHOOSE(MIN(MAX($O437,0),7)+1,"","TOTAL","","Total Customers: "&amp;PC_Count,"Total Recovered: "&amp;CFG_CurrencySymbol&amp;" "&amp;TEXT(PC_TotalPaid,"#,##0"),"","Collector Signature: ____________",""))</f>
        <v/>
      </c>
      <c r="D437" s="53">
        <f>IF($N437&lt;&gt;"",INDEX(tblBilling[Full Address],$N437),CHOOSE(MIN(MAX($O437,0),7)+1,"","","","Total Billing: "&amp;CFG_CurrencySymbol&amp;" "&amp;TEXT(PC_TotalFee,"#,##0"),"Total Pending: "&amp;CFG_CurrencySymbol&amp;" "&amp;TEXT(PC_TotalBalance,"#,##0"),"","Office Verification: ____________",""))</f>
        <v/>
      </c>
      <c r="E437" s="53">
        <f>IF($N437&lt;&gt;"",INDEX(tblBilling[VLAN ID],$N437),"")</f>
        <v/>
      </c>
      <c r="F437" s="52">
        <f>IF($N437&lt;&gt;"",INDEX(tblBilling[Due Date],$N437),"")</f>
        <v/>
      </c>
      <c r="G437" s="54">
        <f>IF($N437&lt;&gt;"",INDEX(tblBilling[Monthly Fee],$N437),IF($O437=1,PC_TotalFee,""))</f>
        <v/>
      </c>
      <c r="H437" s="54">
        <f>IF($N437&lt;&gt;"",INDEX(tblBilling[Amount Paid],$N437),IF($O437=1,PC_TotalPaid,""))</f>
        <v/>
      </c>
      <c r="I437" s="54">
        <f>IF($N437&lt;&gt;"",INDEX(tblBilling[Balance],$N437),IF($O437=1,PC_TotalBalance,""))</f>
        <v/>
      </c>
      <c r="J437" s="53">
        <f>IF($N437&lt;&gt;"",INDEX(tblBilling[Payment Status],$N437),"")</f>
        <v/>
      </c>
      <c r="K437" s="55">
        <f>IF($N437&lt;&gt;"",IF(INDEX(tblBilling[Last Payment Date],$N437)="","",INDEX(tblBilling[Last Payment Date],$N437)),"")</f>
        <v/>
      </c>
      <c r="L437" s="53">
        <f>IF($N437&lt;&gt;"",INDEX(tblBilling[Collector Name],$N437),"")</f>
        <v/>
      </c>
      <c r="N437">
        <f>IF(N436="","",IFERROR(N436+MATCH(1,INDEX(tblBilling[Print Match],N436+1):INDEX(tblBilling[Print Match],ROWS(tblBilling[Print Match])),0),""))</f>
        <v/>
      </c>
      <c r="O437">
        <f>ROW()-9-MIN(PC_Count,500)</f>
        <v/>
      </c>
    </row>
    <row r="438" ht="20" customHeight="1">
      <c r="A438" s="52">
        <f>IF($N438="","",ROW()-9)</f>
        <v/>
      </c>
      <c r="B438" s="53">
        <f>IF($N438&lt;&gt;"",INDEX(tblBilling[Customer ID],$N438),"")</f>
        <v/>
      </c>
      <c r="C438" s="53">
        <f>IF($N438&lt;&gt;"",INDEX(tblBilling[Customer Name],$N438),CHOOSE(MIN(MAX($O438,0),7)+1,"","TOTAL","","Total Customers: "&amp;PC_Count,"Total Recovered: "&amp;CFG_CurrencySymbol&amp;" "&amp;TEXT(PC_TotalPaid,"#,##0"),"","Collector Signature: ____________",""))</f>
        <v/>
      </c>
      <c r="D438" s="53">
        <f>IF($N438&lt;&gt;"",INDEX(tblBilling[Full Address],$N438),CHOOSE(MIN(MAX($O438,0),7)+1,"","","","Total Billing: "&amp;CFG_CurrencySymbol&amp;" "&amp;TEXT(PC_TotalFee,"#,##0"),"Total Pending: "&amp;CFG_CurrencySymbol&amp;" "&amp;TEXT(PC_TotalBalance,"#,##0"),"","Office Verification: ____________",""))</f>
        <v/>
      </c>
      <c r="E438" s="53">
        <f>IF($N438&lt;&gt;"",INDEX(tblBilling[VLAN ID],$N438),"")</f>
        <v/>
      </c>
      <c r="F438" s="52">
        <f>IF($N438&lt;&gt;"",INDEX(tblBilling[Due Date],$N438),"")</f>
        <v/>
      </c>
      <c r="G438" s="54">
        <f>IF($N438&lt;&gt;"",INDEX(tblBilling[Monthly Fee],$N438),IF($O438=1,PC_TotalFee,""))</f>
        <v/>
      </c>
      <c r="H438" s="54">
        <f>IF($N438&lt;&gt;"",INDEX(tblBilling[Amount Paid],$N438),IF($O438=1,PC_TotalPaid,""))</f>
        <v/>
      </c>
      <c r="I438" s="54">
        <f>IF($N438&lt;&gt;"",INDEX(tblBilling[Balance],$N438),IF($O438=1,PC_TotalBalance,""))</f>
        <v/>
      </c>
      <c r="J438" s="53">
        <f>IF($N438&lt;&gt;"",INDEX(tblBilling[Payment Status],$N438),"")</f>
        <v/>
      </c>
      <c r="K438" s="55">
        <f>IF($N438&lt;&gt;"",IF(INDEX(tblBilling[Last Payment Date],$N438)="","",INDEX(tblBilling[Last Payment Date],$N438)),"")</f>
        <v/>
      </c>
      <c r="L438" s="53">
        <f>IF($N438&lt;&gt;"",INDEX(tblBilling[Collector Name],$N438),"")</f>
        <v/>
      </c>
      <c r="N438">
        <f>IF(N437="","",IFERROR(N437+MATCH(1,INDEX(tblBilling[Print Match],N437+1):INDEX(tblBilling[Print Match],ROWS(tblBilling[Print Match])),0),""))</f>
        <v/>
      </c>
      <c r="O438">
        <f>ROW()-9-MIN(PC_Count,500)</f>
        <v/>
      </c>
    </row>
    <row r="439" ht="20" customHeight="1">
      <c r="A439" s="52">
        <f>IF($N439="","",ROW()-9)</f>
        <v/>
      </c>
      <c r="B439" s="53">
        <f>IF($N439&lt;&gt;"",INDEX(tblBilling[Customer ID],$N439),"")</f>
        <v/>
      </c>
      <c r="C439" s="53">
        <f>IF($N439&lt;&gt;"",INDEX(tblBilling[Customer Name],$N439),CHOOSE(MIN(MAX($O439,0),7)+1,"","TOTAL","","Total Customers: "&amp;PC_Count,"Total Recovered: "&amp;CFG_CurrencySymbol&amp;" "&amp;TEXT(PC_TotalPaid,"#,##0"),"","Collector Signature: ____________",""))</f>
        <v/>
      </c>
      <c r="D439" s="53">
        <f>IF($N439&lt;&gt;"",INDEX(tblBilling[Full Address],$N439),CHOOSE(MIN(MAX($O439,0),7)+1,"","","","Total Billing: "&amp;CFG_CurrencySymbol&amp;" "&amp;TEXT(PC_TotalFee,"#,##0"),"Total Pending: "&amp;CFG_CurrencySymbol&amp;" "&amp;TEXT(PC_TotalBalance,"#,##0"),"","Office Verification: ____________",""))</f>
        <v/>
      </c>
      <c r="E439" s="53">
        <f>IF($N439&lt;&gt;"",INDEX(tblBilling[VLAN ID],$N439),"")</f>
        <v/>
      </c>
      <c r="F439" s="52">
        <f>IF($N439&lt;&gt;"",INDEX(tblBilling[Due Date],$N439),"")</f>
        <v/>
      </c>
      <c r="G439" s="54">
        <f>IF($N439&lt;&gt;"",INDEX(tblBilling[Monthly Fee],$N439),IF($O439=1,PC_TotalFee,""))</f>
        <v/>
      </c>
      <c r="H439" s="54">
        <f>IF($N439&lt;&gt;"",INDEX(tblBilling[Amount Paid],$N439),IF($O439=1,PC_TotalPaid,""))</f>
        <v/>
      </c>
      <c r="I439" s="54">
        <f>IF($N439&lt;&gt;"",INDEX(tblBilling[Balance],$N439),IF($O439=1,PC_TotalBalance,""))</f>
        <v/>
      </c>
      <c r="J439" s="53">
        <f>IF($N439&lt;&gt;"",INDEX(tblBilling[Payment Status],$N439),"")</f>
        <v/>
      </c>
      <c r="K439" s="55">
        <f>IF($N439&lt;&gt;"",IF(INDEX(tblBilling[Last Payment Date],$N439)="","",INDEX(tblBilling[Last Payment Date],$N439)),"")</f>
        <v/>
      </c>
      <c r="L439" s="53">
        <f>IF($N439&lt;&gt;"",INDEX(tblBilling[Collector Name],$N439),"")</f>
        <v/>
      </c>
      <c r="N439">
        <f>IF(N438="","",IFERROR(N438+MATCH(1,INDEX(tblBilling[Print Match],N438+1):INDEX(tblBilling[Print Match],ROWS(tblBilling[Print Match])),0),""))</f>
        <v/>
      </c>
      <c r="O439">
        <f>ROW()-9-MIN(PC_Count,500)</f>
        <v/>
      </c>
    </row>
    <row r="440" ht="20" customHeight="1">
      <c r="A440" s="52">
        <f>IF($N440="","",ROW()-9)</f>
        <v/>
      </c>
      <c r="B440" s="53">
        <f>IF($N440&lt;&gt;"",INDEX(tblBilling[Customer ID],$N440),"")</f>
        <v/>
      </c>
      <c r="C440" s="53">
        <f>IF($N440&lt;&gt;"",INDEX(tblBilling[Customer Name],$N440),CHOOSE(MIN(MAX($O440,0),7)+1,"","TOTAL","","Total Customers: "&amp;PC_Count,"Total Recovered: "&amp;CFG_CurrencySymbol&amp;" "&amp;TEXT(PC_TotalPaid,"#,##0"),"","Collector Signature: ____________",""))</f>
        <v/>
      </c>
      <c r="D440" s="53">
        <f>IF($N440&lt;&gt;"",INDEX(tblBilling[Full Address],$N440),CHOOSE(MIN(MAX($O440,0),7)+1,"","","","Total Billing: "&amp;CFG_CurrencySymbol&amp;" "&amp;TEXT(PC_TotalFee,"#,##0"),"Total Pending: "&amp;CFG_CurrencySymbol&amp;" "&amp;TEXT(PC_TotalBalance,"#,##0"),"","Office Verification: ____________",""))</f>
        <v/>
      </c>
      <c r="E440" s="53">
        <f>IF($N440&lt;&gt;"",INDEX(tblBilling[VLAN ID],$N440),"")</f>
        <v/>
      </c>
      <c r="F440" s="52">
        <f>IF($N440&lt;&gt;"",INDEX(tblBilling[Due Date],$N440),"")</f>
        <v/>
      </c>
      <c r="G440" s="54">
        <f>IF($N440&lt;&gt;"",INDEX(tblBilling[Monthly Fee],$N440),IF($O440=1,PC_TotalFee,""))</f>
        <v/>
      </c>
      <c r="H440" s="54">
        <f>IF($N440&lt;&gt;"",INDEX(tblBilling[Amount Paid],$N440),IF($O440=1,PC_TotalPaid,""))</f>
        <v/>
      </c>
      <c r="I440" s="54">
        <f>IF($N440&lt;&gt;"",INDEX(tblBilling[Balance],$N440),IF($O440=1,PC_TotalBalance,""))</f>
        <v/>
      </c>
      <c r="J440" s="53">
        <f>IF($N440&lt;&gt;"",INDEX(tblBilling[Payment Status],$N440),"")</f>
        <v/>
      </c>
      <c r="K440" s="55">
        <f>IF($N440&lt;&gt;"",IF(INDEX(tblBilling[Last Payment Date],$N440)="","",INDEX(tblBilling[Last Payment Date],$N440)),"")</f>
        <v/>
      </c>
      <c r="L440" s="53">
        <f>IF($N440&lt;&gt;"",INDEX(tblBilling[Collector Name],$N440),"")</f>
        <v/>
      </c>
      <c r="N440">
        <f>IF(N439="","",IFERROR(N439+MATCH(1,INDEX(tblBilling[Print Match],N439+1):INDEX(tblBilling[Print Match],ROWS(tblBilling[Print Match])),0),""))</f>
        <v/>
      </c>
      <c r="O440">
        <f>ROW()-9-MIN(PC_Count,500)</f>
        <v/>
      </c>
    </row>
    <row r="441" ht="20" customHeight="1">
      <c r="A441" s="52">
        <f>IF($N441="","",ROW()-9)</f>
        <v/>
      </c>
      <c r="B441" s="53">
        <f>IF($N441&lt;&gt;"",INDEX(tblBilling[Customer ID],$N441),"")</f>
        <v/>
      </c>
      <c r="C441" s="53">
        <f>IF($N441&lt;&gt;"",INDEX(tblBilling[Customer Name],$N441),CHOOSE(MIN(MAX($O441,0),7)+1,"","TOTAL","","Total Customers: "&amp;PC_Count,"Total Recovered: "&amp;CFG_CurrencySymbol&amp;" "&amp;TEXT(PC_TotalPaid,"#,##0"),"","Collector Signature: ____________",""))</f>
        <v/>
      </c>
      <c r="D441" s="53">
        <f>IF($N441&lt;&gt;"",INDEX(tblBilling[Full Address],$N441),CHOOSE(MIN(MAX($O441,0),7)+1,"","","","Total Billing: "&amp;CFG_CurrencySymbol&amp;" "&amp;TEXT(PC_TotalFee,"#,##0"),"Total Pending: "&amp;CFG_CurrencySymbol&amp;" "&amp;TEXT(PC_TotalBalance,"#,##0"),"","Office Verification: ____________",""))</f>
        <v/>
      </c>
      <c r="E441" s="53">
        <f>IF($N441&lt;&gt;"",INDEX(tblBilling[VLAN ID],$N441),"")</f>
        <v/>
      </c>
      <c r="F441" s="52">
        <f>IF($N441&lt;&gt;"",INDEX(tblBilling[Due Date],$N441),"")</f>
        <v/>
      </c>
      <c r="G441" s="54">
        <f>IF($N441&lt;&gt;"",INDEX(tblBilling[Monthly Fee],$N441),IF($O441=1,PC_TotalFee,""))</f>
        <v/>
      </c>
      <c r="H441" s="54">
        <f>IF($N441&lt;&gt;"",INDEX(tblBilling[Amount Paid],$N441),IF($O441=1,PC_TotalPaid,""))</f>
        <v/>
      </c>
      <c r="I441" s="54">
        <f>IF($N441&lt;&gt;"",INDEX(tblBilling[Balance],$N441),IF($O441=1,PC_TotalBalance,""))</f>
        <v/>
      </c>
      <c r="J441" s="53">
        <f>IF($N441&lt;&gt;"",INDEX(tblBilling[Payment Status],$N441),"")</f>
        <v/>
      </c>
      <c r="K441" s="55">
        <f>IF($N441&lt;&gt;"",IF(INDEX(tblBilling[Last Payment Date],$N441)="","",INDEX(tblBilling[Last Payment Date],$N441)),"")</f>
        <v/>
      </c>
      <c r="L441" s="53">
        <f>IF($N441&lt;&gt;"",INDEX(tblBilling[Collector Name],$N441),"")</f>
        <v/>
      </c>
      <c r="N441">
        <f>IF(N440="","",IFERROR(N440+MATCH(1,INDEX(tblBilling[Print Match],N440+1):INDEX(tblBilling[Print Match],ROWS(tblBilling[Print Match])),0),""))</f>
        <v/>
      </c>
      <c r="O441">
        <f>ROW()-9-MIN(PC_Count,500)</f>
        <v/>
      </c>
    </row>
    <row r="442" ht="20" customHeight="1">
      <c r="A442" s="52">
        <f>IF($N442="","",ROW()-9)</f>
        <v/>
      </c>
      <c r="B442" s="53">
        <f>IF($N442&lt;&gt;"",INDEX(tblBilling[Customer ID],$N442),"")</f>
        <v/>
      </c>
      <c r="C442" s="53">
        <f>IF($N442&lt;&gt;"",INDEX(tblBilling[Customer Name],$N442),CHOOSE(MIN(MAX($O442,0),7)+1,"","TOTAL","","Total Customers: "&amp;PC_Count,"Total Recovered: "&amp;CFG_CurrencySymbol&amp;" "&amp;TEXT(PC_TotalPaid,"#,##0"),"","Collector Signature: ____________",""))</f>
        <v/>
      </c>
      <c r="D442" s="53">
        <f>IF($N442&lt;&gt;"",INDEX(tblBilling[Full Address],$N442),CHOOSE(MIN(MAX($O442,0),7)+1,"","","","Total Billing: "&amp;CFG_CurrencySymbol&amp;" "&amp;TEXT(PC_TotalFee,"#,##0"),"Total Pending: "&amp;CFG_CurrencySymbol&amp;" "&amp;TEXT(PC_TotalBalance,"#,##0"),"","Office Verification: ____________",""))</f>
        <v/>
      </c>
      <c r="E442" s="53">
        <f>IF($N442&lt;&gt;"",INDEX(tblBilling[VLAN ID],$N442),"")</f>
        <v/>
      </c>
      <c r="F442" s="52">
        <f>IF($N442&lt;&gt;"",INDEX(tblBilling[Due Date],$N442),"")</f>
        <v/>
      </c>
      <c r="G442" s="54">
        <f>IF($N442&lt;&gt;"",INDEX(tblBilling[Monthly Fee],$N442),IF($O442=1,PC_TotalFee,""))</f>
        <v/>
      </c>
      <c r="H442" s="54">
        <f>IF($N442&lt;&gt;"",INDEX(tblBilling[Amount Paid],$N442),IF($O442=1,PC_TotalPaid,""))</f>
        <v/>
      </c>
      <c r="I442" s="54">
        <f>IF($N442&lt;&gt;"",INDEX(tblBilling[Balance],$N442),IF($O442=1,PC_TotalBalance,""))</f>
        <v/>
      </c>
      <c r="J442" s="53">
        <f>IF($N442&lt;&gt;"",INDEX(tblBilling[Payment Status],$N442),"")</f>
        <v/>
      </c>
      <c r="K442" s="55">
        <f>IF($N442&lt;&gt;"",IF(INDEX(tblBilling[Last Payment Date],$N442)="","",INDEX(tblBilling[Last Payment Date],$N442)),"")</f>
        <v/>
      </c>
      <c r="L442" s="53">
        <f>IF($N442&lt;&gt;"",INDEX(tblBilling[Collector Name],$N442),"")</f>
        <v/>
      </c>
      <c r="N442">
        <f>IF(N441="","",IFERROR(N441+MATCH(1,INDEX(tblBilling[Print Match],N441+1):INDEX(tblBilling[Print Match],ROWS(tblBilling[Print Match])),0),""))</f>
        <v/>
      </c>
      <c r="O442">
        <f>ROW()-9-MIN(PC_Count,500)</f>
        <v/>
      </c>
    </row>
    <row r="443" ht="20" customHeight="1">
      <c r="A443" s="52">
        <f>IF($N443="","",ROW()-9)</f>
        <v/>
      </c>
      <c r="B443" s="53">
        <f>IF($N443&lt;&gt;"",INDEX(tblBilling[Customer ID],$N443),"")</f>
        <v/>
      </c>
      <c r="C443" s="53">
        <f>IF($N443&lt;&gt;"",INDEX(tblBilling[Customer Name],$N443),CHOOSE(MIN(MAX($O443,0),7)+1,"","TOTAL","","Total Customers: "&amp;PC_Count,"Total Recovered: "&amp;CFG_CurrencySymbol&amp;" "&amp;TEXT(PC_TotalPaid,"#,##0"),"","Collector Signature: ____________",""))</f>
        <v/>
      </c>
      <c r="D443" s="53">
        <f>IF($N443&lt;&gt;"",INDEX(tblBilling[Full Address],$N443),CHOOSE(MIN(MAX($O443,0),7)+1,"","","","Total Billing: "&amp;CFG_CurrencySymbol&amp;" "&amp;TEXT(PC_TotalFee,"#,##0"),"Total Pending: "&amp;CFG_CurrencySymbol&amp;" "&amp;TEXT(PC_TotalBalance,"#,##0"),"","Office Verification: ____________",""))</f>
        <v/>
      </c>
      <c r="E443" s="53">
        <f>IF($N443&lt;&gt;"",INDEX(tblBilling[VLAN ID],$N443),"")</f>
        <v/>
      </c>
      <c r="F443" s="52">
        <f>IF($N443&lt;&gt;"",INDEX(tblBilling[Due Date],$N443),"")</f>
        <v/>
      </c>
      <c r="G443" s="54">
        <f>IF($N443&lt;&gt;"",INDEX(tblBilling[Monthly Fee],$N443),IF($O443=1,PC_TotalFee,""))</f>
        <v/>
      </c>
      <c r="H443" s="54">
        <f>IF($N443&lt;&gt;"",INDEX(tblBilling[Amount Paid],$N443),IF($O443=1,PC_TotalPaid,""))</f>
        <v/>
      </c>
      <c r="I443" s="54">
        <f>IF($N443&lt;&gt;"",INDEX(tblBilling[Balance],$N443),IF($O443=1,PC_TotalBalance,""))</f>
        <v/>
      </c>
      <c r="J443" s="53">
        <f>IF($N443&lt;&gt;"",INDEX(tblBilling[Payment Status],$N443),"")</f>
        <v/>
      </c>
      <c r="K443" s="55">
        <f>IF($N443&lt;&gt;"",IF(INDEX(tblBilling[Last Payment Date],$N443)="","",INDEX(tblBilling[Last Payment Date],$N443)),"")</f>
        <v/>
      </c>
      <c r="L443" s="53">
        <f>IF($N443&lt;&gt;"",INDEX(tblBilling[Collector Name],$N443),"")</f>
        <v/>
      </c>
      <c r="N443">
        <f>IF(N442="","",IFERROR(N442+MATCH(1,INDEX(tblBilling[Print Match],N442+1):INDEX(tblBilling[Print Match],ROWS(tblBilling[Print Match])),0),""))</f>
        <v/>
      </c>
      <c r="O443">
        <f>ROW()-9-MIN(PC_Count,500)</f>
        <v/>
      </c>
    </row>
    <row r="444" ht="20" customHeight="1">
      <c r="A444" s="52">
        <f>IF($N444="","",ROW()-9)</f>
        <v/>
      </c>
      <c r="B444" s="53">
        <f>IF($N444&lt;&gt;"",INDEX(tblBilling[Customer ID],$N444),"")</f>
        <v/>
      </c>
      <c r="C444" s="53">
        <f>IF($N444&lt;&gt;"",INDEX(tblBilling[Customer Name],$N444),CHOOSE(MIN(MAX($O444,0),7)+1,"","TOTAL","","Total Customers: "&amp;PC_Count,"Total Recovered: "&amp;CFG_CurrencySymbol&amp;" "&amp;TEXT(PC_TotalPaid,"#,##0"),"","Collector Signature: ____________",""))</f>
        <v/>
      </c>
      <c r="D444" s="53">
        <f>IF($N444&lt;&gt;"",INDEX(tblBilling[Full Address],$N444),CHOOSE(MIN(MAX($O444,0),7)+1,"","","","Total Billing: "&amp;CFG_CurrencySymbol&amp;" "&amp;TEXT(PC_TotalFee,"#,##0"),"Total Pending: "&amp;CFG_CurrencySymbol&amp;" "&amp;TEXT(PC_TotalBalance,"#,##0"),"","Office Verification: ____________",""))</f>
        <v/>
      </c>
      <c r="E444" s="53">
        <f>IF($N444&lt;&gt;"",INDEX(tblBilling[VLAN ID],$N444),"")</f>
        <v/>
      </c>
      <c r="F444" s="52">
        <f>IF($N444&lt;&gt;"",INDEX(tblBilling[Due Date],$N444),"")</f>
        <v/>
      </c>
      <c r="G444" s="54">
        <f>IF($N444&lt;&gt;"",INDEX(tblBilling[Monthly Fee],$N444),IF($O444=1,PC_TotalFee,""))</f>
        <v/>
      </c>
      <c r="H444" s="54">
        <f>IF($N444&lt;&gt;"",INDEX(tblBilling[Amount Paid],$N444),IF($O444=1,PC_TotalPaid,""))</f>
        <v/>
      </c>
      <c r="I444" s="54">
        <f>IF($N444&lt;&gt;"",INDEX(tblBilling[Balance],$N444),IF($O444=1,PC_TotalBalance,""))</f>
        <v/>
      </c>
      <c r="J444" s="53">
        <f>IF($N444&lt;&gt;"",INDEX(tblBilling[Payment Status],$N444),"")</f>
        <v/>
      </c>
      <c r="K444" s="55">
        <f>IF($N444&lt;&gt;"",IF(INDEX(tblBilling[Last Payment Date],$N444)="","",INDEX(tblBilling[Last Payment Date],$N444)),"")</f>
        <v/>
      </c>
      <c r="L444" s="53">
        <f>IF($N444&lt;&gt;"",INDEX(tblBilling[Collector Name],$N444),"")</f>
        <v/>
      </c>
      <c r="N444">
        <f>IF(N443="","",IFERROR(N443+MATCH(1,INDEX(tblBilling[Print Match],N443+1):INDEX(tblBilling[Print Match],ROWS(tblBilling[Print Match])),0),""))</f>
        <v/>
      </c>
      <c r="O444">
        <f>ROW()-9-MIN(PC_Count,500)</f>
        <v/>
      </c>
    </row>
    <row r="445" ht="20" customHeight="1">
      <c r="A445" s="52">
        <f>IF($N445="","",ROW()-9)</f>
        <v/>
      </c>
      <c r="B445" s="53">
        <f>IF($N445&lt;&gt;"",INDEX(tblBilling[Customer ID],$N445),"")</f>
        <v/>
      </c>
      <c r="C445" s="53">
        <f>IF($N445&lt;&gt;"",INDEX(tblBilling[Customer Name],$N445),CHOOSE(MIN(MAX($O445,0),7)+1,"","TOTAL","","Total Customers: "&amp;PC_Count,"Total Recovered: "&amp;CFG_CurrencySymbol&amp;" "&amp;TEXT(PC_TotalPaid,"#,##0"),"","Collector Signature: ____________",""))</f>
        <v/>
      </c>
      <c r="D445" s="53">
        <f>IF($N445&lt;&gt;"",INDEX(tblBilling[Full Address],$N445),CHOOSE(MIN(MAX($O445,0),7)+1,"","","","Total Billing: "&amp;CFG_CurrencySymbol&amp;" "&amp;TEXT(PC_TotalFee,"#,##0"),"Total Pending: "&amp;CFG_CurrencySymbol&amp;" "&amp;TEXT(PC_TotalBalance,"#,##0"),"","Office Verification: ____________",""))</f>
        <v/>
      </c>
      <c r="E445" s="53">
        <f>IF($N445&lt;&gt;"",INDEX(tblBilling[VLAN ID],$N445),"")</f>
        <v/>
      </c>
      <c r="F445" s="52">
        <f>IF($N445&lt;&gt;"",INDEX(tblBilling[Due Date],$N445),"")</f>
        <v/>
      </c>
      <c r="G445" s="54">
        <f>IF($N445&lt;&gt;"",INDEX(tblBilling[Monthly Fee],$N445),IF($O445=1,PC_TotalFee,""))</f>
        <v/>
      </c>
      <c r="H445" s="54">
        <f>IF($N445&lt;&gt;"",INDEX(tblBilling[Amount Paid],$N445),IF($O445=1,PC_TotalPaid,""))</f>
        <v/>
      </c>
      <c r="I445" s="54">
        <f>IF($N445&lt;&gt;"",INDEX(tblBilling[Balance],$N445),IF($O445=1,PC_TotalBalance,""))</f>
        <v/>
      </c>
      <c r="J445" s="53">
        <f>IF($N445&lt;&gt;"",INDEX(tblBilling[Payment Status],$N445),"")</f>
        <v/>
      </c>
      <c r="K445" s="55">
        <f>IF($N445&lt;&gt;"",IF(INDEX(tblBilling[Last Payment Date],$N445)="","",INDEX(tblBilling[Last Payment Date],$N445)),"")</f>
        <v/>
      </c>
      <c r="L445" s="53">
        <f>IF($N445&lt;&gt;"",INDEX(tblBilling[Collector Name],$N445),"")</f>
        <v/>
      </c>
      <c r="N445">
        <f>IF(N444="","",IFERROR(N444+MATCH(1,INDEX(tblBilling[Print Match],N444+1):INDEX(tblBilling[Print Match],ROWS(tblBilling[Print Match])),0),""))</f>
        <v/>
      </c>
      <c r="O445">
        <f>ROW()-9-MIN(PC_Count,500)</f>
        <v/>
      </c>
    </row>
    <row r="446" ht="20" customHeight="1">
      <c r="A446" s="52">
        <f>IF($N446="","",ROW()-9)</f>
        <v/>
      </c>
      <c r="B446" s="53">
        <f>IF($N446&lt;&gt;"",INDEX(tblBilling[Customer ID],$N446),"")</f>
        <v/>
      </c>
      <c r="C446" s="53">
        <f>IF($N446&lt;&gt;"",INDEX(tblBilling[Customer Name],$N446),CHOOSE(MIN(MAX($O446,0),7)+1,"","TOTAL","","Total Customers: "&amp;PC_Count,"Total Recovered: "&amp;CFG_CurrencySymbol&amp;" "&amp;TEXT(PC_TotalPaid,"#,##0"),"","Collector Signature: ____________",""))</f>
        <v/>
      </c>
      <c r="D446" s="53">
        <f>IF($N446&lt;&gt;"",INDEX(tblBilling[Full Address],$N446),CHOOSE(MIN(MAX($O446,0),7)+1,"","","","Total Billing: "&amp;CFG_CurrencySymbol&amp;" "&amp;TEXT(PC_TotalFee,"#,##0"),"Total Pending: "&amp;CFG_CurrencySymbol&amp;" "&amp;TEXT(PC_TotalBalance,"#,##0"),"","Office Verification: ____________",""))</f>
        <v/>
      </c>
      <c r="E446" s="53">
        <f>IF($N446&lt;&gt;"",INDEX(tblBilling[VLAN ID],$N446),"")</f>
        <v/>
      </c>
      <c r="F446" s="52">
        <f>IF($N446&lt;&gt;"",INDEX(tblBilling[Due Date],$N446),"")</f>
        <v/>
      </c>
      <c r="G446" s="54">
        <f>IF($N446&lt;&gt;"",INDEX(tblBilling[Monthly Fee],$N446),IF($O446=1,PC_TotalFee,""))</f>
        <v/>
      </c>
      <c r="H446" s="54">
        <f>IF($N446&lt;&gt;"",INDEX(tblBilling[Amount Paid],$N446),IF($O446=1,PC_TotalPaid,""))</f>
        <v/>
      </c>
      <c r="I446" s="54">
        <f>IF($N446&lt;&gt;"",INDEX(tblBilling[Balance],$N446),IF($O446=1,PC_TotalBalance,""))</f>
        <v/>
      </c>
      <c r="J446" s="53">
        <f>IF($N446&lt;&gt;"",INDEX(tblBilling[Payment Status],$N446),"")</f>
        <v/>
      </c>
      <c r="K446" s="55">
        <f>IF($N446&lt;&gt;"",IF(INDEX(tblBilling[Last Payment Date],$N446)="","",INDEX(tblBilling[Last Payment Date],$N446)),"")</f>
        <v/>
      </c>
      <c r="L446" s="53">
        <f>IF($N446&lt;&gt;"",INDEX(tblBilling[Collector Name],$N446),"")</f>
        <v/>
      </c>
      <c r="N446">
        <f>IF(N445="","",IFERROR(N445+MATCH(1,INDEX(tblBilling[Print Match],N445+1):INDEX(tblBilling[Print Match],ROWS(tblBilling[Print Match])),0),""))</f>
        <v/>
      </c>
      <c r="O446">
        <f>ROW()-9-MIN(PC_Count,500)</f>
        <v/>
      </c>
    </row>
    <row r="447" ht="20" customHeight="1">
      <c r="A447" s="52">
        <f>IF($N447="","",ROW()-9)</f>
        <v/>
      </c>
      <c r="B447" s="53">
        <f>IF($N447&lt;&gt;"",INDEX(tblBilling[Customer ID],$N447),"")</f>
        <v/>
      </c>
      <c r="C447" s="53">
        <f>IF($N447&lt;&gt;"",INDEX(tblBilling[Customer Name],$N447),CHOOSE(MIN(MAX($O447,0),7)+1,"","TOTAL","","Total Customers: "&amp;PC_Count,"Total Recovered: "&amp;CFG_CurrencySymbol&amp;" "&amp;TEXT(PC_TotalPaid,"#,##0"),"","Collector Signature: ____________",""))</f>
        <v/>
      </c>
      <c r="D447" s="53">
        <f>IF($N447&lt;&gt;"",INDEX(tblBilling[Full Address],$N447),CHOOSE(MIN(MAX($O447,0),7)+1,"","","","Total Billing: "&amp;CFG_CurrencySymbol&amp;" "&amp;TEXT(PC_TotalFee,"#,##0"),"Total Pending: "&amp;CFG_CurrencySymbol&amp;" "&amp;TEXT(PC_TotalBalance,"#,##0"),"","Office Verification: ____________",""))</f>
        <v/>
      </c>
      <c r="E447" s="53">
        <f>IF($N447&lt;&gt;"",INDEX(tblBilling[VLAN ID],$N447),"")</f>
        <v/>
      </c>
      <c r="F447" s="52">
        <f>IF($N447&lt;&gt;"",INDEX(tblBilling[Due Date],$N447),"")</f>
        <v/>
      </c>
      <c r="G447" s="54">
        <f>IF($N447&lt;&gt;"",INDEX(tblBilling[Monthly Fee],$N447),IF($O447=1,PC_TotalFee,""))</f>
        <v/>
      </c>
      <c r="H447" s="54">
        <f>IF($N447&lt;&gt;"",INDEX(tblBilling[Amount Paid],$N447),IF($O447=1,PC_TotalPaid,""))</f>
        <v/>
      </c>
      <c r="I447" s="54">
        <f>IF($N447&lt;&gt;"",INDEX(tblBilling[Balance],$N447),IF($O447=1,PC_TotalBalance,""))</f>
        <v/>
      </c>
      <c r="J447" s="53">
        <f>IF($N447&lt;&gt;"",INDEX(tblBilling[Payment Status],$N447),"")</f>
        <v/>
      </c>
      <c r="K447" s="55">
        <f>IF($N447&lt;&gt;"",IF(INDEX(tblBilling[Last Payment Date],$N447)="","",INDEX(tblBilling[Last Payment Date],$N447)),"")</f>
        <v/>
      </c>
      <c r="L447" s="53">
        <f>IF($N447&lt;&gt;"",INDEX(tblBilling[Collector Name],$N447),"")</f>
        <v/>
      </c>
      <c r="N447">
        <f>IF(N446="","",IFERROR(N446+MATCH(1,INDEX(tblBilling[Print Match],N446+1):INDEX(tblBilling[Print Match],ROWS(tblBilling[Print Match])),0),""))</f>
        <v/>
      </c>
      <c r="O447">
        <f>ROW()-9-MIN(PC_Count,500)</f>
        <v/>
      </c>
    </row>
    <row r="448" ht="20" customHeight="1">
      <c r="A448" s="52">
        <f>IF($N448="","",ROW()-9)</f>
        <v/>
      </c>
      <c r="B448" s="53">
        <f>IF($N448&lt;&gt;"",INDEX(tblBilling[Customer ID],$N448),"")</f>
        <v/>
      </c>
      <c r="C448" s="53">
        <f>IF($N448&lt;&gt;"",INDEX(tblBilling[Customer Name],$N448),CHOOSE(MIN(MAX($O448,0),7)+1,"","TOTAL","","Total Customers: "&amp;PC_Count,"Total Recovered: "&amp;CFG_CurrencySymbol&amp;" "&amp;TEXT(PC_TotalPaid,"#,##0"),"","Collector Signature: ____________",""))</f>
        <v/>
      </c>
      <c r="D448" s="53">
        <f>IF($N448&lt;&gt;"",INDEX(tblBilling[Full Address],$N448),CHOOSE(MIN(MAX($O448,0),7)+1,"","","","Total Billing: "&amp;CFG_CurrencySymbol&amp;" "&amp;TEXT(PC_TotalFee,"#,##0"),"Total Pending: "&amp;CFG_CurrencySymbol&amp;" "&amp;TEXT(PC_TotalBalance,"#,##0"),"","Office Verification: ____________",""))</f>
        <v/>
      </c>
      <c r="E448" s="53">
        <f>IF($N448&lt;&gt;"",INDEX(tblBilling[VLAN ID],$N448),"")</f>
        <v/>
      </c>
      <c r="F448" s="52">
        <f>IF($N448&lt;&gt;"",INDEX(tblBilling[Due Date],$N448),"")</f>
        <v/>
      </c>
      <c r="G448" s="54">
        <f>IF($N448&lt;&gt;"",INDEX(tblBilling[Monthly Fee],$N448),IF($O448=1,PC_TotalFee,""))</f>
        <v/>
      </c>
      <c r="H448" s="54">
        <f>IF($N448&lt;&gt;"",INDEX(tblBilling[Amount Paid],$N448),IF($O448=1,PC_TotalPaid,""))</f>
        <v/>
      </c>
      <c r="I448" s="54">
        <f>IF($N448&lt;&gt;"",INDEX(tblBilling[Balance],$N448),IF($O448=1,PC_TotalBalance,""))</f>
        <v/>
      </c>
      <c r="J448" s="53">
        <f>IF($N448&lt;&gt;"",INDEX(tblBilling[Payment Status],$N448),"")</f>
        <v/>
      </c>
      <c r="K448" s="55">
        <f>IF($N448&lt;&gt;"",IF(INDEX(tblBilling[Last Payment Date],$N448)="","",INDEX(tblBilling[Last Payment Date],$N448)),"")</f>
        <v/>
      </c>
      <c r="L448" s="53">
        <f>IF($N448&lt;&gt;"",INDEX(tblBilling[Collector Name],$N448),"")</f>
        <v/>
      </c>
      <c r="N448">
        <f>IF(N447="","",IFERROR(N447+MATCH(1,INDEX(tblBilling[Print Match],N447+1):INDEX(tblBilling[Print Match],ROWS(tblBilling[Print Match])),0),""))</f>
        <v/>
      </c>
      <c r="O448">
        <f>ROW()-9-MIN(PC_Count,500)</f>
        <v/>
      </c>
    </row>
    <row r="449" ht="20" customHeight="1">
      <c r="A449" s="52">
        <f>IF($N449="","",ROW()-9)</f>
        <v/>
      </c>
      <c r="B449" s="53">
        <f>IF($N449&lt;&gt;"",INDEX(tblBilling[Customer ID],$N449),"")</f>
        <v/>
      </c>
      <c r="C449" s="53">
        <f>IF($N449&lt;&gt;"",INDEX(tblBilling[Customer Name],$N449),CHOOSE(MIN(MAX($O449,0),7)+1,"","TOTAL","","Total Customers: "&amp;PC_Count,"Total Recovered: "&amp;CFG_CurrencySymbol&amp;" "&amp;TEXT(PC_TotalPaid,"#,##0"),"","Collector Signature: ____________",""))</f>
        <v/>
      </c>
      <c r="D449" s="53">
        <f>IF($N449&lt;&gt;"",INDEX(tblBilling[Full Address],$N449),CHOOSE(MIN(MAX($O449,0),7)+1,"","","","Total Billing: "&amp;CFG_CurrencySymbol&amp;" "&amp;TEXT(PC_TotalFee,"#,##0"),"Total Pending: "&amp;CFG_CurrencySymbol&amp;" "&amp;TEXT(PC_TotalBalance,"#,##0"),"","Office Verification: ____________",""))</f>
        <v/>
      </c>
      <c r="E449" s="53">
        <f>IF($N449&lt;&gt;"",INDEX(tblBilling[VLAN ID],$N449),"")</f>
        <v/>
      </c>
      <c r="F449" s="52">
        <f>IF($N449&lt;&gt;"",INDEX(tblBilling[Due Date],$N449),"")</f>
        <v/>
      </c>
      <c r="G449" s="54">
        <f>IF($N449&lt;&gt;"",INDEX(tblBilling[Monthly Fee],$N449),IF($O449=1,PC_TotalFee,""))</f>
        <v/>
      </c>
      <c r="H449" s="54">
        <f>IF($N449&lt;&gt;"",INDEX(tblBilling[Amount Paid],$N449),IF($O449=1,PC_TotalPaid,""))</f>
        <v/>
      </c>
      <c r="I449" s="54">
        <f>IF($N449&lt;&gt;"",INDEX(tblBilling[Balance],$N449),IF($O449=1,PC_TotalBalance,""))</f>
        <v/>
      </c>
      <c r="J449" s="53">
        <f>IF($N449&lt;&gt;"",INDEX(tblBilling[Payment Status],$N449),"")</f>
        <v/>
      </c>
      <c r="K449" s="55">
        <f>IF($N449&lt;&gt;"",IF(INDEX(tblBilling[Last Payment Date],$N449)="","",INDEX(tblBilling[Last Payment Date],$N449)),"")</f>
        <v/>
      </c>
      <c r="L449" s="53">
        <f>IF($N449&lt;&gt;"",INDEX(tblBilling[Collector Name],$N449),"")</f>
        <v/>
      </c>
      <c r="N449">
        <f>IF(N448="","",IFERROR(N448+MATCH(1,INDEX(tblBilling[Print Match],N448+1):INDEX(tblBilling[Print Match],ROWS(tblBilling[Print Match])),0),""))</f>
        <v/>
      </c>
      <c r="O449">
        <f>ROW()-9-MIN(PC_Count,500)</f>
        <v/>
      </c>
    </row>
    <row r="450" ht="20" customHeight="1">
      <c r="A450" s="52">
        <f>IF($N450="","",ROW()-9)</f>
        <v/>
      </c>
      <c r="B450" s="53">
        <f>IF($N450&lt;&gt;"",INDEX(tblBilling[Customer ID],$N450),"")</f>
        <v/>
      </c>
      <c r="C450" s="53">
        <f>IF($N450&lt;&gt;"",INDEX(tblBilling[Customer Name],$N450),CHOOSE(MIN(MAX($O450,0),7)+1,"","TOTAL","","Total Customers: "&amp;PC_Count,"Total Recovered: "&amp;CFG_CurrencySymbol&amp;" "&amp;TEXT(PC_TotalPaid,"#,##0"),"","Collector Signature: ____________",""))</f>
        <v/>
      </c>
      <c r="D450" s="53">
        <f>IF($N450&lt;&gt;"",INDEX(tblBilling[Full Address],$N450),CHOOSE(MIN(MAX($O450,0),7)+1,"","","","Total Billing: "&amp;CFG_CurrencySymbol&amp;" "&amp;TEXT(PC_TotalFee,"#,##0"),"Total Pending: "&amp;CFG_CurrencySymbol&amp;" "&amp;TEXT(PC_TotalBalance,"#,##0"),"","Office Verification: ____________",""))</f>
        <v/>
      </c>
      <c r="E450" s="53">
        <f>IF($N450&lt;&gt;"",INDEX(tblBilling[VLAN ID],$N450),"")</f>
        <v/>
      </c>
      <c r="F450" s="52">
        <f>IF($N450&lt;&gt;"",INDEX(tblBilling[Due Date],$N450),"")</f>
        <v/>
      </c>
      <c r="G450" s="54">
        <f>IF($N450&lt;&gt;"",INDEX(tblBilling[Monthly Fee],$N450),IF($O450=1,PC_TotalFee,""))</f>
        <v/>
      </c>
      <c r="H450" s="54">
        <f>IF($N450&lt;&gt;"",INDEX(tblBilling[Amount Paid],$N450),IF($O450=1,PC_TotalPaid,""))</f>
        <v/>
      </c>
      <c r="I450" s="54">
        <f>IF($N450&lt;&gt;"",INDEX(tblBilling[Balance],$N450),IF($O450=1,PC_TotalBalance,""))</f>
        <v/>
      </c>
      <c r="J450" s="53">
        <f>IF($N450&lt;&gt;"",INDEX(tblBilling[Payment Status],$N450),"")</f>
        <v/>
      </c>
      <c r="K450" s="55">
        <f>IF($N450&lt;&gt;"",IF(INDEX(tblBilling[Last Payment Date],$N450)="","",INDEX(tblBilling[Last Payment Date],$N450)),"")</f>
        <v/>
      </c>
      <c r="L450" s="53">
        <f>IF($N450&lt;&gt;"",INDEX(tblBilling[Collector Name],$N450),"")</f>
        <v/>
      </c>
      <c r="N450">
        <f>IF(N449="","",IFERROR(N449+MATCH(1,INDEX(tblBilling[Print Match],N449+1):INDEX(tblBilling[Print Match],ROWS(tblBilling[Print Match])),0),""))</f>
        <v/>
      </c>
      <c r="O450">
        <f>ROW()-9-MIN(PC_Count,500)</f>
        <v/>
      </c>
    </row>
    <row r="451" ht="20" customHeight="1">
      <c r="A451" s="52">
        <f>IF($N451="","",ROW()-9)</f>
        <v/>
      </c>
      <c r="B451" s="53">
        <f>IF($N451&lt;&gt;"",INDEX(tblBilling[Customer ID],$N451),"")</f>
        <v/>
      </c>
      <c r="C451" s="53">
        <f>IF($N451&lt;&gt;"",INDEX(tblBilling[Customer Name],$N451),CHOOSE(MIN(MAX($O451,0),7)+1,"","TOTAL","","Total Customers: "&amp;PC_Count,"Total Recovered: "&amp;CFG_CurrencySymbol&amp;" "&amp;TEXT(PC_TotalPaid,"#,##0"),"","Collector Signature: ____________",""))</f>
        <v/>
      </c>
      <c r="D451" s="53">
        <f>IF($N451&lt;&gt;"",INDEX(tblBilling[Full Address],$N451),CHOOSE(MIN(MAX($O451,0),7)+1,"","","","Total Billing: "&amp;CFG_CurrencySymbol&amp;" "&amp;TEXT(PC_TotalFee,"#,##0"),"Total Pending: "&amp;CFG_CurrencySymbol&amp;" "&amp;TEXT(PC_TotalBalance,"#,##0"),"","Office Verification: ____________",""))</f>
        <v/>
      </c>
      <c r="E451" s="53">
        <f>IF($N451&lt;&gt;"",INDEX(tblBilling[VLAN ID],$N451),"")</f>
        <v/>
      </c>
      <c r="F451" s="52">
        <f>IF($N451&lt;&gt;"",INDEX(tblBilling[Due Date],$N451),"")</f>
        <v/>
      </c>
      <c r="G451" s="54">
        <f>IF($N451&lt;&gt;"",INDEX(tblBilling[Monthly Fee],$N451),IF($O451=1,PC_TotalFee,""))</f>
        <v/>
      </c>
      <c r="H451" s="54">
        <f>IF($N451&lt;&gt;"",INDEX(tblBilling[Amount Paid],$N451),IF($O451=1,PC_TotalPaid,""))</f>
        <v/>
      </c>
      <c r="I451" s="54">
        <f>IF($N451&lt;&gt;"",INDEX(tblBilling[Balance],$N451),IF($O451=1,PC_TotalBalance,""))</f>
        <v/>
      </c>
      <c r="J451" s="53">
        <f>IF($N451&lt;&gt;"",INDEX(tblBilling[Payment Status],$N451),"")</f>
        <v/>
      </c>
      <c r="K451" s="55">
        <f>IF($N451&lt;&gt;"",IF(INDEX(tblBilling[Last Payment Date],$N451)="","",INDEX(tblBilling[Last Payment Date],$N451)),"")</f>
        <v/>
      </c>
      <c r="L451" s="53">
        <f>IF($N451&lt;&gt;"",INDEX(tblBilling[Collector Name],$N451),"")</f>
        <v/>
      </c>
      <c r="N451">
        <f>IF(N450="","",IFERROR(N450+MATCH(1,INDEX(tblBilling[Print Match],N450+1):INDEX(tblBilling[Print Match],ROWS(tblBilling[Print Match])),0),""))</f>
        <v/>
      </c>
      <c r="O451">
        <f>ROW()-9-MIN(PC_Count,500)</f>
        <v/>
      </c>
    </row>
    <row r="452" ht="20" customHeight="1">
      <c r="A452" s="52">
        <f>IF($N452="","",ROW()-9)</f>
        <v/>
      </c>
      <c r="B452" s="53">
        <f>IF($N452&lt;&gt;"",INDEX(tblBilling[Customer ID],$N452),"")</f>
        <v/>
      </c>
      <c r="C452" s="53">
        <f>IF($N452&lt;&gt;"",INDEX(tblBilling[Customer Name],$N452),CHOOSE(MIN(MAX($O452,0),7)+1,"","TOTAL","","Total Customers: "&amp;PC_Count,"Total Recovered: "&amp;CFG_CurrencySymbol&amp;" "&amp;TEXT(PC_TotalPaid,"#,##0"),"","Collector Signature: ____________",""))</f>
        <v/>
      </c>
      <c r="D452" s="53">
        <f>IF($N452&lt;&gt;"",INDEX(tblBilling[Full Address],$N452),CHOOSE(MIN(MAX($O452,0),7)+1,"","","","Total Billing: "&amp;CFG_CurrencySymbol&amp;" "&amp;TEXT(PC_TotalFee,"#,##0"),"Total Pending: "&amp;CFG_CurrencySymbol&amp;" "&amp;TEXT(PC_TotalBalance,"#,##0"),"","Office Verification: ____________",""))</f>
        <v/>
      </c>
      <c r="E452" s="53">
        <f>IF($N452&lt;&gt;"",INDEX(tblBilling[VLAN ID],$N452),"")</f>
        <v/>
      </c>
      <c r="F452" s="52">
        <f>IF($N452&lt;&gt;"",INDEX(tblBilling[Due Date],$N452),"")</f>
        <v/>
      </c>
      <c r="G452" s="54">
        <f>IF($N452&lt;&gt;"",INDEX(tblBilling[Monthly Fee],$N452),IF($O452=1,PC_TotalFee,""))</f>
        <v/>
      </c>
      <c r="H452" s="54">
        <f>IF($N452&lt;&gt;"",INDEX(tblBilling[Amount Paid],$N452),IF($O452=1,PC_TotalPaid,""))</f>
        <v/>
      </c>
      <c r="I452" s="54">
        <f>IF($N452&lt;&gt;"",INDEX(tblBilling[Balance],$N452),IF($O452=1,PC_TotalBalance,""))</f>
        <v/>
      </c>
      <c r="J452" s="53">
        <f>IF($N452&lt;&gt;"",INDEX(tblBilling[Payment Status],$N452),"")</f>
        <v/>
      </c>
      <c r="K452" s="55">
        <f>IF($N452&lt;&gt;"",IF(INDEX(tblBilling[Last Payment Date],$N452)="","",INDEX(tblBilling[Last Payment Date],$N452)),"")</f>
        <v/>
      </c>
      <c r="L452" s="53">
        <f>IF($N452&lt;&gt;"",INDEX(tblBilling[Collector Name],$N452),"")</f>
        <v/>
      </c>
      <c r="N452">
        <f>IF(N451="","",IFERROR(N451+MATCH(1,INDEX(tblBilling[Print Match],N451+1):INDEX(tblBilling[Print Match],ROWS(tblBilling[Print Match])),0),""))</f>
        <v/>
      </c>
      <c r="O452">
        <f>ROW()-9-MIN(PC_Count,500)</f>
        <v/>
      </c>
    </row>
    <row r="453" ht="20" customHeight="1">
      <c r="A453" s="52">
        <f>IF($N453="","",ROW()-9)</f>
        <v/>
      </c>
      <c r="B453" s="53">
        <f>IF($N453&lt;&gt;"",INDEX(tblBilling[Customer ID],$N453),"")</f>
        <v/>
      </c>
      <c r="C453" s="53">
        <f>IF($N453&lt;&gt;"",INDEX(tblBilling[Customer Name],$N453),CHOOSE(MIN(MAX($O453,0),7)+1,"","TOTAL","","Total Customers: "&amp;PC_Count,"Total Recovered: "&amp;CFG_CurrencySymbol&amp;" "&amp;TEXT(PC_TotalPaid,"#,##0"),"","Collector Signature: ____________",""))</f>
        <v/>
      </c>
      <c r="D453" s="53">
        <f>IF($N453&lt;&gt;"",INDEX(tblBilling[Full Address],$N453),CHOOSE(MIN(MAX($O453,0),7)+1,"","","","Total Billing: "&amp;CFG_CurrencySymbol&amp;" "&amp;TEXT(PC_TotalFee,"#,##0"),"Total Pending: "&amp;CFG_CurrencySymbol&amp;" "&amp;TEXT(PC_TotalBalance,"#,##0"),"","Office Verification: ____________",""))</f>
        <v/>
      </c>
      <c r="E453" s="53">
        <f>IF($N453&lt;&gt;"",INDEX(tblBilling[VLAN ID],$N453),"")</f>
        <v/>
      </c>
      <c r="F453" s="52">
        <f>IF($N453&lt;&gt;"",INDEX(tblBilling[Due Date],$N453),"")</f>
        <v/>
      </c>
      <c r="G453" s="54">
        <f>IF($N453&lt;&gt;"",INDEX(tblBilling[Monthly Fee],$N453),IF($O453=1,PC_TotalFee,""))</f>
        <v/>
      </c>
      <c r="H453" s="54">
        <f>IF($N453&lt;&gt;"",INDEX(tblBilling[Amount Paid],$N453),IF($O453=1,PC_TotalPaid,""))</f>
        <v/>
      </c>
      <c r="I453" s="54">
        <f>IF($N453&lt;&gt;"",INDEX(tblBilling[Balance],$N453),IF($O453=1,PC_TotalBalance,""))</f>
        <v/>
      </c>
      <c r="J453" s="53">
        <f>IF($N453&lt;&gt;"",INDEX(tblBilling[Payment Status],$N453),"")</f>
        <v/>
      </c>
      <c r="K453" s="55">
        <f>IF($N453&lt;&gt;"",IF(INDEX(tblBilling[Last Payment Date],$N453)="","",INDEX(tblBilling[Last Payment Date],$N453)),"")</f>
        <v/>
      </c>
      <c r="L453" s="53">
        <f>IF($N453&lt;&gt;"",INDEX(tblBilling[Collector Name],$N453),"")</f>
        <v/>
      </c>
      <c r="N453">
        <f>IF(N452="","",IFERROR(N452+MATCH(1,INDEX(tblBilling[Print Match],N452+1):INDEX(tblBilling[Print Match],ROWS(tblBilling[Print Match])),0),""))</f>
        <v/>
      </c>
      <c r="O453">
        <f>ROW()-9-MIN(PC_Count,500)</f>
        <v/>
      </c>
    </row>
    <row r="454" ht="20" customHeight="1">
      <c r="A454" s="52">
        <f>IF($N454="","",ROW()-9)</f>
        <v/>
      </c>
      <c r="B454" s="53">
        <f>IF($N454&lt;&gt;"",INDEX(tblBilling[Customer ID],$N454),"")</f>
        <v/>
      </c>
      <c r="C454" s="53">
        <f>IF($N454&lt;&gt;"",INDEX(tblBilling[Customer Name],$N454),CHOOSE(MIN(MAX($O454,0),7)+1,"","TOTAL","","Total Customers: "&amp;PC_Count,"Total Recovered: "&amp;CFG_CurrencySymbol&amp;" "&amp;TEXT(PC_TotalPaid,"#,##0"),"","Collector Signature: ____________",""))</f>
        <v/>
      </c>
      <c r="D454" s="53">
        <f>IF($N454&lt;&gt;"",INDEX(tblBilling[Full Address],$N454),CHOOSE(MIN(MAX($O454,0),7)+1,"","","","Total Billing: "&amp;CFG_CurrencySymbol&amp;" "&amp;TEXT(PC_TotalFee,"#,##0"),"Total Pending: "&amp;CFG_CurrencySymbol&amp;" "&amp;TEXT(PC_TotalBalance,"#,##0"),"","Office Verification: ____________",""))</f>
        <v/>
      </c>
      <c r="E454" s="53">
        <f>IF($N454&lt;&gt;"",INDEX(tblBilling[VLAN ID],$N454),"")</f>
        <v/>
      </c>
      <c r="F454" s="52">
        <f>IF($N454&lt;&gt;"",INDEX(tblBilling[Due Date],$N454),"")</f>
        <v/>
      </c>
      <c r="G454" s="54">
        <f>IF($N454&lt;&gt;"",INDEX(tblBilling[Monthly Fee],$N454),IF($O454=1,PC_TotalFee,""))</f>
        <v/>
      </c>
      <c r="H454" s="54">
        <f>IF($N454&lt;&gt;"",INDEX(tblBilling[Amount Paid],$N454),IF($O454=1,PC_TotalPaid,""))</f>
        <v/>
      </c>
      <c r="I454" s="54">
        <f>IF($N454&lt;&gt;"",INDEX(tblBilling[Balance],$N454),IF($O454=1,PC_TotalBalance,""))</f>
        <v/>
      </c>
      <c r="J454" s="53">
        <f>IF($N454&lt;&gt;"",INDEX(tblBilling[Payment Status],$N454),"")</f>
        <v/>
      </c>
      <c r="K454" s="55">
        <f>IF($N454&lt;&gt;"",IF(INDEX(tblBilling[Last Payment Date],$N454)="","",INDEX(tblBilling[Last Payment Date],$N454)),"")</f>
        <v/>
      </c>
      <c r="L454" s="53">
        <f>IF($N454&lt;&gt;"",INDEX(tblBilling[Collector Name],$N454),"")</f>
        <v/>
      </c>
      <c r="N454">
        <f>IF(N453="","",IFERROR(N453+MATCH(1,INDEX(tblBilling[Print Match],N453+1):INDEX(tblBilling[Print Match],ROWS(tblBilling[Print Match])),0),""))</f>
        <v/>
      </c>
      <c r="O454">
        <f>ROW()-9-MIN(PC_Count,500)</f>
        <v/>
      </c>
    </row>
    <row r="455" ht="20" customHeight="1">
      <c r="A455" s="52">
        <f>IF($N455="","",ROW()-9)</f>
        <v/>
      </c>
      <c r="B455" s="53">
        <f>IF($N455&lt;&gt;"",INDEX(tblBilling[Customer ID],$N455),"")</f>
        <v/>
      </c>
      <c r="C455" s="53">
        <f>IF($N455&lt;&gt;"",INDEX(tblBilling[Customer Name],$N455),CHOOSE(MIN(MAX($O455,0),7)+1,"","TOTAL","","Total Customers: "&amp;PC_Count,"Total Recovered: "&amp;CFG_CurrencySymbol&amp;" "&amp;TEXT(PC_TotalPaid,"#,##0"),"","Collector Signature: ____________",""))</f>
        <v/>
      </c>
      <c r="D455" s="53">
        <f>IF($N455&lt;&gt;"",INDEX(tblBilling[Full Address],$N455),CHOOSE(MIN(MAX($O455,0),7)+1,"","","","Total Billing: "&amp;CFG_CurrencySymbol&amp;" "&amp;TEXT(PC_TotalFee,"#,##0"),"Total Pending: "&amp;CFG_CurrencySymbol&amp;" "&amp;TEXT(PC_TotalBalance,"#,##0"),"","Office Verification: ____________",""))</f>
        <v/>
      </c>
      <c r="E455" s="53">
        <f>IF($N455&lt;&gt;"",INDEX(tblBilling[VLAN ID],$N455),"")</f>
        <v/>
      </c>
      <c r="F455" s="52">
        <f>IF($N455&lt;&gt;"",INDEX(tblBilling[Due Date],$N455),"")</f>
        <v/>
      </c>
      <c r="G455" s="54">
        <f>IF($N455&lt;&gt;"",INDEX(tblBilling[Monthly Fee],$N455),IF($O455=1,PC_TotalFee,""))</f>
        <v/>
      </c>
      <c r="H455" s="54">
        <f>IF($N455&lt;&gt;"",INDEX(tblBilling[Amount Paid],$N455),IF($O455=1,PC_TotalPaid,""))</f>
        <v/>
      </c>
      <c r="I455" s="54">
        <f>IF($N455&lt;&gt;"",INDEX(tblBilling[Balance],$N455),IF($O455=1,PC_TotalBalance,""))</f>
        <v/>
      </c>
      <c r="J455" s="53">
        <f>IF($N455&lt;&gt;"",INDEX(tblBilling[Payment Status],$N455),"")</f>
        <v/>
      </c>
      <c r="K455" s="55">
        <f>IF($N455&lt;&gt;"",IF(INDEX(tblBilling[Last Payment Date],$N455)="","",INDEX(tblBilling[Last Payment Date],$N455)),"")</f>
        <v/>
      </c>
      <c r="L455" s="53">
        <f>IF($N455&lt;&gt;"",INDEX(tblBilling[Collector Name],$N455),"")</f>
        <v/>
      </c>
      <c r="N455">
        <f>IF(N454="","",IFERROR(N454+MATCH(1,INDEX(tblBilling[Print Match],N454+1):INDEX(tblBilling[Print Match],ROWS(tblBilling[Print Match])),0),""))</f>
        <v/>
      </c>
      <c r="O455">
        <f>ROW()-9-MIN(PC_Count,500)</f>
        <v/>
      </c>
    </row>
    <row r="456" ht="20" customHeight="1">
      <c r="A456" s="52">
        <f>IF($N456="","",ROW()-9)</f>
        <v/>
      </c>
      <c r="B456" s="53">
        <f>IF($N456&lt;&gt;"",INDEX(tblBilling[Customer ID],$N456),"")</f>
        <v/>
      </c>
      <c r="C456" s="53">
        <f>IF($N456&lt;&gt;"",INDEX(tblBilling[Customer Name],$N456),CHOOSE(MIN(MAX($O456,0),7)+1,"","TOTAL","","Total Customers: "&amp;PC_Count,"Total Recovered: "&amp;CFG_CurrencySymbol&amp;" "&amp;TEXT(PC_TotalPaid,"#,##0"),"","Collector Signature: ____________",""))</f>
        <v/>
      </c>
      <c r="D456" s="53">
        <f>IF($N456&lt;&gt;"",INDEX(tblBilling[Full Address],$N456),CHOOSE(MIN(MAX($O456,0),7)+1,"","","","Total Billing: "&amp;CFG_CurrencySymbol&amp;" "&amp;TEXT(PC_TotalFee,"#,##0"),"Total Pending: "&amp;CFG_CurrencySymbol&amp;" "&amp;TEXT(PC_TotalBalance,"#,##0"),"","Office Verification: ____________",""))</f>
        <v/>
      </c>
      <c r="E456" s="53">
        <f>IF($N456&lt;&gt;"",INDEX(tblBilling[VLAN ID],$N456),"")</f>
        <v/>
      </c>
      <c r="F456" s="52">
        <f>IF($N456&lt;&gt;"",INDEX(tblBilling[Due Date],$N456),"")</f>
        <v/>
      </c>
      <c r="G456" s="54">
        <f>IF($N456&lt;&gt;"",INDEX(tblBilling[Monthly Fee],$N456),IF($O456=1,PC_TotalFee,""))</f>
        <v/>
      </c>
      <c r="H456" s="54">
        <f>IF($N456&lt;&gt;"",INDEX(tblBilling[Amount Paid],$N456),IF($O456=1,PC_TotalPaid,""))</f>
        <v/>
      </c>
      <c r="I456" s="54">
        <f>IF($N456&lt;&gt;"",INDEX(tblBilling[Balance],$N456),IF($O456=1,PC_TotalBalance,""))</f>
        <v/>
      </c>
      <c r="J456" s="53">
        <f>IF($N456&lt;&gt;"",INDEX(tblBilling[Payment Status],$N456),"")</f>
        <v/>
      </c>
      <c r="K456" s="55">
        <f>IF($N456&lt;&gt;"",IF(INDEX(tblBilling[Last Payment Date],$N456)="","",INDEX(tblBilling[Last Payment Date],$N456)),"")</f>
        <v/>
      </c>
      <c r="L456" s="53">
        <f>IF($N456&lt;&gt;"",INDEX(tblBilling[Collector Name],$N456),"")</f>
        <v/>
      </c>
      <c r="N456">
        <f>IF(N455="","",IFERROR(N455+MATCH(1,INDEX(tblBilling[Print Match],N455+1):INDEX(tblBilling[Print Match],ROWS(tblBilling[Print Match])),0),""))</f>
        <v/>
      </c>
      <c r="O456">
        <f>ROW()-9-MIN(PC_Count,500)</f>
        <v/>
      </c>
    </row>
    <row r="457" ht="20" customHeight="1">
      <c r="A457" s="52">
        <f>IF($N457="","",ROW()-9)</f>
        <v/>
      </c>
      <c r="B457" s="53">
        <f>IF($N457&lt;&gt;"",INDEX(tblBilling[Customer ID],$N457),"")</f>
        <v/>
      </c>
      <c r="C457" s="53">
        <f>IF($N457&lt;&gt;"",INDEX(tblBilling[Customer Name],$N457),CHOOSE(MIN(MAX($O457,0),7)+1,"","TOTAL","","Total Customers: "&amp;PC_Count,"Total Recovered: "&amp;CFG_CurrencySymbol&amp;" "&amp;TEXT(PC_TotalPaid,"#,##0"),"","Collector Signature: ____________",""))</f>
        <v/>
      </c>
      <c r="D457" s="53">
        <f>IF($N457&lt;&gt;"",INDEX(tblBilling[Full Address],$N457),CHOOSE(MIN(MAX($O457,0),7)+1,"","","","Total Billing: "&amp;CFG_CurrencySymbol&amp;" "&amp;TEXT(PC_TotalFee,"#,##0"),"Total Pending: "&amp;CFG_CurrencySymbol&amp;" "&amp;TEXT(PC_TotalBalance,"#,##0"),"","Office Verification: ____________",""))</f>
        <v/>
      </c>
      <c r="E457" s="53">
        <f>IF($N457&lt;&gt;"",INDEX(tblBilling[VLAN ID],$N457),"")</f>
        <v/>
      </c>
      <c r="F457" s="52">
        <f>IF($N457&lt;&gt;"",INDEX(tblBilling[Due Date],$N457),"")</f>
        <v/>
      </c>
      <c r="G457" s="54">
        <f>IF($N457&lt;&gt;"",INDEX(tblBilling[Monthly Fee],$N457),IF($O457=1,PC_TotalFee,""))</f>
        <v/>
      </c>
      <c r="H457" s="54">
        <f>IF($N457&lt;&gt;"",INDEX(tblBilling[Amount Paid],$N457),IF($O457=1,PC_TotalPaid,""))</f>
        <v/>
      </c>
      <c r="I457" s="54">
        <f>IF($N457&lt;&gt;"",INDEX(tblBilling[Balance],$N457),IF($O457=1,PC_TotalBalance,""))</f>
        <v/>
      </c>
      <c r="J457" s="53">
        <f>IF($N457&lt;&gt;"",INDEX(tblBilling[Payment Status],$N457),"")</f>
        <v/>
      </c>
      <c r="K457" s="55">
        <f>IF($N457&lt;&gt;"",IF(INDEX(tblBilling[Last Payment Date],$N457)="","",INDEX(tblBilling[Last Payment Date],$N457)),"")</f>
        <v/>
      </c>
      <c r="L457" s="53">
        <f>IF($N457&lt;&gt;"",INDEX(tblBilling[Collector Name],$N457),"")</f>
        <v/>
      </c>
      <c r="N457">
        <f>IF(N456="","",IFERROR(N456+MATCH(1,INDEX(tblBilling[Print Match],N456+1):INDEX(tblBilling[Print Match],ROWS(tblBilling[Print Match])),0),""))</f>
        <v/>
      </c>
      <c r="O457">
        <f>ROW()-9-MIN(PC_Count,500)</f>
        <v/>
      </c>
    </row>
    <row r="458" ht="20" customHeight="1">
      <c r="A458" s="52">
        <f>IF($N458="","",ROW()-9)</f>
        <v/>
      </c>
      <c r="B458" s="53">
        <f>IF($N458&lt;&gt;"",INDEX(tblBilling[Customer ID],$N458),"")</f>
        <v/>
      </c>
      <c r="C458" s="53">
        <f>IF($N458&lt;&gt;"",INDEX(tblBilling[Customer Name],$N458),CHOOSE(MIN(MAX($O458,0),7)+1,"","TOTAL","","Total Customers: "&amp;PC_Count,"Total Recovered: "&amp;CFG_CurrencySymbol&amp;" "&amp;TEXT(PC_TotalPaid,"#,##0"),"","Collector Signature: ____________",""))</f>
        <v/>
      </c>
      <c r="D458" s="53">
        <f>IF($N458&lt;&gt;"",INDEX(tblBilling[Full Address],$N458),CHOOSE(MIN(MAX($O458,0),7)+1,"","","","Total Billing: "&amp;CFG_CurrencySymbol&amp;" "&amp;TEXT(PC_TotalFee,"#,##0"),"Total Pending: "&amp;CFG_CurrencySymbol&amp;" "&amp;TEXT(PC_TotalBalance,"#,##0"),"","Office Verification: ____________",""))</f>
        <v/>
      </c>
      <c r="E458" s="53">
        <f>IF($N458&lt;&gt;"",INDEX(tblBilling[VLAN ID],$N458),"")</f>
        <v/>
      </c>
      <c r="F458" s="52">
        <f>IF($N458&lt;&gt;"",INDEX(tblBilling[Due Date],$N458),"")</f>
        <v/>
      </c>
      <c r="G458" s="54">
        <f>IF($N458&lt;&gt;"",INDEX(tblBilling[Monthly Fee],$N458),IF($O458=1,PC_TotalFee,""))</f>
        <v/>
      </c>
      <c r="H458" s="54">
        <f>IF($N458&lt;&gt;"",INDEX(tblBilling[Amount Paid],$N458),IF($O458=1,PC_TotalPaid,""))</f>
        <v/>
      </c>
      <c r="I458" s="54">
        <f>IF($N458&lt;&gt;"",INDEX(tblBilling[Balance],$N458),IF($O458=1,PC_TotalBalance,""))</f>
        <v/>
      </c>
      <c r="J458" s="53">
        <f>IF($N458&lt;&gt;"",INDEX(tblBilling[Payment Status],$N458),"")</f>
        <v/>
      </c>
      <c r="K458" s="55">
        <f>IF($N458&lt;&gt;"",IF(INDEX(tblBilling[Last Payment Date],$N458)="","",INDEX(tblBilling[Last Payment Date],$N458)),"")</f>
        <v/>
      </c>
      <c r="L458" s="53">
        <f>IF($N458&lt;&gt;"",INDEX(tblBilling[Collector Name],$N458),"")</f>
        <v/>
      </c>
      <c r="N458">
        <f>IF(N457="","",IFERROR(N457+MATCH(1,INDEX(tblBilling[Print Match],N457+1):INDEX(tblBilling[Print Match],ROWS(tblBilling[Print Match])),0),""))</f>
        <v/>
      </c>
      <c r="O458">
        <f>ROW()-9-MIN(PC_Count,500)</f>
        <v/>
      </c>
    </row>
    <row r="459" ht="20" customHeight="1">
      <c r="A459" s="52">
        <f>IF($N459="","",ROW()-9)</f>
        <v/>
      </c>
      <c r="B459" s="53">
        <f>IF($N459&lt;&gt;"",INDEX(tblBilling[Customer ID],$N459),"")</f>
        <v/>
      </c>
      <c r="C459" s="53">
        <f>IF($N459&lt;&gt;"",INDEX(tblBilling[Customer Name],$N459),CHOOSE(MIN(MAX($O459,0),7)+1,"","TOTAL","","Total Customers: "&amp;PC_Count,"Total Recovered: "&amp;CFG_CurrencySymbol&amp;" "&amp;TEXT(PC_TotalPaid,"#,##0"),"","Collector Signature: ____________",""))</f>
        <v/>
      </c>
      <c r="D459" s="53">
        <f>IF($N459&lt;&gt;"",INDEX(tblBilling[Full Address],$N459),CHOOSE(MIN(MAX($O459,0),7)+1,"","","","Total Billing: "&amp;CFG_CurrencySymbol&amp;" "&amp;TEXT(PC_TotalFee,"#,##0"),"Total Pending: "&amp;CFG_CurrencySymbol&amp;" "&amp;TEXT(PC_TotalBalance,"#,##0"),"","Office Verification: ____________",""))</f>
        <v/>
      </c>
      <c r="E459" s="53">
        <f>IF($N459&lt;&gt;"",INDEX(tblBilling[VLAN ID],$N459),"")</f>
        <v/>
      </c>
      <c r="F459" s="52">
        <f>IF($N459&lt;&gt;"",INDEX(tblBilling[Due Date],$N459),"")</f>
        <v/>
      </c>
      <c r="G459" s="54">
        <f>IF($N459&lt;&gt;"",INDEX(tblBilling[Monthly Fee],$N459),IF($O459=1,PC_TotalFee,""))</f>
        <v/>
      </c>
      <c r="H459" s="54">
        <f>IF($N459&lt;&gt;"",INDEX(tblBilling[Amount Paid],$N459),IF($O459=1,PC_TotalPaid,""))</f>
        <v/>
      </c>
      <c r="I459" s="54">
        <f>IF($N459&lt;&gt;"",INDEX(tblBilling[Balance],$N459),IF($O459=1,PC_TotalBalance,""))</f>
        <v/>
      </c>
      <c r="J459" s="53">
        <f>IF($N459&lt;&gt;"",INDEX(tblBilling[Payment Status],$N459),"")</f>
        <v/>
      </c>
      <c r="K459" s="55">
        <f>IF($N459&lt;&gt;"",IF(INDEX(tblBilling[Last Payment Date],$N459)="","",INDEX(tblBilling[Last Payment Date],$N459)),"")</f>
        <v/>
      </c>
      <c r="L459" s="53">
        <f>IF($N459&lt;&gt;"",INDEX(tblBilling[Collector Name],$N459),"")</f>
        <v/>
      </c>
      <c r="N459">
        <f>IF(N458="","",IFERROR(N458+MATCH(1,INDEX(tblBilling[Print Match],N458+1):INDEX(tblBilling[Print Match],ROWS(tblBilling[Print Match])),0),""))</f>
        <v/>
      </c>
      <c r="O459">
        <f>ROW()-9-MIN(PC_Count,500)</f>
        <v/>
      </c>
    </row>
    <row r="460" ht="20" customHeight="1">
      <c r="A460" s="52">
        <f>IF($N460="","",ROW()-9)</f>
        <v/>
      </c>
      <c r="B460" s="53">
        <f>IF($N460&lt;&gt;"",INDEX(tblBilling[Customer ID],$N460),"")</f>
        <v/>
      </c>
      <c r="C460" s="53">
        <f>IF($N460&lt;&gt;"",INDEX(tblBilling[Customer Name],$N460),CHOOSE(MIN(MAX($O460,0),7)+1,"","TOTAL","","Total Customers: "&amp;PC_Count,"Total Recovered: "&amp;CFG_CurrencySymbol&amp;" "&amp;TEXT(PC_TotalPaid,"#,##0"),"","Collector Signature: ____________",""))</f>
        <v/>
      </c>
      <c r="D460" s="53">
        <f>IF($N460&lt;&gt;"",INDEX(tblBilling[Full Address],$N460),CHOOSE(MIN(MAX($O460,0),7)+1,"","","","Total Billing: "&amp;CFG_CurrencySymbol&amp;" "&amp;TEXT(PC_TotalFee,"#,##0"),"Total Pending: "&amp;CFG_CurrencySymbol&amp;" "&amp;TEXT(PC_TotalBalance,"#,##0"),"","Office Verification: ____________",""))</f>
        <v/>
      </c>
      <c r="E460" s="53">
        <f>IF($N460&lt;&gt;"",INDEX(tblBilling[VLAN ID],$N460),"")</f>
        <v/>
      </c>
      <c r="F460" s="52">
        <f>IF($N460&lt;&gt;"",INDEX(tblBilling[Due Date],$N460),"")</f>
        <v/>
      </c>
      <c r="G460" s="54">
        <f>IF($N460&lt;&gt;"",INDEX(tblBilling[Monthly Fee],$N460),IF($O460=1,PC_TotalFee,""))</f>
        <v/>
      </c>
      <c r="H460" s="54">
        <f>IF($N460&lt;&gt;"",INDEX(tblBilling[Amount Paid],$N460),IF($O460=1,PC_TotalPaid,""))</f>
        <v/>
      </c>
      <c r="I460" s="54">
        <f>IF($N460&lt;&gt;"",INDEX(tblBilling[Balance],$N460),IF($O460=1,PC_TotalBalance,""))</f>
        <v/>
      </c>
      <c r="J460" s="53">
        <f>IF($N460&lt;&gt;"",INDEX(tblBilling[Payment Status],$N460),"")</f>
        <v/>
      </c>
      <c r="K460" s="55">
        <f>IF($N460&lt;&gt;"",IF(INDEX(tblBilling[Last Payment Date],$N460)="","",INDEX(tblBilling[Last Payment Date],$N460)),"")</f>
        <v/>
      </c>
      <c r="L460" s="53">
        <f>IF($N460&lt;&gt;"",INDEX(tblBilling[Collector Name],$N460),"")</f>
        <v/>
      </c>
      <c r="N460">
        <f>IF(N459="","",IFERROR(N459+MATCH(1,INDEX(tblBilling[Print Match],N459+1):INDEX(tblBilling[Print Match],ROWS(tblBilling[Print Match])),0),""))</f>
        <v/>
      </c>
      <c r="O460">
        <f>ROW()-9-MIN(PC_Count,500)</f>
        <v/>
      </c>
    </row>
    <row r="461" ht="20" customHeight="1">
      <c r="A461" s="52">
        <f>IF($N461="","",ROW()-9)</f>
        <v/>
      </c>
      <c r="B461" s="53">
        <f>IF($N461&lt;&gt;"",INDEX(tblBilling[Customer ID],$N461),"")</f>
        <v/>
      </c>
      <c r="C461" s="53">
        <f>IF($N461&lt;&gt;"",INDEX(tblBilling[Customer Name],$N461),CHOOSE(MIN(MAX($O461,0),7)+1,"","TOTAL","","Total Customers: "&amp;PC_Count,"Total Recovered: "&amp;CFG_CurrencySymbol&amp;" "&amp;TEXT(PC_TotalPaid,"#,##0"),"","Collector Signature: ____________",""))</f>
        <v/>
      </c>
      <c r="D461" s="53">
        <f>IF($N461&lt;&gt;"",INDEX(tblBilling[Full Address],$N461),CHOOSE(MIN(MAX($O461,0),7)+1,"","","","Total Billing: "&amp;CFG_CurrencySymbol&amp;" "&amp;TEXT(PC_TotalFee,"#,##0"),"Total Pending: "&amp;CFG_CurrencySymbol&amp;" "&amp;TEXT(PC_TotalBalance,"#,##0"),"","Office Verification: ____________",""))</f>
        <v/>
      </c>
      <c r="E461" s="53">
        <f>IF($N461&lt;&gt;"",INDEX(tblBilling[VLAN ID],$N461),"")</f>
        <v/>
      </c>
      <c r="F461" s="52">
        <f>IF($N461&lt;&gt;"",INDEX(tblBilling[Due Date],$N461),"")</f>
        <v/>
      </c>
      <c r="G461" s="54">
        <f>IF($N461&lt;&gt;"",INDEX(tblBilling[Monthly Fee],$N461),IF($O461=1,PC_TotalFee,""))</f>
        <v/>
      </c>
      <c r="H461" s="54">
        <f>IF($N461&lt;&gt;"",INDEX(tblBilling[Amount Paid],$N461),IF($O461=1,PC_TotalPaid,""))</f>
        <v/>
      </c>
      <c r="I461" s="54">
        <f>IF($N461&lt;&gt;"",INDEX(tblBilling[Balance],$N461),IF($O461=1,PC_TotalBalance,""))</f>
        <v/>
      </c>
      <c r="J461" s="53">
        <f>IF($N461&lt;&gt;"",INDEX(tblBilling[Payment Status],$N461),"")</f>
        <v/>
      </c>
      <c r="K461" s="55">
        <f>IF($N461&lt;&gt;"",IF(INDEX(tblBilling[Last Payment Date],$N461)="","",INDEX(tblBilling[Last Payment Date],$N461)),"")</f>
        <v/>
      </c>
      <c r="L461" s="53">
        <f>IF($N461&lt;&gt;"",INDEX(tblBilling[Collector Name],$N461),"")</f>
        <v/>
      </c>
      <c r="N461">
        <f>IF(N460="","",IFERROR(N460+MATCH(1,INDEX(tblBilling[Print Match],N460+1):INDEX(tblBilling[Print Match],ROWS(tblBilling[Print Match])),0),""))</f>
        <v/>
      </c>
      <c r="O461">
        <f>ROW()-9-MIN(PC_Count,500)</f>
        <v/>
      </c>
    </row>
    <row r="462" ht="20" customHeight="1">
      <c r="A462" s="52">
        <f>IF($N462="","",ROW()-9)</f>
        <v/>
      </c>
      <c r="B462" s="53">
        <f>IF($N462&lt;&gt;"",INDEX(tblBilling[Customer ID],$N462),"")</f>
        <v/>
      </c>
      <c r="C462" s="53">
        <f>IF($N462&lt;&gt;"",INDEX(tblBilling[Customer Name],$N462),CHOOSE(MIN(MAX($O462,0),7)+1,"","TOTAL","","Total Customers: "&amp;PC_Count,"Total Recovered: "&amp;CFG_CurrencySymbol&amp;" "&amp;TEXT(PC_TotalPaid,"#,##0"),"","Collector Signature: ____________",""))</f>
        <v/>
      </c>
      <c r="D462" s="53">
        <f>IF($N462&lt;&gt;"",INDEX(tblBilling[Full Address],$N462),CHOOSE(MIN(MAX($O462,0),7)+1,"","","","Total Billing: "&amp;CFG_CurrencySymbol&amp;" "&amp;TEXT(PC_TotalFee,"#,##0"),"Total Pending: "&amp;CFG_CurrencySymbol&amp;" "&amp;TEXT(PC_TotalBalance,"#,##0"),"","Office Verification: ____________",""))</f>
        <v/>
      </c>
      <c r="E462" s="53">
        <f>IF($N462&lt;&gt;"",INDEX(tblBilling[VLAN ID],$N462),"")</f>
        <v/>
      </c>
      <c r="F462" s="52">
        <f>IF($N462&lt;&gt;"",INDEX(tblBilling[Due Date],$N462),"")</f>
        <v/>
      </c>
      <c r="G462" s="54">
        <f>IF($N462&lt;&gt;"",INDEX(tblBilling[Monthly Fee],$N462),IF($O462=1,PC_TotalFee,""))</f>
        <v/>
      </c>
      <c r="H462" s="54">
        <f>IF($N462&lt;&gt;"",INDEX(tblBilling[Amount Paid],$N462),IF($O462=1,PC_TotalPaid,""))</f>
        <v/>
      </c>
      <c r="I462" s="54">
        <f>IF($N462&lt;&gt;"",INDEX(tblBilling[Balance],$N462),IF($O462=1,PC_TotalBalance,""))</f>
        <v/>
      </c>
      <c r="J462" s="53">
        <f>IF($N462&lt;&gt;"",INDEX(tblBilling[Payment Status],$N462),"")</f>
        <v/>
      </c>
      <c r="K462" s="55">
        <f>IF($N462&lt;&gt;"",IF(INDEX(tblBilling[Last Payment Date],$N462)="","",INDEX(tblBilling[Last Payment Date],$N462)),"")</f>
        <v/>
      </c>
      <c r="L462" s="53">
        <f>IF($N462&lt;&gt;"",INDEX(tblBilling[Collector Name],$N462),"")</f>
        <v/>
      </c>
      <c r="N462">
        <f>IF(N461="","",IFERROR(N461+MATCH(1,INDEX(tblBilling[Print Match],N461+1):INDEX(tblBilling[Print Match],ROWS(tblBilling[Print Match])),0),""))</f>
        <v/>
      </c>
      <c r="O462">
        <f>ROW()-9-MIN(PC_Count,500)</f>
        <v/>
      </c>
    </row>
    <row r="463" ht="20" customHeight="1">
      <c r="A463" s="52">
        <f>IF($N463="","",ROW()-9)</f>
        <v/>
      </c>
      <c r="B463" s="53">
        <f>IF($N463&lt;&gt;"",INDEX(tblBilling[Customer ID],$N463),"")</f>
        <v/>
      </c>
      <c r="C463" s="53">
        <f>IF($N463&lt;&gt;"",INDEX(tblBilling[Customer Name],$N463),CHOOSE(MIN(MAX($O463,0),7)+1,"","TOTAL","","Total Customers: "&amp;PC_Count,"Total Recovered: "&amp;CFG_CurrencySymbol&amp;" "&amp;TEXT(PC_TotalPaid,"#,##0"),"","Collector Signature: ____________",""))</f>
        <v/>
      </c>
      <c r="D463" s="53">
        <f>IF($N463&lt;&gt;"",INDEX(tblBilling[Full Address],$N463),CHOOSE(MIN(MAX($O463,0),7)+1,"","","","Total Billing: "&amp;CFG_CurrencySymbol&amp;" "&amp;TEXT(PC_TotalFee,"#,##0"),"Total Pending: "&amp;CFG_CurrencySymbol&amp;" "&amp;TEXT(PC_TotalBalance,"#,##0"),"","Office Verification: ____________",""))</f>
        <v/>
      </c>
      <c r="E463" s="53">
        <f>IF($N463&lt;&gt;"",INDEX(tblBilling[VLAN ID],$N463),"")</f>
        <v/>
      </c>
      <c r="F463" s="52">
        <f>IF($N463&lt;&gt;"",INDEX(tblBilling[Due Date],$N463),"")</f>
        <v/>
      </c>
      <c r="G463" s="54">
        <f>IF($N463&lt;&gt;"",INDEX(tblBilling[Monthly Fee],$N463),IF($O463=1,PC_TotalFee,""))</f>
        <v/>
      </c>
      <c r="H463" s="54">
        <f>IF($N463&lt;&gt;"",INDEX(tblBilling[Amount Paid],$N463),IF($O463=1,PC_TotalPaid,""))</f>
        <v/>
      </c>
      <c r="I463" s="54">
        <f>IF($N463&lt;&gt;"",INDEX(tblBilling[Balance],$N463),IF($O463=1,PC_TotalBalance,""))</f>
        <v/>
      </c>
      <c r="J463" s="53">
        <f>IF($N463&lt;&gt;"",INDEX(tblBilling[Payment Status],$N463),"")</f>
        <v/>
      </c>
      <c r="K463" s="55">
        <f>IF($N463&lt;&gt;"",IF(INDEX(tblBilling[Last Payment Date],$N463)="","",INDEX(tblBilling[Last Payment Date],$N463)),"")</f>
        <v/>
      </c>
      <c r="L463" s="53">
        <f>IF($N463&lt;&gt;"",INDEX(tblBilling[Collector Name],$N463),"")</f>
        <v/>
      </c>
      <c r="N463">
        <f>IF(N462="","",IFERROR(N462+MATCH(1,INDEX(tblBilling[Print Match],N462+1):INDEX(tblBilling[Print Match],ROWS(tblBilling[Print Match])),0),""))</f>
        <v/>
      </c>
      <c r="O463">
        <f>ROW()-9-MIN(PC_Count,500)</f>
        <v/>
      </c>
    </row>
    <row r="464" ht="20" customHeight="1">
      <c r="A464" s="52">
        <f>IF($N464="","",ROW()-9)</f>
        <v/>
      </c>
      <c r="B464" s="53">
        <f>IF($N464&lt;&gt;"",INDEX(tblBilling[Customer ID],$N464),"")</f>
        <v/>
      </c>
      <c r="C464" s="53">
        <f>IF($N464&lt;&gt;"",INDEX(tblBilling[Customer Name],$N464),CHOOSE(MIN(MAX($O464,0),7)+1,"","TOTAL","","Total Customers: "&amp;PC_Count,"Total Recovered: "&amp;CFG_CurrencySymbol&amp;" "&amp;TEXT(PC_TotalPaid,"#,##0"),"","Collector Signature: ____________",""))</f>
        <v/>
      </c>
      <c r="D464" s="53">
        <f>IF($N464&lt;&gt;"",INDEX(tblBilling[Full Address],$N464),CHOOSE(MIN(MAX($O464,0),7)+1,"","","","Total Billing: "&amp;CFG_CurrencySymbol&amp;" "&amp;TEXT(PC_TotalFee,"#,##0"),"Total Pending: "&amp;CFG_CurrencySymbol&amp;" "&amp;TEXT(PC_TotalBalance,"#,##0"),"","Office Verification: ____________",""))</f>
        <v/>
      </c>
      <c r="E464" s="53">
        <f>IF($N464&lt;&gt;"",INDEX(tblBilling[VLAN ID],$N464),"")</f>
        <v/>
      </c>
      <c r="F464" s="52">
        <f>IF($N464&lt;&gt;"",INDEX(tblBilling[Due Date],$N464),"")</f>
        <v/>
      </c>
      <c r="G464" s="54">
        <f>IF($N464&lt;&gt;"",INDEX(tblBilling[Monthly Fee],$N464),IF($O464=1,PC_TotalFee,""))</f>
        <v/>
      </c>
      <c r="H464" s="54">
        <f>IF($N464&lt;&gt;"",INDEX(tblBilling[Amount Paid],$N464),IF($O464=1,PC_TotalPaid,""))</f>
        <v/>
      </c>
      <c r="I464" s="54">
        <f>IF($N464&lt;&gt;"",INDEX(tblBilling[Balance],$N464),IF($O464=1,PC_TotalBalance,""))</f>
        <v/>
      </c>
      <c r="J464" s="53">
        <f>IF($N464&lt;&gt;"",INDEX(tblBilling[Payment Status],$N464),"")</f>
        <v/>
      </c>
      <c r="K464" s="55">
        <f>IF($N464&lt;&gt;"",IF(INDEX(tblBilling[Last Payment Date],$N464)="","",INDEX(tblBilling[Last Payment Date],$N464)),"")</f>
        <v/>
      </c>
      <c r="L464" s="53">
        <f>IF($N464&lt;&gt;"",INDEX(tblBilling[Collector Name],$N464),"")</f>
        <v/>
      </c>
      <c r="N464">
        <f>IF(N463="","",IFERROR(N463+MATCH(1,INDEX(tblBilling[Print Match],N463+1):INDEX(tblBilling[Print Match],ROWS(tblBilling[Print Match])),0),""))</f>
        <v/>
      </c>
      <c r="O464">
        <f>ROW()-9-MIN(PC_Count,500)</f>
        <v/>
      </c>
    </row>
    <row r="465" ht="20" customHeight="1">
      <c r="A465" s="52">
        <f>IF($N465="","",ROW()-9)</f>
        <v/>
      </c>
      <c r="B465" s="53">
        <f>IF($N465&lt;&gt;"",INDEX(tblBilling[Customer ID],$N465),"")</f>
        <v/>
      </c>
      <c r="C465" s="53">
        <f>IF($N465&lt;&gt;"",INDEX(tblBilling[Customer Name],$N465),CHOOSE(MIN(MAX($O465,0),7)+1,"","TOTAL","","Total Customers: "&amp;PC_Count,"Total Recovered: "&amp;CFG_CurrencySymbol&amp;" "&amp;TEXT(PC_TotalPaid,"#,##0"),"","Collector Signature: ____________",""))</f>
        <v/>
      </c>
      <c r="D465" s="53">
        <f>IF($N465&lt;&gt;"",INDEX(tblBilling[Full Address],$N465),CHOOSE(MIN(MAX($O465,0),7)+1,"","","","Total Billing: "&amp;CFG_CurrencySymbol&amp;" "&amp;TEXT(PC_TotalFee,"#,##0"),"Total Pending: "&amp;CFG_CurrencySymbol&amp;" "&amp;TEXT(PC_TotalBalance,"#,##0"),"","Office Verification: ____________",""))</f>
        <v/>
      </c>
      <c r="E465" s="53">
        <f>IF($N465&lt;&gt;"",INDEX(tblBilling[VLAN ID],$N465),"")</f>
        <v/>
      </c>
      <c r="F465" s="52">
        <f>IF($N465&lt;&gt;"",INDEX(tblBilling[Due Date],$N465),"")</f>
        <v/>
      </c>
      <c r="G465" s="54">
        <f>IF($N465&lt;&gt;"",INDEX(tblBilling[Monthly Fee],$N465),IF($O465=1,PC_TotalFee,""))</f>
        <v/>
      </c>
      <c r="H465" s="54">
        <f>IF($N465&lt;&gt;"",INDEX(tblBilling[Amount Paid],$N465),IF($O465=1,PC_TotalPaid,""))</f>
        <v/>
      </c>
      <c r="I465" s="54">
        <f>IF($N465&lt;&gt;"",INDEX(tblBilling[Balance],$N465),IF($O465=1,PC_TotalBalance,""))</f>
        <v/>
      </c>
      <c r="J465" s="53">
        <f>IF($N465&lt;&gt;"",INDEX(tblBilling[Payment Status],$N465),"")</f>
        <v/>
      </c>
      <c r="K465" s="55">
        <f>IF($N465&lt;&gt;"",IF(INDEX(tblBilling[Last Payment Date],$N465)="","",INDEX(tblBilling[Last Payment Date],$N465)),"")</f>
        <v/>
      </c>
      <c r="L465" s="53">
        <f>IF($N465&lt;&gt;"",INDEX(tblBilling[Collector Name],$N465),"")</f>
        <v/>
      </c>
      <c r="N465">
        <f>IF(N464="","",IFERROR(N464+MATCH(1,INDEX(tblBilling[Print Match],N464+1):INDEX(tblBilling[Print Match],ROWS(tblBilling[Print Match])),0),""))</f>
        <v/>
      </c>
      <c r="O465">
        <f>ROW()-9-MIN(PC_Count,500)</f>
        <v/>
      </c>
    </row>
    <row r="466" ht="20" customHeight="1">
      <c r="A466" s="52">
        <f>IF($N466="","",ROW()-9)</f>
        <v/>
      </c>
      <c r="B466" s="53">
        <f>IF($N466&lt;&gt;"",INDEX(tblBilling[Customer ID],$N466),"")</f>
        <v/>
      </c>
      <c r="C466" s="53">
        <f>IF($N466&lt;&gt;"",INDEX(tblBilling[Customer Name],$N466),CHOOSE(MIN(MAX($O466,0),7)+1,"","TOTAL","","Total Customers: "&amp;PC_Count,"Total Recovered: "&amp;CFG_CurrencySymbol&amp;" "&amp;TEXT(PC_TotalPaid,"#,##0"),"","Collector Signature: ____________",""))</f>
        <v/>
      </c>
      <c r="D466" s="53">
        <f>IF($N466&lt;&gt;"",INDEX(tblBilling[Full Address],$N466),CHOOSE(MIN(MAX($O466,0),7)+1,"","","","Total Billing: "&amp;CFG_CurrencySymbol&amp;" "&amp;TEXT(PC_TotalFee,"#,##0"),"Total Pending: "&amp;CFG_CurrencySymbol&amp;" "&amp;TEXT(PC_TotalBalance,"#,##0"),"","Office Verification: ____________",""))</f>
        <v/>
      </c>
      <c r="E466" s="53">
        <f>IF($N466&lt;&gt;"",INDEX(tblBilling[VLAN ID],$N466),"")</f>
        <v/>
      </c>
      <c r="F466" s="52">
        <f>IF($N466&lt;&gt;"",INDEX(tblBilling[Due Date],$N466),"")</f>
        <v/>
      </c>
      <c r="G466" s="54">
        <f>IF($N466&lt;&gt;"",INDEX(tblBilling[Monthly Fee],$N466),IF($O466=1,PC_TotalFee,""))</f>
        <v/>
      </c>
      <c r="H466" s="54">
        <f>IF($N466&lt;&gt;"",INDEX(tblBilling[Amount Paid],$N466),IF($O466=1,PC_TotalPaid,""))</f>
        <v/>
      </c>
      <c r="I466" s="54">
        <f>IF($N466&lt;&gt;"",INDEX(tblBilling[Balance],$N466),IF($O466=1,PC_TotalBalance,""))</f>
        <v/>
      </c>
      <c r="J466" s="53">
        <f>IF($N466&lt;&gt;"",INDEX(tblBilling[Payment Status],$N466),"")</f>
        <v/>
      </c>
      <c r="K466" s="55">
        <f>IF($N466&lt;&gt;"",IF(INDEX(tblBilling[Last Payment Date],$N466)="","",INDEX(tblBilling[Last Payment Date],$N466)),"")</f>
        <v/>
      </c>
      <c r="L466" s="53">
        <f>IF($N466&lt;&gt;"",INDEX(tblBilling[Collector Name],$N466),"")</f>
        <v/>
      </c>
      <c r="N466">
        <f>IF(N465="","",IFERROR(N465+MATCH(1,INDEX(tblBilling[Print Match],N465+1):INDEX(tblBilling[Print Match],ROWS(tblBilling[Print Match])),0),""))</f>
        <v/>
      </c>
      <c r="O466">
        <f>ROW()-9-MIN(PC_Count,500)</f>
        <v/>
      </c>
    </row>
    <row r="467" ht="20" customHeight="1">
      <c r="A467" s="52">
        <f>IF($N467="","",ROW()-9)</f>
        <v/>
      </c>
      <c r="B467" s="53">
        <f>IF($N467&lt;&gt;"",INDEX(tblBilling[Customer ID],$N467),"")</f>
        <v/>
      </c>
      <c r="C467" s="53">
        <f>IF($N467&lt;&gt;"",INDEX(tblBilling[Customer Name],$N467),CHOOSE(MIN(MAX($O467,0),7)+1,"","TOTAL","","Total Customers: "&amp;PC_Count,"Total Recovered: "&amp;CFG_CurrencySymbol&amp;" "&amp;TEXT(PC_TotalPaid,"#,##0"),"","Collector Signature: ____________",""))</f>
        <v/>
      </c>
      <c r="D467" s="53">
        <f>IF($N467&lt;&gt;"",INDEX(tblBilling[Full Address],$N467),CHOOSE(MIN(MAX($O467,0),7)+1,"","","","Total Billing: "&amp;CFG_CurrencySymbol&amp;" "&amp;TEXT(PC_TotalFee,"#,##0"),"Total Pending: "&amp;CFG_CurrencySymbol&amp;" "&amp;TEXT(PC_TotalBalance,"#,##0"),"","Office Verification: ____________",""))</f>
        <v/>
      </c>
      <c r="E467" s="53">
        <f>IF($N467&lt;&gt;"",INDEX(tblBilling[VLAN ID],$N467),"")</f>
        <v/>
      </c>
      <c r="F467" s="52">
        <f>IF($N467&lt;&gt;"",INDEX(tblBilling[Due Date],$N467),"")</f>
        <v/>
      </c>
      <c r="G467" s="54">
        <f>IF($N467&lt;&gt;"",INDEX(tblBilling[Monthly Fee],$N467),IF($O467=1,PC_TotalFee,""))</f>
        <v/>
      </c>
      <c r="H467" s="54">
        <f>IF($N467&lt;&gt;"",INDEX(tblBilling[Amount Paid],$N467),IF($O467=1,PC_TotalPaid,""))</f>
        <v/>
      </c>
      <c r="I467" s="54">
        <f>IF($N467&lt;&gt;"",INDEX(tblBilling[Balance],$N467),IF($O467=1,PC_TotalBalance,""))</f>
        <v/>
      </c>
      <c r="J467" s="53">
        <f>IF($N467&lt;&gt;"",INDEX(tblBilling[Payment Status],$N467),"")</f>
        <v/>
      </c>
      <c r="K467" s="55">
        <f>IF($N467&lt;&gt;"",IF(INDEX(tblBilling[Last Payment Date],$N467)="","",INDEX(tblBilling[Last Payment Date],$N467)),"")</f>
        <v/>
      </c>
      <c r="L467" s="53">
        <f>IF($N467&lt;&gt;"",INDEX(tblBilling[Collector Name],$N467),"")</f>
        <v/>
      </c>
      <c r="N467">
        <f>IF(N466="","",IFERROR(N466+MATCH(1,INDEX(tblBilling[Print Match],N466+1):INDEX(tblBilling[Print Match],ROWS(tblBilling[Print Match])),0),""))</f>
        <v/>
      </c>
      <c r="O467">
        <f>ROW()-9-MIN(PC_Count,500)</f>
        <v/>
      </c>
    </row>
    <row r="468" ht="20" customHeight="1">
      <c r="A468" s="52">
        <f>IF($N468="","",ROW()-9)</f>
        <v/>
      </c>
      <c r="B468" s="53">
        <f>IF($N468&lt;&gt;"",INDEX(tblBilling[Customer ID],$N468),"")</f>
        <v/>
      </c>
      <c r="C468" s="53">
        <f>IF($N468&lt;&gt;"",INDEX(tblBilling[Customer Name],$N468),CHOOSE(MIN(MAX($O468,0),7)+1,"","TOTAL","","Total Customers: "&amp;PC_Count,"Total Recovered: "&amp;CFG_CurrencySymbol&amp;" "&amp;TEXT(PC_TotalPaid,"#,##0"),"","Collector Signature: ____________",""))</f>
        <v/>
      </c>
      <c r="D468" s="53">
        <f>IF($N468&lt;&gt;"",INDEX(tblBilling[Full Address],$N468),CHOOSE(MIN(MAX($O468,0),7)+1,"","","","Total Billing: "&amp;CFG_CurrencySymbol&amp;" "&amp;TEXT(PC_TotalFee,"#,##0"),"Total Pending: "&amp;CFG_CurrencySymbol&amp;" "&amp;TEXT(PC_TotalBalance,"#,##0"),"","Office Verification: ____________",""))</f>
        <v/>
      </c>
      <c r="E468" s="53">
        <f>IF($N468&lt;&gt;"",INDEX(tblBilling[VLAN ID],$N468),"")</f>
        <v/>
      </c>
      <c r="F468" s="52">
        <f>IF($N468&lt;&gt;"",INDEX(tblBilling[Due Date],$N468),"")</f>
        <v/>
      </c>
      <c r="G468" s="54">
        <f>IF($N468&lt;&gt;"",INDEX(tblBilling[Monthly Fee],$N468),IF($O468=1,PC_TotalFee,""))</f>
        <v/>
      </c>
      <c r="H468" s="54">
        <f>IF($N468&lt;&gt;"",INDEX(tblBilling[Amount Paid],$N468),IF($O468=1,PC_TotalPaid,""))</f>
        <v/>
      </c>
      <c r="I468" s="54">
        <f>IF($N468&lt;&gt;"",INDEX(tblBilling[Balance],$N468),IF($O468=1,PC_TotalBalance,""))</f>
        <v/>
      </c>
      <c r="J468" s="53">
        <f>IF($N468&lt;&gt;"",INDEX(tblBilling[Payment Status],$N468),"")</f>
        <v/>
      </c>
      <c r="K468" s="55">
        <f>IF($N468&lt;&gt;"",IF(INDEX(tblBilling[Last Payment Date],$N468)="","",INDEX(tblBilling[Last Payment Date],$N468)),"")</f>
        <v/>
      </c>
      <c r="L468" s="53">
        <f>IF($N468&lt;&gt;"",INDEX(tblBilling[Collector Name],$N468),"")</f>
        <v/>
      </c>
      <c r="N468">
        <f>IF(N467="","",IFERROR(N467+MATCH(1,INDEX(tblBilling[Print Match],N467+1):INDEX(tblBilling[Print Match],ROWS(tblBilling[Print Match])),0),""))</f>
        <v/>
      </c>
      <c r="O468">
        <f>ROW()-9-MIN(PC_Count,500)</f>
        <v/>
      </c>
    </row>
    <row r="469" ht="20" customHeight="1">
      <c r="A469" s="52">
        <f>IF($N469="","",ROW()-9)</f>
        <v/>
      </c>
      <c r="B469" s="53">
        <f>IF($N469&lt;&gt;"",INDEX(tblBilling[Customer ID],$N469),"")</f>
        <v/>
      </c>
      <c r="C469" s="53">
        <f>IF($N469&lt;&gt;"",INDEX(tblBilling[Customer Name],$N469),CHOOSE(MIN(MAX($O469,0),7)+1,"","TOTAL","","Total Customers: "&amp;PC_Count,"Total Recovered: "&amp;CFG_CurrencySymbol&amp;" "&amp;TEXT(PC_TotalPaid,"#,##0"),"","Collector Signature: ____________",""))</f>
        <v/>
      </c>
      <c r="D469" s="53">
        <f>IF($N469&lt;&gt;"",INDEX(tblBilling[Full Address],$N469),CHOOSE(MIN(MAX($O469,0),7)+1,"","","","Total Billing: "&amp;CFG_CurrencySymbol&amp;" "&amp;TEXT(PC_TotalFee,"#,##0"),"Total Pending: "&amp;CFG_CurrencySymbol&amp;" "&amp;TEXT(PC_TotalBalance,"#,##0"),"","Office Verification: ____________",""))</f>
        <v/>
      </c>
      <c r="E469" s="53">
        <f>IF($N469&lt;&gt;"",INDEX(tblBilling[VLAN ID],$N469),"")</f>
        <v/>
      </c>
      <c r="F469" s="52">
        <f>IF($N469&lt;&gt;"",INDEX(tblBilling[Due Date],$N469),"")</f>
        <v/>
      </c>
      <c r="G469" s="54">
        <f>IF($N469&lt;&gt;"",INDEX(tblBilling[Monthly Fee],$N469),IF($O469=1,PC_TotalFee,""))</f>
        <v/>
      </c>
      <c r="H469" s="54">
        <f>IF($N469&lt;&gt;"",INDEX(tblBilling[Amount Paid],$N469),IF($O469=1,PC_TotalPaid,""))</f>
        <v/>
      </c>
      <c r="I469" s="54">
        <f>IF($N469&lt;&gt;"",INDEX(tblBilling[Balance],$N469),IF($O469=1,PC_TotalBalance,""))</f>
        <v/>
      </c>
      <c r="J469" s="53">
        <f>IF($N469&lt;&gt;"",INDEX(tblBilling[Payment Status],$N469),"")</f>
        <v/>
      </c>
      <c r="K469" s="55">
        <f>IF($N469&lt;&gt;"",IF(INDEX(tblBilling[Last Payment Date],$N469)="","",INDEX(tblBilling[Last Payment Date],$N469)),"")</f>
        <v/>
      </c>
      <c r="L469" s="53">
        <f>IF($N469&lt;&gt;"",INDEX(tblBilling[Collector Name],$N469),"")</f>
        <v/>
      </c>
      <c r="N469">
        <f>IF(N468="","",IFERROR(N468+MATCH(1,INDEX(tblBilling[Print Match],N468+1):INDEX(tblBilling[Print Match],ROWS(tblBilling[Print Match])),0),""))</f>
        <v/>
      </c>
      <c r="O469">
        <f>ROW()-9-MIN(PC_Count,500)</f>
        <v/>
      </c>
    </row>
    <row r="470" ht="20" customHeight="1">
      <c r="A470" s="52">
        <f>IF($N470="","",ROW()-9)</f>
        <v/>
      </c>
      <c r="B470" s="53">
        <f>IF($N470&lt;&gt;"",INDEX(tblBilling[Customer ID],$N470),"")</f>
        <v/>
      </c>
      <c r="C470" s="53">
        <f>IF($N470&lt;&gt;"",INDEX(tblBilling[Customer Name],$N470),CHOOSE(MIN(MAX($O470,0),7)+1,"","TOTAL","","Total Customers: "&amp;PC_Count,"Total Recovered: "&amp;CFG_CurrencySymbol&amp;" "&amp;TEXT(PC_TotalPaid,"#,##0"),"","Collector Signature: ____________",""))</f>
        <v/>
      </c>
      <c r="D470" s="53">
        <f>IF($N470&lt;&gt;"",INDEX(tblBilling[Full Address],$N470),CHOOSE(MIN(MAX($O470,0),7)+1,"","","","Total Billing: "&amp;CFG_CurrencySymbol&amp;" "&amp;TEXT(PC_TotalFee,"#,##0"),"Total Pending: "&amp;CFG_CurrencySymbol&amp;" "&amp;TEXT(PC_TotalBalance,"#,##0"),"","Office Verification: ____________",""))</f>
        <v/>
      </c>
      <c r="E470" s="53">
        <f>IF($N470&lt;&gt;"",INDEX(tblBilling[VLAN ID],$N470),"")</f>
        <v/>
      </c>
      <c r="F470" s="52">
        <f>IF($N470&lt;&gt;"",INDEX(tblBilling[Due Date],$N470),"")</f>
        <v/>
      </c>
      <c r="G470" s="54">
        <f>IF($N470&lt;&gt;"",INDEX(tblBilling[Monthly Fee],$N470),IF($O470=1,PC_TotalFee,""))</f>
        <v/>
      </c>
      <c r="H470" s="54">
        <f>IF($N470&lt;&gt;"",INDEX(tblBilling[Amount Paid],$N470),IF($O470=1,PC_TotalPaid,""))</f>
        <v/>
      </c>
      <c r="I470" s="54">
        <f>IF($N470&lt;&gt;"",INDEX(tblBilling[Balance],$N470),IF($O470=1,PC_TotalBalance,""))</f>
        <v/>
      </c>
      <c r="J470" s="53">
        <f>IF($N470&lt;&gt;"",INDEX(tblBilling[Payment Status],$N470),"")</f>
        <v/>
      </c>
      <c r="K470" s="55">
        <f>IF($N470&lt;&gt;"",IF(INDEX(tblBilling[Last Payment Date],$N470)="","",INDEX(tblBilling[Last Payment Date],$N470)),"")</f>
        <v/>
      </c>
      <c r="L470" s="53">
        <f>IF($N470&lt;&gt;"",INDEX(tblBilling[Collector Name],$N470),"")</f>
        <v/>
      </c>
      <c r="N470">
        <f>IF(N469="","",IFERROR(N469+MATCH(1,INDEX(tblBilling[Print Match],N469+1):INDEX(tblBilling[Print Match],ROWS(tblBilling[Print Match])),0),""))</f>
        <v/>
      </c>
      <c r="O470">
        <f>ROW()-9-MIN(PC_Count,500)</f>
        <v/>
      </c>
    </row>
    <row r="471" ht="20" customHeight="1">
      <c r="A471" s="52">
        <f>IF($N471="","",ROW()-9)</f>
        <v/>
      </c>
      <c r="B471" s="53">
        <f>IF($N471&lt;&gt;"",INDEX(tblBilling[Customer ID],$N471),"")</f>
        <v/>
      </c>
      <c r="C471" s="53">
        <f>IF($N471&lt;&gt;"",INDEX(tblBilling[Customer Name],$N471),CHOOSE(MIN(MAX($O471,0),7)+1,"","TOTAL","","Total Customers: "&amp;PC_Count,"Total Recovered: "&amp;CFG_CurrencySymbol&amp;" "&amp;TEXT(PC_TotalPaid,"#,##0"),"","Collector Signature: ____________",""))</f>
        <v/>
      </c>
      <c r="D471" s="53">
        <f>IF($N471&lt;&gt;"",INDEX(tblBilling[Full Address],$N471),CHOOSE(MIN(MAX($O471,0),7)+1,"","","","Total Billing: "&amp;CFG_CurrencySymbol&amp;" "&amp;TEXT(PC_TotalFee,"#,##0"),"Total Pending: "&amp;CFG_CurrencySymbol&amp;" "&amp;TEXT(PC_TotalBalance,"#,##0"),"","Office Verification: ____________",""))</f>
        <v/>
      </c>
      <c r="E471" s="53">
        <f>IF($N471&lt;&gt;"",INDEX(tblBilling[VLAN ID],$N471),"")</f>
        <v/>
      </c>
      <c r="F471" s="52">
        <f>IF($N471&lt;&gt;"",INDEX(tblBilling[Due Date],$N471),"")</f>
        <v/>
      </c>
      <c r="G471" s="54">
        <f>IF($N471&lt;&gt;"",INDEX(tblBilling[Monthly Fee],$N471),IF($O471=1,PC_TotalFee,""))</f>
        <v/>
      </c>
      <c r="H471" s="54">
        <f>IF($N471&lt;&gt;"",INDEX(tblBilling[Amount Paid],$N471),IF($O471=1,PC_TotalPaid,""))</f>
        <v/>
      </c>
      <c r="I471" s="54">
        <f>IF($N471&lt;&gt;"",INDEX(tblBilling[Balance],$N471),IF($O471=1,PC_TotalBalance,""))</f>
        <v/>
      </c>
      <c r="J471" s="53">
        <f>IF($N471&lt;&gt;"",INDEX(tblBilling[Payment Status],$N471),"")</f>
        <v/>
      </c>
      <c r="K471" s="55">
        <f>IF($N471&lt;&gt;"",IF(INDEX(tblBilling[Last Payment Date],$N471)="","",INDEX(tblBilling[Last Payment Date],$N471)),"")</f>
        <v/>
      </c>
      <c r="L471" s="53">
        <f>IF($N471&lt;&gt;"",INDEX(tblBilling[Collector Name],$N471),"")</f>
        <v/>
      </c>
      <c r="N471">
        <f>IF(N470="","",IFERROR(N470+MATCH(1,INDEX(tblBilling[Print Match],N470+1):INDEX(tblBilling[Print Match],ROWS(tblBilling[Print Match])),0),""))</f>
        <v/>
      </c>
      <c r="O471">
        <f>ROW()-9-MIN(PC_Count,500)</f>
        <v/>
      </c>
    </row>
    <row r="472" ht="20" customHeight="1">
      <c r="A472" s="52">
        <f>IF($N472="","",ROW()-9)</f>
        <v/>
      </c>
      <c r="B472" s="53">
        <f>IF($N472&lt;&gt;"",INDEX(tblBilling[Customer ID],$N472),"")</f>
        <v/>
      </c>
      <c r="C472" s="53">
        <f>IF($N472&lt;&gt;"",INDEX(tblBilling[Customer Name],$N472),CHOOSE(MIN(MAX($O472,0),7)+1,"","TOTAL","","Total Customers: "&amp;PC_Count,"Total Recovered: "&amp;CFG_CurrencySymbol&amp;" "&amp;TEXT(PC_TotalPaid,"#,##0"),"","Collector Signature: ____________",""))</f>
        <v/>
      </c>
      <c r="D472" s="53">
        <f>IF($N472&lt;&gt;"",INDEX(tblBilling[Full Address],$N472),CHOOSE(MIN(MAX($O472,0),7)+1,"","","","Total Billing: "&amp;CFG_CurrencySymbol&amp;" "&amp;TEXT(PC_TotalFee,"#,##0"),"Total Pending: "&amp;CFG_CurrencySymbol&amp;" "&amp;TEXT(PC_TotalBalance,"#,##0"),"","Office Verification: ____________",""))</f>
        <v/>
      </c>
      <c r="E472" s="53">
        <f>IF($N472&lt;&gt;"",INDEX(tblBilling[VLAN ID],$N472),"")</f>
        <v/>
      </c>
      <c r="F472" s="52">
        <f>IF($N472&lt;&gt;"",INDEX(tblBilling[Due Date],$N472),"")</f>
        <v/>
      </c>
      <c r="G472" s="54">
        <f>IF($N472&lt;&gt;"",INDEX(tblBilling[Monthly Fee],$N472),IF($O472=1,PC_TotalFee,""))</f>
        <v/>
      </c>
      <c r="H472" s="54">
        <f>IF($N472&lt;&gt;"",INDEX(tblBilling[Amount Paid],$N472),IF($O472=1,PC_TotalPaid,""))</f>
        <v/>
      </c>
      <c r="I472" s="54">
        <f>IF($N472&lt;&gt;"",INDEX(tblBilling[Balance],$N472),IF($O472=1,PC_TotalBalance,""))</f>
        <v/>
      </c>
      <c r="J472" s="53">
        <f>IF($N472&lt;&gt;"",INDEX(tblBilling[Payment Status],$N472),"")</f>
        <v/>
      </c>
      <c r="K472" s="55">
        <f>IF($N472&lt;&gt;"",IF(INDEX(tblBilling[Last Payment Date],$N472)="","",INDEX(tblBilling[Last Payment Date],$N472)),"")</f>
        <v/>
      </c>
      <c r="L472" s="53">
        <f>IF($N472&lt;&gt;"",INDEX(tblBilling[Collector Name],$N472),"")</f>
        <v/>
      </c>
      <c r="N472">
        <f>IF(N471="","",IFERROR(N471+MATCH(1,INDEX(tblBilling[Print Match],N471+1):INDEX(tblBilling[Print Match],ROWS(tblBilling[Print Match])),0),""))</f>
        <v/>
      </c>
      <c r="O472">
        <f>ROW()-9-MIN(PC_Count,500)</f>
        <v/>
      </c>
    </row>
    <row r="473" ht="20" customHeight="1">
      <c r="A473" s="52">
        <f>IF($N473="","",ROW()-9)</f>
        <v/>
      </c>
      <c r="B473" s="53">
        <f>IF($N473&lt;&gt;"",INDEX(tblBilling[Customer ID],$N473),"")</f>
        <v/>
      </c>
      <c r="C473" s="53">
        <f>IF($N473&lt;&gt;"",INDEX(tblBilling[Customer Name],$N473),CHOOSE(MIN(MAX($O473,0),7)+1,"","TOTAL","","Total Customers: "&amp;PC_Count,"Total Recovered: "&amp;CFG_CurrencySymbol&amp;" "&amp;TEXT(PC_TotalPaid,"#,##0"),"","Collector Signature: ____________",""))</f>
        <v/>
      </c>
      <c r="D473" s="53">
        <f>IF($N473&lt;&gt;"",INDEX(tblBilling[Full Address],$N473),CHOOSE(MIN(MAX($O473,0),7)+1,"","","","Total Billing: "&amp;CFG_CurrencySymbol&amp;" "&amp;TEXT(PC_TotalFee,"#,##0"),"Total Pending: "&amp;CFG_CurrencySymbol&amp;" "&amp;TEXT(PC_TotalBalance,"#,##0"),"","Office Verification: ____________",""))</f>
        <v/>
      </c>
      <c r="E473" s="53">
        <f>IF($N473&lt;&gt;"",INDEX(tblBilling[VLAN ID],$N473),"")</f>
        <v/>
      </c>
      <c r="F473" s="52">
        <f>IF($N473&lt;&gt;"",INDEX(tblBilling[Due Date],$N473),"")</f>
        <v/>
      </c>
      <c r="G473" s="54">
        <f>IF($N473&lt;&gt;"",INDEX(tblBilling[Monthly Fee],$N473),IF($O473=1,PC_TotalFee,""))</f>
        <v/>
      </c>
      <c r="H473" s="54">
        <f>IF($N473&lt;&gt;"",INDEX(tblBilling[Amount Paid],$N473),IF($O473=1,PC_TotalPaid,""))</f>
        <v/>
      </c>
      <c r="I473" s="54">
        <f>IF($N473&lt;&gt;"",INDEX(tblBilling[Balance],$N473),IF($O473=1,PC_TotalBalance,""))</f>
        <v/>
      </c>
      <c r="J473" s="53">
        <f>IF($N473&lt;&gt;"",INDEX(tblBilling[Payment Status],$N473),"")</f>
        <v/>
      </c>
      <c r="K473" s="55">
        <f>IF($N473&lt;&gt;"",IF(INDEX(tblBilling[Last Payment Date],$N473)="","",INDEX(tblBilling[Last Payment Date],$N473)),"")</f>
        <v/>
      </c>
      <c r="L473" s="53">
        <f>IF($N473&lt;&gt;"",INDEX(tblBilling[Collector Name],$N473),"")</f>
        <v/>
      </c>
      <c r="N473">
        <f>IF(N472="","",IFERROR(N472+MATCH(1,INDEX(tblBilling[Print Match],N472+1):INDEX(tblBilling[Print Match],ROWS(tblBilling[Print Match])),0),""))</f>
        <v/>
      </c>
      <c r="O473">
        <f>ROW()-9-MIN(PC_Count,500)</f>
        <v/>
      </c>
    </row>
    <row r="474" ht="20" customHeight="1">
      <c r="A474" s="52">
        <f>IF($N474="","",ROW()-9)</f>
        <v/>
      </c>
      <c r="B474" s="53">
        <f>IF($N474&lt;&gt;"",INDEX(tblBilling[Customer ID],$N474),"")</f>
        <v/>
      </c>
      <c r="C474" s="53">
        <f>IF($N474&lt;&gt;"",INDEX(tblBilling[Customer Name],$N474),CHOOSE(MIN(MAX($O474,0),7)+1,"","TOTAL","","Total Customers: "&amp;PC_Count,"Total Recovered: "&amp;CFG_CurrencySymbol&amp;" "&amp;TEXT(PC_TotalPaid,"#,##0"),"","Collector Signature: ____________",""))</f>
        <v/>
      </c>
      <c r="D474" s="53">
        <f>IF($N474&lt;&gt;"",INDEX(tblBilling[Full Address],$N474),CHOOSE(MIN(MAX($O474,0),7)+1,"","","","Total Billing: "&amp;CFG_CurrencySymbol&amp;" "&amp;TEXT(PC_TotalFee,"#,##0"),"Total Pending: "&amp;CFG_CurrencySymbol&amp;" "&amp;TEXT(PC_TotalBalance,"#,##0"),"","Office Verification: ____________",""))</f>
        <v/>
      </c>
      <c r="E474" s="53">
        <f>IF($N474&lt;&gt;"",INDEX(tblBilling[VLAN ID],$N474),"")</f>
        <v/>
      </c>
      <c r="F474" s="52">
        <f>IF($N474&lt;&gt;"",INDEX(tblBilling[Due Date],$N474),"")</f>
        <v/>
      </c>
      <c r="G474" s="54">
        <f>IF($N474&lt;&gt;"",INDEX(tblBilling[Monthly Fee],$N474),IF($O474=1,PC_TotalFee,""))</f>
        <v/>
      </c>
      <c r="H474" s="54">
        <f>IF($N474&lt;&gt;"",INDEX(tblBilling[Amount Paid],$N474),IF($O474=1,PC_TotalPaid,""))</f>
        <v/>
      </c>
      <c r="I474" s="54">
        <f>IF($N474&lt;&gt;"",INDEX(tblBilling[Balance],$N474),IF($O474=1,PC_TotalBalance,""))</f>
        <v/>
      </c>
      <c r="J474" s="53">
        <f>IF($N474&lt;&gt;"",INDEX(tblBilling[Payment Status],$N474),"")</f>
        <v/>
      </c>
      <c r="K474" s="55">
        <f>IF($N474&lt;&gt;"",IF(INDEX(tblBilling[Last Payment Date],$N474)="","",INDEX(tblBilling[Last Payment Date],$N474)),"")</f>
        <v/>
      </c>
      <c r="L474" s="53">
        <f>IF($N474&lt;&gt;"",INDEX(tblBilling[Collector Name],$N474),"")</f>
        <v/>
      </c>
      <c r="N474">
        <f>IF(N473="","",IFERROR(N473+MATCH(1,INDEX(tblBilling[Print Match],N473+1):INDEX(tblBilling[Print Match],ROWS(tblBilling[Print Match])),0),""))</f>
        <v/>
      </c>
      <c r="O474">
        <f>ROW()-9-MIN(PC_Count,500)</f>
        <v/>
      </c>
    </row>
    <row r="475" ht="20" customHeight="1">
      <c r="A475" s="52">
        <f>IF($N475="","",ROW()-9)</f>
        <v/>
      </c>
      <c r="B475" s="53">
        <f>IF($N475&lt;&gt;"",INDEX(tblBilling[Customer ID],$N475),"")</f>
        <v/>
      </c>
      <c r="C475" s="53">
        <f>IF($N475&lt;&gt;"",INDEX(tblBilling[Customer Name],$N475),CHOOSE(MIN(MAX($O475,0),7)+1,"","TOTAL","","Total Customers: "&amp;PC_Count,"Total Recovered: "&amp;CFG_CurrencySymbol&amp;" "&amp;TEXT(PC_TotalPaid,"#,##0"),"","Collector Signature: ____________",""))</f>
        <v/>
      </c>
      <c r="D475" s="53">
        <f>IF($N475&lt;&gt;"",INDEX(tblBilling[Full Address],$N475),CHOOSE(MIN(MAX($O475,0),7)+1,"","","","Total Billing: "&amp;CFG_CurrencySymbol&amp;" "&amp;TEXT(PC_TotalFee,"#,##0"),"Total Pending: "&amp;CFG_CurrencySymbol&amp;" "&amp;TEXT(PC_TotalBalance,"#,##0"),"","Office Verification: ____________",""))</f>
        <v/>
      </c>
      <c r="E475" s="53">
        <f>IF($N475&lt;&gt;"",INDEX(tblBilling[VLAN ID],$N475),"")</f>
        <v/>
      </c>
      <c r="F475" s="52">
        <f>IF($N475&lt;&gt;"",INDEX(tblBilling[Due Date],$N475),"")</f>
        <v/>
      </c>
      <c r="G475" s="54">
        <f>IF($N475&lt;&gt;"",INDEX(tblBilling[Monthly Fee],$N475),IF($O475=1,PC_TotalFee,""))</f>
        <v/>
      </c>
      <c r="H475" s="54">
        <f>IF($N475&lt;&gt;"",INDEX(tblBilling[Amount Paid],$N475),IF($O475=1,PC_TotalPaid,""))</f>
        <v/>
      </c>
      <c r="I475" s="54">
        <f>IF($N475&lt;&gt;"",INDEX(tblBilling[Balance],$N475),IF($O475=1,PC_TotalBalance,""))</f>
        <v/>
      </c>
      <c r="J475" s="53">
        <f>IF($N475&lt;&gt;"",INDEX(tblBilling[Payment Status],$N475),"")</f>
        <v/>
      </c>
      <c r="K475" s="55">
        <f>IF($N475&lt;&gt;"",IF(INDEX(tblBilling[Last Payment Date],$N475)="","",INDEX(tblBilling[Last Payment Date],$N475)),"")</f>
        <v/>
      </c>
      <c r="L475" s="53">
        <f>IF($N475&lt;&gt;"",INDEX(tblBilling[Collector Name],$N475),"")</f>
        <v/>
      </c>
      <c r="N475">
        <f>IF(N474="","",IFERROR(N474+MATCH(1,INDEX(tblBilling[Print Match],N474+1):INDEX(tblBilling[Print Match],ROWS(tblBilling[Print Match])),0),""))</f>
        <v/>
      </c>
      <c r="O475">
        <f>ROW()-9-MIN(PC_Count,500)</f>
        <v/>
      </c>
    </row>
    <row r="476" ht="20" customHeight="1">
      <c r="A476" s="52">
        <f>IF($N476="","",ROW()-9)</f>
        <v/>
      </c>
      <c r="B476" s="53">
        <f>IF($N476&lt;&gt;"",INDEX(tblBilling[Customer ID],$N476),"")</f>
        <v/>
      </c>
      <c r="C476" s="53">
        <f>IF($N476&lt;&gt;"",INDEX(tblBilling[Customer Name],$N476),CHOOSE(MIN(MAX($O476,0),7)+1,"","TOTAL","","Total Customers: "&amp;PC_Count,"Total Recovered: "&amp;CFG_CurrencySymbol&amp;" "&amp;TEXT(PC_TotalPaid,"#,##0"),"","Collector Signature: ____________",""))</f>
        <v/>
      </c>
      <c r="D476" s="53">
        <f>IF($N476&lt;&gt;"",INDEX(tblBilling[Full Address],$N476),CHOOSE(MIN(MAX($O476,0),7)+1,"","","","Total Billing: "&amp;CFG_CurrencySymbol&amp;" "&amp;TEXT(PC_TotalFee,"#,##0"),"Total Pending: "&amp;CFG_CurrencySymbol&amp;" "&amp;TEXT(PC_TotalBalance,"#,##0"),"","Office Verification: ____________",""))</f>
        <v/>
      </c>
      <c r="E476" s="53">
        <f>IF($N476&lt;&gt;"",INDEX(tblBilling[VLAN ID],$N476),"")</f>
        <v/>
      </c>
      <c r="F476" s="52">
        <f>IF($N476&lt;&gt;"",INDEX(tblBilling[Due Date],$N476),"")</f>
        <v/>
      </c>
      <c r="G476" s="54">
        <f>IF($N476&lt;&gt;"",INDEX(tblBilling[Monthly Fee],$N476),IF($O476=1,PC_TotalFee,""))</f>
        <v/>
      </c>
      <c r="H476" s="54">
        <f>IF($N476&lt;&gt;"",INDEX(tblBilling[Amount Paid],$N476),IF($O476=1,PC_TotalPaid,""))</f>
        <v/>
      </c>
      <c r="I476" s="54">
        <f>IF($N476&lt;&gt;"",INDEX(tblBilling[Balance],$N476),IF($O476=1,PC_TotalBalance,""))</f>
        <v/>
      </c>
      <c r="J476" s="53">
        <f>IF($N476&lt;&gt;"",INDEX(tblBilling[Payment Status],$N476),"")</f>
        <v/>
      </c>
      <c r="K476" s="55">
        <f>IF($N476&lt;&gt;"",IF(INDEX(tblBilling[Last Payment Date],$N476)="","",INDEX(tblBilling[Last Payment Date],$N476)),"")</f>
        <v/>
      </c>
      <c r="L476" s="53">
        <f>IF($N476&lt;&gt;"",INDEX(tblBilling[Collector Name],$N476),"")</f>
        <v/>
      </c>
      <c r="N476">
        <f>IF(N475="","",IFERROR(N475+MATCH(1,INDEX(tblBilling[Print Match],N475+1):INDEX(tblBilling[Print Match],ROWS(tblBilling[Print Match])),0),""))</f>
        <v/>
      </c>
      <c r="O476">
        <f>ROW()-9-MIN(PC_Count,500)</f>
        <v/>
      </c>
    </row>
    <row r="477" ht="20" customHeight="1">
      <c r="A477" s="52">
        <f>IF($N477="","",ROW()-9)</f>
        <v/>
      </c>
      <c r="B477" s="53">
        <f>IF($N477&lt;&gt;"",INDEX(tblBilling[Customer ID],$N477),"")</f>
        <v/>
      </c>
      <c r="C477" s="53">
        <f>IF($N477&lt;&gt;"",INDEX(tblBilling[Customer Name],$N477),CHOOSE(MIN(MAX($O477,0),7)+1,"","TOTAL","","Total Customers: "&amp;PC_Count,"Total Recovered: "&amp;CFG_CurrencySymbol&amp;" "&amp;TEXT(PC_TotalPaid,"#,##0"),"","Collector Signature: ____________",""))</f>
        <v/>
      </c>
      <c r="D477" s="53">
        <f>IF($N477&lt;&gt;"",INDEX(tblBilling[Full Address],$N477),CHOOSE(MIN(MAX($O477,0),7)+1,"","","","Total Billing: "&amp;CFG_CurrencySymbol&amp;" "&amp;TEXT(PC_TotalFee,"#,##0"),"Total Pending: "&amp;CFG_CurrencySymbol&amp;" "&amp;TEXT(PC_TotalBalance,"#,##0"),"","Office Verification: ____________",""))</f>
        <v/>
      </c>
      <c r="E477" s="53">
        <f>IF($N477&lt;&gt;"",INDEX(tblBilling[VLAN ID],$N477),"")</f>
        <v/>
      </c>
      <c r="F477" s="52">
        <f>IF($N477&lt;&gt;"",INDEX(tblBilling[Due Date],$N477),"")</f>
        <v/>
      </c>
      <c r="G477" s="54">
        <f>IF($N477&lt;&gt;"",INDEX(tblBilling[Monthly Fee],$N477),IF($O477=1,PC_TotalFee,""))</f>
        <v/>
      </c>
      <c r="H477" s="54">
        <f>IF($N477&lt;&gt;"",INDEX(tblBilling[Amount Paid],$N477),IF($O477=1,PC_TotalPaid,""))</f>
        <v/>
      </c>
      <c r="I477" s="54">
        <f>IF($N477&lt;&gt;"",INDEX(tblBilling[Balance],$N477),IF($O477=1,PC_TotalBalance,""))</f>
        <v/>
      </c>
      <c r="J477" s="53">
        <f>IF($N477&lt;&gt;"",INDEX(tblBilling[Payment Status],$N477),"")</f>
        <v/>
      </c>
      <c r="K477" s="55">
        <f>IF($N477&lt;&gt;"",IF(INDEX(tblBilling[Last Payment Date],$N477)="","",INDEX(tblBilling[Last Payment Date],$N477)),"")</f>
        <v/>
      </c>
      <c r="L477" s="53">
        <f>IF($N477&lt;&gt;"",INDEX(tblBilling[Collector Name],$N477),"")</f>
        <v/>
      </c>
      <c r="N477">
        <f>IF(N476="","",IFERROR(N476+MATCH(1,INDEX(tblBilling[Print Match],N476+1):INDEX(tblBilling[Print Match],ROWS(tblBilling[Print Match])),0),""))</f>
        <v/>
      </c>
      <c r="O477">
        <f>ROW()-9-MIN(PC_Count,500)</f>
        <v/>
      </c>
    </row>
    <row r="478" ht="20" customHeight="1">
      <c r="A478" s="52">
        <f>IF($N478="","",ROW()-9)</f>
        <v/>
      </c>
      <c r="B478" s="53">
        <f>IF($N478&lt;&gt;"",INDEX(tblBilling[Customer ID],$N478),"")</f>
        <v/>
      </c>
      <c r="C478" s="53">
        <f>IF($N478&lt;&gt;"",INDEX(tblBilling[Customer Name],$N478),CHOOSE(MIN(MAX($O478,0),7)+1,"","TOTAL","","Total Customers: "&amp;PC_Count,"Total Recovered: "&amp;CFG_CurrencySymbol&amp;" "&amp;TEXT(PC_TotalPaid,"#,##0"),"","Collector Signature: ____________",""))</f>
        <v/>
      </c>
      <c r="D478" s="53">
        <f>IF($N478&lt;&gt;"",INDEX(tblBilling[Full Address],$N478),CHOOSE(MIN(MAX($O478,0),7)+1,"","","","Total Billing: "&amp;CFG_CurrencySymbol&amp;" "&amp;TEXT(PC_TotalFee,"#,##0"),"Total Pending: "&amp;CFG_CurrencySymbol&amp;" "&amp;TEXT(PC_TotalBalance,"#,##0"),"","Office Verification: ____________",""))</f>
        <v/>
      </c>
      <c r="E478" s="53">
        <f>IF($N478&lt;&gt;"",INDEX(tblBilling[VLAN ID],$N478),"")</f>
        <v/>
      </c>
      <c r="F478" s="52">
        <f>IF($N478&lt;&gt;"",INDEX(tblBilling[Due Date],$N478),"")</f>
        <v/>
      </c>
      <c r="G478" s="54">
        <f>IF($N478&lt;&gt;"",INDEX(tblBilling[Monthly Fee],$N478),IF($O478=1,PC_TotalFee,""))</f>
        <v/>
      </c>
      <c r="H478" s="54">
        <f>IF($N478&lt;&gt;"",INDEX(tblBilling[Amount Paid],$N478),IF($O478=1,PC_TotalPaid,""))</f>
        <v/>
      </c>
      <c r="I478" s="54">
        <f>IF($N478&lt;&gt;"",INDEX(tblBilling[Balance],$N478),IF($O478=1,PC_TotalBalance,""))</f>
        <v/>
      </c>
      <c r="J478" s="53">
        <f>IF($N478&lt;&gt;"",INDEX(tblBilling[Payment Status],$N478),"")</f>
        <v/>
      </c>
      <c r="K478" s="55">
        <f>IF($N478&lt;&gt;"",IF(INDEX(tblBilling[Last Payment Date],$N478)="","",INDEX(tblBilling[Last Payment Date],$N478)),"")</f>
        <v/>
      </c>
      <c r="L478" s="53">
        <f>IF($N478&lt;&gt;"",INDEX(tblBilling[Collector Name],$N478),"")</f>
        <v/>
      </c>
      <c r="N478">
        <f>IF(N477="","",IFERROR(N477+MATCH(1,INDEX(tblBilling[Print Match],N477+1):INDEX(tblBilling[Print Match],ROWS(tblBilling[Print Match])),0),""))</f>
        <v/>
      </c>
      <c r="O478">
        <f>ROW()-9-MIN(PC_Count,500)</f>
        <v/>
      </c>
    </row>
    <row r="479" ht="20" customHeight="1">
      <c r="A479" s="52">
        <f>IF($N479="","",ROW()-9)</f>
        <v/>
      </c>
      <c r="B479" s="53">
        <f>IF($N479&lt;&gt;"",INDEX(tblBilling[Customer ID],$N479),"")</f>
        <v/>
      </c>
      <c r="C479" s="53">
        <f>IF($N479&lt;&gt;"",INDEX(tblBilling[Customer Name],$N479),CHOOSE(MIN(MAX($O479,0),7)+1,"","TOTAL","","Total Customers: "&amp;PC_Count,"Total Recovered: "&amp;CFG_CurrencySymbol&amp;" "&amp;TEXT(PC_TotalPaid,"#,##0"),"","Collector Signature: ____________",""))</f>
        <v/>
      </c>
      <c r="D479" s="53">
        <f>IF($N479&lt;&gt;"",INDEX(tblBilling[Full Address],$N479),CHOOSE(MIN(MAX($O479,0),7)+1,"","","","Total Billing: "&amp;CFG_CurrencySymbol&amp;" "&amp;TEXT(PC_TotalFee,"#,##0"),"Total Pending: "&amp;CFG_CurrencySymbol&amp;" "&amp;TEXT(PC_TotalBalance,"#,##0"),"","Office Verification: ____________",""))</f>
        <v/>
      </c>
      <c r="E479" s="53">
        <f>IF($N479&lt;&gt;"",INDEX(tblBilling[VLAN ID],$N479),"")</f>
        <v/>
      </c>
      <c r="F479" s="52">
        <f>IF($N479&lt;&gt;"",INDEX(tblBilling[Due Date],$N479),"")</f>
        <v/>
      </c>
      <c r="G479" s="54">
        <f>IF($N479&lt;&gt;"",INDEX(tblBilling[Monthly Fee],$N479),IF($O479=1,PC_TotalFee,""))</f>
        <v/>
      </c>
      <c r="H479" s="54">
        <f>IF($N479&lt;&gt;"",INDEX(tblBilling[Amount Paid],$N479),IF($O479=1,PC_TotalPaid,""))</f>
        <v/>
      </c>
      <c r="I479" s="54">
        <f>IF($N479&lt;&gt;"",INDEX(tblBilling[Balance],$N479),IF($O479=1,PC_TotalBalance,""))</f>
        <v/>
      </c>
      <c r="J479" s="53">
        <f>IF($N479&lt;&gt;"",INDEX(tblBilling[Payment Status],$N479),"")</f>
        <v/>
      </c>
      <c r="K479" s="55">
        <f>IF($N479&lt;&gt;"",IF(INDEX(tblBilling[Last Payment Date],$N479)="","",INDEX(tblBilling[Last Payment Date],$N479)),"")</f>
        <v/>
      </c>
      <c r="L479" s="53">
        <f>IF($N479&lt;&gt;"",INDEX(tblBilling[Collector Name],$N479),"")</f>
        <v/>
      </c>
      <c r="N479">
        <f>IF(N478="","",IFERROR(N478+MATCH(1,INDEX(tblBilling[Print Match],N478+1):INDEX(tblBilling[Print Match],ROWS(tblBilling[Print Match])),0),""))</f>
        <v/>
      </c>
      <c r="O479">
        <f>ROW()-9-MIN(PC_Count,500)</f>
        <v/>
      </c>
    </row>
    <row r="480" ht="20" customHeight="1">
      <c r="A480" s="52">
        <f>IF($N480="","",ROW()-9)</f>
        <v/>
      </c>
      <c r="B480" s="53">
        <f>IF($N480&lt;&gt;"",INDEX(tblBilling[Customer ID],$N480),"")</f>
        <v/>
      </c>
      <c r="C480" s="53">
        <f>IF($N480&lt;&gt;"",INDEX(tblBilling[Customer Name],$N480),CHOOSE(MIN(MAX($O480,0),7)+1,"","TOTAL","","Total Customers: "&amp;PC_Count,"Total Recovered: "&amp;CFG_CurrencySymbol&amp;" "&amp;TEXT(PC_TotalPaid,"#,##0"),"","Collector Signature: ____________",""))</f>
        <v/>
      </c>
      <c r="D480" s="53">
        <f>IF($N480&lt;&gt;"",INDEX(tblBilling[Full Address],$N480),CHOOSE(MIN(MAX($O480,0),7)+1,"","","","Total Billing: "&amp;CFG_CurrencySymbol&amp;" "&amp;TEXT(PC_TotalFee,"#,##0"),"Total Pending: "&amp;CFG_CurrencySymbol&amp;" "&amp;TEXT(PC_TotalBalance,"#,##0"),"","Office Verification: ____________",""))</f>
        <v/>
      </c>
      <c r="E480" s="53">
        <f>IF($N480&lt;&gt;"",INDEX(tblBilling[VLAN ID],$N480),"")</f>
        <v/>
      </c>
      <c r="F480" s="52">
        <f>IF($N480&lt;&gt;"",INDEX(tblBilling[Due Date],$N480),"")</f>
        <v/>
      </c>
      <c r="G480" s="54">
        <f>IF($N480&lt;&gt;"",INDEX(tblBilling[Monthly Fee],$N480),IF($O480=1,PC_TotalFee,""))</f>
        <v/>
      </c>
      <c r="H480" s="54">
        <f>IF($N480&lt;&gt;"",INDEX(tblBilling[Amount Paid],$N480),IF($O480=1,PC_TotalPaid,""))</f>
        <v/>
      </c>
      <c r="I480" s="54">
        <f>IF($N480&lt;&gt;"",INDEX(tblBilling[Balance],$N480),IF($O480=1,PC_TotalBalance,""))</f>
        <v/>
      </c>
      <c r="J480" s="53">
        <f>IF($N480&lt;&gt;"",INDEX(tblBilling[Payment Status],$N480),"")</f>
        <v/>
      </c>
      <c r="K480" s="55">
        <f>IF($N480&lt;&gt;"",IF(INDEX(tblBilling[Last Payment Date],$N480)="","",INDEX(tblBilling[Last Payment Date],$N480)),"")</f>
        <v/>
      </c>
      <c r="L480" s="53">
        <f>IF($N480&lt;&gt;"",INDEX(tblBilling[Collector Name],$N480),"")</f>
        <v/>
      </c>
      <c r="N480">
        <f>IF(N479="","",IFERROR(N479+MATCH(1,INDEX(tblBilling[Print Match],N479+1):INDEX(tblBilling[Print Match],ROWS(tblBilling[Print Match])),0),""))</f>
        <v/>
      </c>
      <c r="O480">
        <f>ROW()-9-MIN(PC_Count,500)</f>
        <v/>
      </c>
    </row>
    <row r="481" ht="20" customHeight="1">
      <c r="A481" s="52">
        <f>IF($N481="","",ROW()-9)</f>
        <v/>
      </c>
      <c r="B481" s="53">
        <f>IF($N481&lt;&gt;"",INDEX(tblBilling[Customer ID],$N481),"")</f>
        <v/>
      </c>
      <c r="C481" s="53">
        <f>IF($N481&lt;&gt;"",INDEX(tblBilling[Customer Name],$N481),CHOOSE(MIN(MAX($O481,0),7)+1,"","TOTAL","","Total Customers: "&amp;PC_Count,"Total Recovered: "&amp;CFG_CurrencySymbol&amp;" "&amp;TEXT(PC_TotalPaid,"#,##0"),"","Collector Signature: ____________",""))</f>
        <v/>
      </c>
      <c r="D481" s="53">
        <f>IF($N481&lt;&gt;"",INDEX(tblBilling[Full Address],$N481),CHOOSE(MIN(MAX($O481,0),7)+1,"","","","Total Billing: "&amp;CFG_CurrencySymbol&amp;" "&amp;TEXT(PC_TotalFee,"#,##0"),"Total Pending: "&amp;CFG_CurrencySymbol&amp;" "&amp;TEXT(PC_TotalBalance,"#,##0"),"","Office Verification: ____________",""))</f>
        <v/>
      </c>
      <c r="E481" s="53">
        <f>IF($N481&lt;&gt;"",INDEX(tblBilling[VLAN ID],$N481),"")</f>
        <v/>
      </c>
      <c r="F481" s="52">
        <f>IF($N481&lt;&gt;"",INDEX(tblBilling[Due Date],$N481),"")</f>
        <v/>
      </c>
      <c r="G481" s="54">
        <f>IF($N481&lt;&gt;"",INDEX(tblBilling[Monthly Fee],$N481),IF($O481=1,PC_TotalFee,""))</f>
        <v/>
      </c>
      <c r="H481" s="54">
        <f>IF($N481&lt;&gt;"",INDEX(tblBilling[Amount Paid],$N481),IF($O481=1,PC_TotalPaid,""))</f>
        <v/>
      </c>
      <c r="I481" s="54">
        <f>IF($N481&lt;&gt;"",INDEX(tblBilling[Balance],$N481),IF($O481=1,PC_TotalBalance,""))</f>
        <v/>
      </c>
      <c r="J481" s="53">
        <f>IF($N481&lt;&gt;"",INDEX(tblBilling[Payment Status],$N481),"")</f>
        <v/>
      </c>
      <c r="K481" s="55">
        <f>IF($N481&lt;&gt;"",IF(INDEX(tblBilling[Last Payment Date],$N481)="","",INDEX(tblBilling[Last Payment Date],$N481)),"")</f>
        <v/>
      </c>
      <c r="L481" s="53">
        <f>IF($N481&lt;&gt;"",INDEX(tblBilling[Collector Name],$N481),"")</f>
        <v/>
      </c>
      <c r="N481">
        <f>IF(N480="","",IFERROR(N480+MATCH(1,INDEX(tblBilling[Print Match],N480+1):INDEX(tblBilling[Print Match],ROWS(tblBilling[Print Match])),0),""))</f>
        <v/>
      </c>
      <c r="O481">
        <f>ROW()-9-MIN(PC_Count,500)</f>
        <v/>
      </c>
    </row>
    <row r="482" ht="20" customHeight="1">
      <c r="A482" s="52">
        <f>IF($N482="","",ROW()-9)</f>
        <v/>
      </c>
      <c r="B482" s="53">
        <f>IF($N482&lt;&gt;"",INDEX(tblBilling[Customer ID],$N482),"")</f>
        <v/>
      </c>
      <c r="C482" s="53">
        <f>IF($N482&lt;&gt;"",INDEX(tblBilling[Customer Name],$N482),CHOOSE(MIN(MAX($O482,0),7)+1,"","TOTAL","","Total Customers: "&amp;PC_Count,"Total Recovered: "&amp;CFG_CurrencySymbol&amp;" "&amp;TEXT(PC_TotalPaid,"#,##0"),"","Collector Signature: ____________",""))</f>
        <v/>
      </c>
      <c r="D482" s="53">
        <f>IF($N482&lt;&gt;"",INDEX(tblBilling[Full Address],$N482),CHOOSE(MIN(MAX($O482,0),7)+1,"","","","Total Billing: "&amp;CFG_CurrencySymbol&amp;" "&amp;TEXT(PC_TotalFee,"#,##0"),"Total Pending: "&amp;CFG_CurrencySymbol&amp;" "&amp;TEXT(PC_TotalBalance,"#,##0"),"","Office Verification: ____________",""))</f>
        <v/>
      </c>
      <c r="E482" s="53">
        <f>IF($N482&lt;&gt;"",INDEX(tblBilling[VLAN ID],$N482),"")</f>
        <v/>
      </c>
      <c r="F482" s="52">
        <f>IF($N482&lt;&gt;"",INDEX(tblBilling[Due Date],$N482),"")</f>
        <v/>
      </c>
      <c r="G482" s="54">
        <f>IF($N482&lt;&gt;"",INDEX(tblBilling[Monthly Fee],$N482),IF($O482=1,PC_TotalFee,""))</f>
        <v/>
      </c>
      <c r="H482" s="54">
        <f>IF($N482&lt;&gt;"",INDEX(tblBilling[Amount Paid],$N482),IF($O482=1,PC_TotalPaid,""))</f>
        <v/>
      </c>
      <c r="I482" s="54">
        <f>IF($N482&lt;&gt;"",INDEX(tblBilling[Balance],$N482),IF($O482=1,PC_TotalBalance,""))</f>
        <v/>
      </c>
      <c r="J482" s="53">
        <f>IF($N482&lt;&gt;"",INDEX(tblBilling[Payment Status],$N482),"")</f>
        <v/>
      </c>
      <c r="K482" s="55">
        <f>IF($N482&lt;&gt;"",IF(INDEX(tblBilling[Last Payment Date],$N482)="","",INDEX(tblBilling[Last Payment Date],$N482)),"")</f>
        <v/>
      </c>
      <c r="L482" s="53">
        <f>IF($N482&lt;&gt;"",INDEX(tblBilling[Collector Name],$N482),"")</f>
        <v/>
      </c>
      <c r="N482">
        <f>IF(N481="","",IFERROR(N481+MATCH(1,INDEX(tblBilling[Print Match],N481+1):INDEX(tblBilling[Print Match],ROWS(tblBilling[Print Match])),0),""))</f>
        <v/>
      </c>
      <c r="O482">
        <f>ROW()-9-MIN(PC_Count,500)</f>
        <v/>
      </c>
    </row>
    <row r="483" ht="20" customHeight="1">
      <c r="A483" s="52">
        <f>IF($N483="","",ROW()-9)</f>
        <v/>
      </c>
      <c r="B483" s="53">
        <f>IF($N483&lt;&gt;"",INDEX(tblBilling[Customer ID],$N483),"")</f>
        <v/>
      </c>
      <c r="C483" s="53">
        <f>IF($N483&lt;&gt;"",INDEX(tblBilling[Customer Name],$N483),CHOOSE(MIN(MAX($O483,0),7)+1,"","TOTAL","","Total Customers: "&amp;PC_Count,"Total Recovered: "&amp;CFG_CurrencySymbol&amp;" "&amp;TEXT(PC_TotalPaid,"#,##0"),"","Collector Signature: ____________",""))</f>
        <v/>
      </c>
      <c r="D483" s="53">
        <f>IF($N483&lt;&gt;"",INDEX(tblBilling[Full Address],$N483),CHOOSE(MIN(MAX($O483,0),7)+1,"","","","Total Billing: "&amp;CFG_CurrencySymbol&amp;" "&amp;TEXT(PC_TotalFee,"#,##0"),"Total Pending: "&amp;CFG_CurrencySymbol&amp;" "&amp;TEXT(PC_TotalBalance,"#,##0"),"","Office Verification: ____________",""))</f>
        <v/>
      </c>
      <c r="E483" s="53">
        <f>IF($N483&lt;&gt;"",INDEX(tblBilling[VLAN ID],$N483),"")</f>
        <v/>
      </c>
      <c r="F483" s="52">
        <f>IF($N483&lt;&gt;"",INDEX(tblBilling[Due Date],$N483),"")</f>
        <v/>
      </c>
      <c r="G483" s="54">
        <f>IF($N483&lt;&gt;"",INDEX(tblBilling[Monthly Fee],$N483),IF($O483=1,PC_TotalFee,""))</f>
        <v/>
      </c>
      <c r="H483" s="54">
        <f>IF($N483&lt;&gt;"",INDEX(tblBilling[Amount Paid],$N483),IF($O483=1,PC_TotalPaid,""))</f>
        <v/>
      </c>
      <c r="I483" s="54">
        <f>IF($N483&lt;&gt;"",INDEX(tblBilling[Balance],$N483),IF($O483=1,PC_TotalBalance,""))</f>
        <v/>
      </c>
      <c r="J483" s="53">
        <f>IF($N483&lt;&gt;"",INDEX(tblBilling[Payment Status],$N483),"")</f>
        <v/>
      </c>
      <c r="K483" s="55">
        <f>IF($N483&lt;&gt;"",IF(INDEX(tblBilling[Last Payment Date],$N483)="","",INDEX(tblBilling[Last Payment Date],$N483)),"")</f>
        <v/>
      </c>
      <c r="L483" s="53">
        <f>IF($N483&lt;&gt;"",INDEX(tblBilling[Collector Name],$N483),"")</f>
        <v/>
      </c>
      <c r="N483">
        <f>IF(N482="","",IFERROR(N482+MATCH(1,INDEX(tblBilling[Print Match],N482+1):INDEX(tblBilling[Print Match],ROWS(tblBilling[Print Match])),0),""))</f>
        <v/>
      </c>
      <c r="O483">
        <f>ROW()-9-MIN(PC_Count,500)</f>
        <v/>
      </c>
    </row>
    <row r="484" ht="20" customHeight="1">
      <c r="A484" s="52">
        <f>IF($N484="","",ROW()-9)</f>
        <v/>
      </c>
      <c r="B484" s="53">
        <f>IF($N484&lt;&gt;"",INDEX(tblBilling[Customer ID],$N484),"")</f>
        <v/>
      </c>
      <c r="C484" s="53">
        <f>IF($N484&lt;&gt;"",INDEX(tblBilling[Customer Name],$N484),CHOOSE(MIN(MAX($O484,0),7)+1,"","TOTAL","","Total Customers: "&amp;PC_Count,"Total Recovered: "&amp;CFG_CurrencySymbol&amp;" "&amp;TEXT(PC_TotalPaid,"#,##0"),"","Collector Signature: ____________",""))</f>
        <v/>
      </c>
      <c r="D484" s="53">
        <f>IF($N484&lt;&gt;"",INDEX(tblBilling[Full Address],$N484),CHOOSE(MIN(MAX($O484,0),7)+1,"","","","Total Billing: "&amp;CFG_CurrencySymbol&amp;" "&amp;TEXT(PC_TotalFee,"#,##0"),"Total Pending: "&amp;CFG_CurrencySymbol&amp;" "&amp;TEXT(PC_TotalBalance,"#,##0"),"","Office Verification: ____________",""))</f>
        <v/>
      </c>
      <c r="E484" s="53">
        <f>IF($N484&lt;&gt;"",INDEX(tblBilling[VLAN ID],$N484),"")</f>
        <v/>
      </c>
      <c r="F484" s="52">
        <f>IF($N484&lt;&gt;"",INDEX(tblBilling[Due Date],$N484),"")</f>
        <v/>
      </c>
      <c r="G484" s="54">
        <f>IF($N484&lt;&gt;"",INDEX(tblBilling[Monthly Fee],$N484),IF($O484=1,PC_TotalFee,""))</f>
        <v/>
      </c>
      <c r="H484" s="54">
        <f>IF($N484&lt;&gt;"",INDEX(tblBilling[Amount Paid],$N484),IF($O484=1,PC_TotalPaid,""))</f>
        <v/>
      </c>
      <c r="I484" s="54">
        <f>IF($N484&lt;&gt;"",INDEX(tblBilling[Balance],$N484),IF($O484=1,PC_TotalBalance,""))</f>
        <v/>
      </c>
      <c r="J484" s="53">
        <f>IF($N484&lt;&gt;"",INDEX(tblBilling[Payment Status],$N484),"")</f>
        <v/>
      </c>
      <c r="K484" s="55">
        <f>IF($N484&lt;&gt;"",IF(INDEX(tblBilling[Last Payment Date],$N484)="","",INDEX(tblBilling[Last Payment Date],$N484)),"")</f>
        <v/>
      </c>
      <c r="L484" s="53">
        <f>IF($N484&lt;&gt;"",INDEX(tblBilling[Collector Name],$N484),"")</f>
        <v/>
      </c>
      <c r="N484">
        <f>IF(N483="","",IFERROR(N483+MATCH(1,INDEX(tblBilling[Print Match],N483+1):INDEX(tblBilling[Print Match],ROWS(tblBilling[Print Match])),0),""))</f>
        <v/>
      </c>
      <c r="O484">
        <f>ROW()-9-MIN(PC_Count,500)</f>
        <v/>
      </c>
    </row>
    <row r="485" ht="20" customHeight="1">
      <c r="A485" s="52">
        <f>IF($N485="","",ROW()-9)</f>
        <v/>
      </c>
      <c r="B485" s="53">
        <f>IF($N485&lt;&gt;"",INDEX(tblBilling[Customer ID],$N485),"")</f>
        <v/>
      </c>
      <c r="C485" s="53">
        <f>IF($N485&lt;&gt;"",INDEX(tblBilling[Customer Name],$N485),CHOOSE(MIN(MAX($O485,0),7)+1,"","TOTAL","","Total Customers: "&amp;PC_Count,"Total Recovered: "&amp;CFG_CurrencySymbol&amp;" "&amp;TEXT(PC_TotalPaid,"#,##0"),"","Collector Signature: ____________",""))</f>
        <v/>
      </c>
      <c r="D485" s="53">
        <f>IF($N485&lt;&gt;"",INDEX(tblBilling[Full Address],$N485),CHOOSE(MIN(MAX($O485,0),7)+1,"","","","Total Billing: "&amp;CFG_CurrencySymbol&amp;" "&amp;TEXT(PC_TotalFee,"#,##0"),"Total Pending: "&amp;CFG_CurrencySymbol&amp;" "&amp;TEXT(PC_TotalBalance,"#,##0"),"","Office Verification: ____________",""))</f>
        <v/>
      </c>
      <c r="E485" s="53">
        <f>IF($N485&lt;&gt;"",INDEX(tblBilling[VLAN ID],$N485),"")</f>
        <v/>
      </c>
      <c r="F485" s="52">
        <f>IF($N485&lt;&gt;"",INDEX(tblBilling[Due Date],$N485),"")</f>
        <v/>
      </c>
      <c r="G485" s="54">
        <f>IF($N485&lt;&gt;"",INDEX(tblBilling[Monthly Fee],$N485),IF($O485=1,PC_TotalFee,""))</f>
        <v/>
      </c>
      <c r="H485" s="54">
        <f>IF($N485&lt;&gt;"",INDEX(tblBilling[Amount Paid],$N485),IF($O485=1,PC_TotalPaid,""))</f>
        <v/>
      </c>
      <c r="I485" s="54">
        <f>IF($N485&lt;&gt;"",INDEX(tblBilling[Balance],$N485),IF($O485=1,PC_TotalBalance,""))</f>
        <v/>
      </c>
      <c r="J485" s="53">
        <f>IF($N485&lt;&gt;"",INDEX(tblBilling[Payment Status],$N485),"")</f>
        <v/>
      </c>
      <c r="K485" s="55">
        <f>IF($N485&lt;&gt;"",IF(INDEX(tblBilling[Last Payment Date],$N485)="","",INDEX(tblBilling[Last Payment Date],$N485)),"")</f>
        <v/>
      </c>
      <c r="L485" s="53">
        <f>IF($N485&lt;&gt;"",INDEX(tblBilling[Collector Name],$N485),"")</f>
        <v/>
      </c>
      <c r="N485">
        <f>IF(N484="","",IFERROR(N484+MATCH(1,INDEX(tblBilling[Print Match],N484+1):INDEX(tblBilling[Print Match],ROWS(tblBilling[Print Match])),0),""))</f>
        <v/>
      </c>
      <c r="O485">
        <f>ROW()-9-MIN(PC_Count,500)</f>
        <v/>
      </c>
    </row>
    <row r="486" ht="20" customHeight="1">
      <c r="A486" s="52">
        <f>IF($N486="","",ROW()-9)</f>
        <v/>
      </c>
      <c r="B486" s="53">
        <f>IF($N486&lt;&gt;"",INDEX(tblBilling[Customer ID],$N486),"")</f>
        <v/>
      </c>
      <c r="C486" s="53">
        <f>IF($N486&lt;&gt;"",INDEX(tblBilling[Customer Name],$N486),CHOOSE(MIN(MAX($O486,0),7)+1,"","TOTAL","","Total Customers: "&amp;PC_Count,"Total Recovered: "&amp;CFG_CurrencySymbol&amp;" "&amp;TEXT(PC_TotalPaid,"#,##0"),"","Collector Signature: ____________",""))</f>
        <v/>
      </c>
      <c r="D486" s="53">
        <f>IF($N486&lt;&gt;"",INDEX(tblBilling[Full Address],$N486),CHOOSE(MIN(MAX($O486,0),7)+1,"","","","Total Billing: "&amp;CFG_CurrencySymbol&amp;" "&amp;TEXT(PC_TotalFee,"#,##0"),"Total Pending: "&amp;CFG_CurrencySymbol&amp;" "&amp;TEXT(PC_TotalBalance,"#,##0"),"","Office Verification: ____________",""))</f>
        <v/>
      </c>
      <c r="E486" s="53">
        <f>IF($N486&lt;&gt;"",INDEX(tblBilling[VLAN ID],$N486),"")</f>
        <v/>
      </c>
      <c r="F486" s="52">
        <f>IF($N486&lt;&gt;"",INDEX(tblBilling[Due Date],$N486),"")</f>
        <v/>
      </c>
      <c r="G486" s="54">
        <f>IF($N486&lt;&gt;"",INDEX(tblBilling[Monthly Fee],$N486),IF($O486=1,PC_TotalFee,""))</f>
        <v/>
      </c>
      <c r="H486" s="54">
        <f>IF($N486&lt;&gt;"",INDEX(tblBilling[Amount Paid],$N486),IF($O486=1,PC_TotalPaid,""))</f>
        <v/>
      </c>
      <c r="I486" s="54">
        <f>IF($N486&lt;&gt;"",INDEX(tblBilling[Balance],$N486),IF($O486=1,PC_TotalBalance,""))</f>
        <v/>
      </c>
      <c r="J486" s="53">
        <f>IF($N486&lt;&gt;"",INDEX(tblBilling[Payment Status],$N486),"")</f>
        <v/>
      </c>
      <c r="K486" s="55">
        <f>IF($N486&lt;&gt;"",IF(INDEX(tblBilling[Last Payment Date],$N486)="","",INDEX(tblBilling[Last Payment Date],$N486)),"")</f>
        <v/>
      </c>
      <c r="L486" s="53">
        <f>IF($N486&lt;&gt;"",INDEX(tblBilling[Collector Name],$N486),"")</f>
        <v/>
      </c>
      <c r="N486">
        <f>IF(N485="","",IFERROR(N485+MATCH(1,INDEX(tblBilling[Print Match],N485+1):INDEX(tblBilling[Print Match],ROWS(tblBilling[Print Match])),0),""))</f>
        <v/>
      </c>
      <c r="O486">
        <f>ROW()-9-MIN(PC_Count,500)</f>
        <v/>
      </c>
    </row>
    <row r="487" ht="20" customHeight="1">
      <c r="A487" s="52">
        <f>IF($N487="","",ROW()-9)</f>
        <v/>
      </c>
      <c r="B487" s="53">
        <f>IF($N487&lt;&gt;"",INDEX(tblBilling[Customer ID],$N487),"")</f>
        <v/>
      </c>
      <c r="C487" s="53">
        <f>IF($N487&lt;&gt;"",INDEX(tblBilling[Customer Name],$N487),CHOOSE(MIN(MAX($O487,0),7)+1,"","TOTAL","","Total Customers: "&amp;PC_Count,"Total Recovered: "&amp;CFG_CurrencySymbol&amp;" "&amp;TEXT(PC_TotalPaid,"#,##0"),"","Collector Signature: ____________",""))</f>
        <v/>
      </c>
      <c r="D487" s="53">
        <f>IF($N487&lt;&gt;"",INDEX(tblBilling[Full Address],$N487),CHOOSE(MIN(MAX($O487,0),7)+1,"","","","Total Billing: "&amp;CFG_CurrencySymbol&amp;" "&amp;TEXT(PC_TotalFee,"#,##0"),"Total Pending: "&amp;CFG_CurrencySymbol&amp;" "&amp;TEXT(PC_TotalBalance,"#,##0"),"","Office Verification: ____________",""))</f>
        <v/>
      </c>
      <c r="E487" s="53">
        <f>IF($N487&lt;&gt;"",INDEX(tblBilling[VLAN ID],$N487),"")</f>
        <v/>
      </c>
      <c r="F487" s="52">
        <f>IF($N487&lt;&gt;"",INDEX(tblBilling[Due Date],$N487),"")</f>
        <v/>
      </c>
      <c r="G487" s="54">
        <f>IF($N487&lt;&gt;"",INDEX(tblBilling[Monthly Fee],$N487),IF($O487=1,PC_TotalFee,""))</f>
        <v/>
      </c>
      <c r="H487" s="54">
        <f>IF($N487&lt;&gt;"",INDEX(tblBilling[Amount Paid],$N487),IF($O487=1,PC_TotalPaid,""))</f>
        <v/>
      </c>
      <c r="I487" s="54">
        <f>IF($N487&lt;&gt;"",INDEX(tblBilling[Balance],$N487),IF($O487=1,PC_TotalBalance,""))</f>
        <v/>
      </c>
      <c r="J487" s="53">
        <f>IF($N487&lt;&gt;"",INDEX(tblBilling[Payment Status],$N487),"")</f>
        <v/>
      </c>
      <c r="K487" s="55">
        <f>IF($N487&lt;&gt;"",IF(INDEX(tblBilling[Last Payment Date],$N487)="","",INDEX(tblBilling[Last Payment Date],$N487)),"")</f>
        <v/>
      </c>
      <c r="L487" s="53">
        <f>IF($N487&lt;&gt;"",INDEX(tblBilling[Collector Name],$N487),"")</f>
        <v/>
      </c>
      <c r="N487">
        <f>IF(N486="","",IFERROR(N486+MATCH(1,INDEX(tblBilling[Print Match],N486+1):INDEX(tblBilling[Print Match],ROWS(tblBilling[Print Match])),0),""))</f>
        <v/>
      </c>
      <c r="O487">
        <f>ROW()-9-MIN(PC_Count,500)</f>
        <v/>
      </c>
    </row>
    <row r="488" ht="20" customHeight="1">
      <c r="A488" s="52">
        <f>IF($N488="","",ROW()-9)</f>
        <v/>
      </c>
      <c r="B488" s="53">
        <f>IF($N488&lt;&gt;"",INDEX(tblBilling[Customer ID],$N488),"")</f>
        <v/>
      </c>
      <c r="C488" s="53">
        <f>IF($N488&lt;&gt;"",INDEX(tblBilling[Customer Name],$N488),CHOOSE(MIN(MAX($O488,0),7)+1,"","TOTAL","","Total Customers: "&amp;PC_Count,"Total Recovered: "&amp;CFG_CurrencySymbol&amp;" "&amp;TEXT(PC_TotalPaid,"#,##0"),"","Collector Signature: ____________",""))</f>
        <v/>
      </c>
      <c r="D488" s="53">
        <f>IF($N488&lt;&gt;"",INDEX(tblBilling[Full Address],$N488),CHOOSE(MIN(MAX($O488,0),7)+1,"","","","Total Billing: "&amp;CFG_CurrencySymbol&amp;" "&amp;TEXT(PC_TotalFee,"#,##0"),"Total Pending: "&amp;CFG_CurrencySymbol&amp;" "&amp;TEXT(PC_TotalBalance,"#,##0"),"","Office Verification: ____________",""))</f>
        <v/>
      </c>
      <c r="E488" s="53">
        <f>IF($N488&lt;&gt;"",INDEX(tblBilling[VLAN ID],$N488),"")</f>
        <v/>
      </c>
      <c r="F488" s="52">
        <f>IF($N488&lt;&gt;"",INDEX(tblBilling[Due Date],$N488),"")</f>
        <v/>
      </c>
      <c r="G488" s="54">
        <f>IF($N488&lt;&gt;"",INDEX(tblBilling[Monthly Fee],$N488),IF($O488=1,PC_TotalFee,""))</f>
        <v/>
      </c>
      <c r="H488" s="54">
        <f>IF($N488&lt;&gt;"",INDEX(tblBilling[Amount Paid],$N488),IF($O488=1,PC_TotalPaid,""))</f>
        <v/>
      </c>
      <c r="I488" s="54">
        <f>IF($N488&lt;&gt;"",INDEX(tblBilling[Balance],$N488),IF($O488=1,PC_TotalBalance,""))</f>
        <v/>
      </c>
      <c r="J488" s="53">
        <f>IF($N488&lt;&gt;"",INDEX(tblBilling[Payment Status],$N488),"")</f>
        <v/>
      </c>
      <c r="K488" s="55">
        <f>IF($N488&lt;&gt;"",IF(INDEX(tblBilling[Last Payment Date],$N488)="","",INDEX(tblBilling[Last Payment Date],$N488)),"")</f>
        <v/>
      </c>
      <c r="L488" s="53">
        <f>IF($N488&lt;&gt;"",INDEX(tblBilling[Collector Name],$N488),"")</f>
        <v/>
      </c>
      <c r="N488">
        <f>IF(N487="","",IFERROR(N487+MATCH(1,INDEX(tblBilling[Print Match],N487+1):INDEX(tblBilling[Print Match],ROWS(tblBilling[Print Match])),0),""))</f>
        <v/>
      </c>
      <c r="O488">
        <f>ROW()-9-MIN(PC_Count,500)</f>
        <v/>
      </c>
    </row>
    <row r="489" ht="20" customHeight="1">
      <c r="A489" s="52">
        <f>IF($N489="","",ROW()-9)</f>
        <v/>
      </c>
      <c r="B489" s="53">
        <f>IF($N489&lt;&gt;"",INDEX(tblBilling[Customer ID],$N489),"")</f>
        <v/>
      </c>
      <c r="C489" s="53">
        <f>IF($N489&lt;&gt;"",INDEX(tblBilling[Customer Name],$N489),CHOOSE(MIN(MAX($O489,0),7)+1,"","TOTAL","","Total Customers: "&amp;PC_Count,"Total Recovered: "&amp;CFG_CurrencySymbol&amp;" "&amp;TEXT(PC_TotalPaid,"#,##0"),"","Collector Signature: ____________",""))</f>
        <v/>
      </c>
      <c r="D489" s="53">
        <f>IF($N489&lt;&gt;"",INDEX(tblBilling[Full Address],$N489),CHOOSE(MIN(MAX($O489,0),7)+1,"","","","Total Billing: "&amp;CFG_CurrencySymbol&amp;" "&amp;TEXT(PC_TotalFee,"#,##0"),"Total Pending: "&amp;CFG_CurrencySymbol&amp;" "&amp;TEXT(PC_TotalBalance,"#,##0"),"","Office Verification: ____________",""))</f>
        <v/>
      </c>
      <c r="E489" s="53">
        <f>IF($N489&lt;&gt;"",INDEX(tblBilling[VLAN ID],$N489),"")</f>
        <v/>
      </c>
      <c r="F489" s="52">
        <f>IF($N489&lt;&gt;"",INDEX(tblBilling[Due Date],$N489),"")</f>
        <v/>
      </c>
      <c r="G489" s="54">
        <f>IF($N489&lt;&gt;"",INDEX(tblBilling[Monthly Fee],$N489),IF($O489=1,PC_TotalFee,""))</f>
        <v/>
      </c>
      <c r="H489" s="54">
        <f>IF($N489&lt;&gt;"",INDEX(tblBilling[Amount Paid],$N489),IF($O489=1,PC_TotalPaid,""))</f>
        <v/>
      </c>
      <c r="I489" s="54">
        <f>IF($N489&lt;&gt;"",INDEX(tblBilling[Balance],$N489),IF($O489=1,PC_TotalBalance,""))</f>
        <v/>
      </c>
      <c r="J489" s="53">
        <f>IF($N489&lt;&gt;"",INDEX(tblBilling[Payment Status],$N489),"")</f>
        <v/>
      </c>
      <c r="K489" s="55">
        <f>IF($N489&lt;&gt;"",IF(INDEX(tblBilling[Last Payment Date],$N489)="","",INDEX(tblBilling[Last Payment Date],$N489)),"")</f>
        <v/>
      </c>
      <c r="L489" s="53">
        <f>IF($N489&lt;&gt;"",INDEX(tblBilling[Collector Name],$N489),"")</f>
        <v/>
      </c>
      <c r="N489">
        <f>IF(N488="","",IFERROR(N488+MATCH(1,INDEX(tblBilling[Print Match],N488+1):INDEX(tblBilling[Print Match],ROWS(tblBilling[Print Match])),0),""))</f>
        <v/>
      </c>
      <c r="O489">
        <f>ROW()-9-MIN(PC_Count,500)</f>
        <v/>
      </c>
    </row>
    <row r="490" ht="20" customHeight="1">
      <c r="A490" s="52">
        <f>IF($N490="","",ROW()-9)</f>
        <v/>
      </c>
      <c r="B490" s="53">
        <f>IF($N490&lt;&gt;"",INDEX(tblBilling[Customer ID],$N490),"")</f>
        <v/>
      </c>
      <c r="C490" s="53">
        <f>IF($N490&lt;&gt;"",INDEX(tblBilling[Customer Name],$N490),CHOOSE(MIN(MAX($O490,0),7)+1,"","TOTAL","","Total Customers: "&amp;PC_Count,"Total Recovered: "&amp;CFG_CurrencySymbol&amp;" "&amp;TEXT(PC_TotalPaid,"#,##0"),"","Collector Signature: ____________",""))</f>
        <v/>
      </c>
      <c r="D490" s="53">
        <f>IF($N490&lt;&gt;"",INDEX(tblBilling[Full Address],$N490),CHOOSE(MIN(MAX($O490,0),7)+1,"","","","Total Billing: "&amp;CFG_CurrencySymbol&amp;" "&amp;TEXT(PC_TotalFee,"#,##0"),"Total Pending: "&amp;CFG_CurrencySymbol&amp;" "&amp;TEXT(PC_TotalBalance,"#,##0"),"","Office Verification: ____________",""))</f>
        <v/>
      </c>
      <c r="E490" s="53">
        <f>IF($N490&lt;&gt;"",INDEX(tblBilling[VLAN ID],$N490),"")</f>
        <v/>
      </c>
      <c r="F490" s="52">
        <f>IF($N490&lt;&gt;"",INDEX(tblBilling[Due Date],$N490),"")</f>
        <v/>
      </c>
      <c r="G490" s="54">
        <f>IF($N490&lt;&gt;"",INDEX(tblBilling[Monthly Fee],$N490),IF($O490=1,PC_TotalFee,""))</f>
        <v/>
      </c>
      <c r="H490" s="54">
        <f>IF($N490&lt;&gt;"",INDEX(tblBilling[Amount Paid],$N490),IF($O490=1,PC_TotalPaid,""))</f>
        <v/>
      </c>
      <c r="I490" s="54">
        <f>IF($N490&lt;&gt;"",INDEX(tblBilling[Balance],$N490),IF($O490=1,PC_TotalBalance,""))</f>
        <v/>
      </c>
      <c r="J490" s="53">
        <f>IF($N490&lt;&gt;"",INDEX(tblBilling[Payment Status],$N490),"")</f>
        <v/>
      </c>
      <c r="K490" s="55">
        <f>IF($N490&lt;&gt;"",IF(INDEX(tblBilling[Last Payment Date],$N490)="","",INDEX(tblBilling[Last Payment Date],$N490)),"")</f>
        <v/>
      </c>
      <c r="L490" s="53">
        <f>IF($N490&lt;&gt;"",INDEX(tblBilling[Collector Name],$N490),"")</f>
        <v/>
      </c>
      <c r="N490">
        <f>IF(N489="","",IFERROR(N489+MATCH(1,INDEX(tblBilling[Print Match],N489+1):INDEX(tblBilling[Print Match],ROWS(tblBilling[Print Match])),0),""))</f>
        <v/>
      </c>
      <c r="O490">
        <f>ROW()-9-MIN(PC_Count,500)</f>
        <v/>
      </c>
    </row>
    <row r="491" ht="20" customHeight="1">
      <c r="A491" s="52">
        <f>IF($N491="","",ROW()-9)</f>
        <v/>
      </c>
      <c r="B491" s="53">
        <f>IF($N491&lt;&gt;"",INDEX(tblBilling[Customer ID],$N491),"")</f>
        <v/>
      </c>
      <c r="C491" s="53">
        <f>IF($N491&lt;&gt;"",INDEX(tblBilling[Customer Name],$N491),CHOOSE(MIN(MAX($O491,0),7)+1,"","TOTAL","","Total Customers: "&amp;PC_Count,"Total Recovered: "&amp;CFG_CurrencySymbol&amp;" "&amp;TEXT(PC_TotalPaid,"#,##0"),"","Collector Signature: ____________",""))</f>
        <v/>
      </c>
      <c r="D491" s="53">
        <f>IF($N491&lt;&gt;"",INDEX(tblBilling[Full Address],$N491),CHOOSE(MIN(MAX($O491,0),7)+1,"","","","Total Billing: "&amp;CFG_CurrencySymbol&amp;" "&amp;TEXT(PC_TotalFee,"#,##0"),"Total Pending: "&amp;CFG_CurrencySymbol&amp;" "&amp;TEXT(PC_TotalBalance,"#,##0"),"","Office Verification: ____________",""))</f>
        <v/>
      </c>
      <c r="E491" s="53">
        <f>IF($N491&lt;&gt;"",INDEX(tblBilling[VLAN ID],$N491),"")</f>
        <v/>
      </c>
      <c r="F491" s="52">
        <f>IF($N491&lt;&gt;"",INDEX(tblBilling[Due Date],$N491),"")</f>
        <v/>
      </c>
      <c r="G491" s="54">
        <f>IF($N491&lt;&gt;"",INDEX(tblBilling[Monthly Fee],$N491),IF($O491=1,PC_TotalFee,""))</f>
        <v/>
      </c>
      <c r="H491" s="54">
        <f>IF($N491&lt;&gt;"",INDEX(tblBilling[Amount Paid],$N491),IF($O491=1,PC_TotalPaid,""))</f>
        <v/>
      </c>
      <c r="I491" s="54">
        <f>IF($N491&lt;&gt;"",INDEX(tblBilling[Balance],$N491),IF($O491=1,PC_TotalBalance,""))</f>
        <v/>
      </c>
      <c r="J491" s="53">
        <f>IF($N491&lt;&gt;"",INDEX(tblBilling[Payment Status],$N491),"")</f>
        <v/>
      </c>
      <c r="K491" s="55">
        <f>IF($N491&lt;&gt;"",IF(INDEX(tblBilling[Last Payment Date],$N491)="","",INDEX(tblBilling[Last Payment Date],$N491)),"")</f>
        <v/>
      </c>
      <c r="L491" s="53">
        <f>IF($N491&lt;&gt;"",INDEX(tblBilling[Collector Name],$N491),"")</f>
        <v/>
      </c>
      <c r="N491">
        <f>IF(N490="","",IFERROR(N490+MATCH(1,INDEX(tblBilling[Print Match],N490+1):INDEX(tblBilling[Print Match],ROWS(tblBilling[Print Match])),0),""))</f>
        <v/>
      </c>
      <c r="O491">
        <f>ROW()-9-MIN(PC_Count,500)</f>
        <v/>
      </c>
    </row>
    <row r="492" ht="20" customHeight="1">
      <c r="A492" s="52">
        <f>IF($N492="","",ROW()-9)</f>
        <v/>
      </c>
      <c r="B492" s="53">
        <f>IF($N492&lt;&gt;"",INDEX(tblBilling[Customer ID],$N492),"")</f>
        <v/>
      </c>
      <c r="C492" s="53">
        <f>IF($N492&lt;&gt;"",INDEX(tblBilling[Customer Name],$N492),CHOOSE(MIN(MAX($O492,0),7)+1,"","TOTAL","","Total Customers: "&amp;PC_Count,"Total Recovered: "&amp;CFG_CurrencySymbol&amp;" "&amp;TEXT(PC_TotalPaid,"#,##0"),"","Collector Signature: ____________",""))</f>
        <v/>
      </c>
      <c r="D492" s="53">
        <f>IF($N492&lt;&gt;"",INDEX(tblBilling[Full Address],$N492),CHOOSE(MIN(MAX($O492,0),7)+1,"","","","Total Billing: "&amp;CFG_CurrencySymbol&amp;" "&amp;TEXT(PC_TotalFee,"#,##0"),"Total Pending: "&amp;CFG_CurrencySymbol&amp;" "&amp;TEXT(PC_TotalBalance,"#,##0"),"","Office Verification: ____________",""))</f>
        <v/>
      </c>
      <c r="E492" s="53">
        <f>IF($N492&lt;&gt;"",INDEX(tblBilling[VLAN ID],$N492),"")</f>
        <v/>
      </c>
      <c r="F492" s="52">
        <f>IF($N492&lt;&gt;"",INDEX(tblBilling[Due Date],$N492),"")</f>
        <v/>
      </c>
      <c r="G492" s="54">
        <f>IF($N492&lt;&gt;"",INDEX(tblBilling[Monthly Fee],$N492),IF($O492=1,PC_TotalFee,""))</f>
        <v/>
      </c>
      <c r="H492" s="54">
        <f>IF($N492&lt;&gt;"",INDEX(tblBilling[Amount Paid],$N492),IF($O492=1,PC_TotalPaid,""))</f>
        <v/>
      </c>
      <c r="I492" s="54">
        <f>IF($N492&lt;&gt;"",INDEX(tblBilling[Balance],$N492),IF($O492=1,PC_TotalBalance,""))</f>
        <v/>
      </c>
      <c r="J492" s="53">
        <f>IF($N492&lt;&gt;"",INDEX(tblBilling[Payment Status],$N492),"")</f>
        <v/>
      </c>
      <c r="K492" s="55">
        <f>IF($N492&lt;&gt;"",IF(INDEX(tblBilling[Last Payment Date],$N492)="","",INDEX(tblBilling[Last Payment Date],$N492)),"")</f>
        <v/>
      </c>
      <c r="L492" s="53">
        <f>IF($N492&lt;&gt;"",INDEX(tblBilling[Collector Name],$N492),"")</f>
        <v/>
      </c>
      <c r="N492">
        <f>IF(N491="","",IFERROR(N491+MATCH(1,INDEX(tblBilling[Print Match],N491+1):INDEX(tblBilling[Print Match],ROWS(tblBilling[Print Match])),0),""))</f>
        <v/>
      </c>
      <c r="O492">
        <f>ROW()-9-MIN(PC_Count,500)</f>
        <v/>
      </c>
    </row>
    <row r="493" ht="20" customHeight="1">
      <c r="A493" s="52">
        <f>IF($N493="","",ROW()-9)</f>
        <v/>
      </c>
      <c r="B493" s="53">
        <f>IF($N493&lt;&gt;"",INDEX(tblBilling[Customer ID],$N493),"")</f>
        <v/>
      </c>
      <c r="C493" s="53">
        <f>IF($N493&lt;&gt;"",INDEX(tblBilling[Customer Name],$N493),CHOOSE(MIN(MAX($O493,0),7)+1,"","TOTAL","","Total Customers: "&amp;PC_Count,"Total Recovered: "&amp;CFG_CurrencySymbol&amp;" "&amp;TEXT(PC_TotalPaid,"#,##0"),"","Collector Signature: ____________",""))</f>
        <v/>
      </c>
      <c r="D493" s="53">
        <f>IF($N493&lt;&gt;"",INDEX(tblBilling[Full Address],$N493),CHOOSE(MIN(MAX($O493,0),7)+1,"","","","Total Billing: "&amp;CFG_CurrencySymbol&amp;" "&amp;TEXT(PC_TotalFee,"#,##0"),"Total Pending: "&amp;CFG_CurrencySymbol&amp;" "&amp;TEXT(PC_TotalBalance,"#,##0"),"","Office Verification: ____________",""))</f>
        <v/>
      </c>
      <c r="E493" s="53">
        <f>IF($N493&lt;&gt;"",INDEX(tblBilling[VLAN ID],$N493),"")</f>
        <v/>
      </c>
      <c r="F493" s="52">
        <f>IF($N493&lt;&gt;"",INDEX(tblBilling[Due Date],$N493),"")</f>
        <v/>
      </c>
      <c r="G493" s="54">
        <f>IF($N493&lt;&gt;"",INDEX(tblBilling[Monthly Fee],$N493),IF($O493=1,PC_TotalFee,""))</f>
        <v/>
      </c>
      <c r="H493" s="54">
        <f>IF($N493&lt;&gt;"",INDEX(tblBilling[Amount Paid],$N493),IF($O493=1,PC_TotalPaid,""))</f>
        <v/>
      </c>
      <c r="I493" s="54">
        <f>IF($N493&lt;&gt;"",INDEX(tblBilling[Balance],$N493),IF($O493=1,PC_TotalBalance,""))</f>
        <v/>
      </c>
      <c r="J493" s="53">
        <f>IF($N493&lt;&gt;"",INDEX(tblBilling[Payment Status],$N493),"")</f>
        <v/>
      </c>
      <c r="K493" s="55">
        <f>IF($N493&lt;&gt;"",IF(INDEX(tblBilling[Last Payment Date],$N493)="","",INDEX(tblBilling[Last Payment Date],$N493)),"")</f>
        <v/>
      </c>
      <c r="L493" s="53">
        <f>IF($N493&lt;&gt;"",INDEX(tblBilling[Collector Name],$N493),"")</f>
        <v/>
      </c>
      <c r="N493">
        <f>IF(N492="","",IFERROR(N492+MATCH(1,INDEX(tblBilling[Print Match],N492+1):INDEX(tblBilling[Print Match],ROWS(tblBilling[Print Match])),0),""))</f>
        <v/>
      </c>
      <c r="O493">
        <f>ROW()-9-MIN(PC_Count,500)</f>
        <v/>
      </c>
    </row>
    <row r="494" ht="20" customHeight="1">
      <c r="A494" s="52">
        <f>IF($N494="","",ROW()-9)</f>
        <v/>
      </c>
      <c r="B494" s="53">
        <f>IF($N494&lt;&gt;"",INDEX(tblBilling[Customer ID],$N494),"")</f>
        <v/>
      </c>
      <c r="C494" s="53">
        <f>IF($N494&lt;&gt;"",INDEX(tblBilling[Customer Name],$N494),CHOOSE(MIN(MAX($O494,0),7)+1,"","TOTAL","","Total Customers: "&amp;PC_Count,"Total Recovered: "&amp;CFG_CurrencySymbol&amp;" "&amp;TEXT(PC_TotalPaid,"#,##0"),"","Collector Signature: ____________",""))</f>
        <v/>
      </c>
      <c r="D494" s="53">
        <f>IF($N494&lt;&gt;"",INDEX(tblBilling[Full Address],$N494),CHOOSE(MIN(MAX($O494,0),7)+1,"","","","Total Billing: "&amp;CFG_CurrencySymbol&amp;" "&amp;TEXT(PC_TotalFee,"#,##0"),"Total Pending: "&amp;CFG_CurrencySymbol&amp;" "&amp;TEXT(PC_TotalBalance,"#,##0"),"","Office Verification: ____________",""))</f>
        <v/>
      </c>
      <c r="E494" s="53">
        <f>IF($N494&lt;&gt;"",INDEX(tblBilling[VLAN ID],$N494),"")</f>
        <v/>
      </c>
      <c r="F494" s="52">
        <f>IF($N494&lt;&gt;"",INDEX(tblBilling[Due Date],$N494),"")</f>
        <v/>
      </c>
      <c r="G494" s="54">
        <f>IF($N494&lt;&gt;"",INDEX(tblBilling[Monthly Fee],$N494),IF($O494=1,PC_TotalFee,""))</f>
        <v/>
      </c>
      <c r="H494" s="54">
        <f>IF($N494&lt;&gt;"",INDEX(tblBilling[Amount Paid],$N494),IF($O494=1,PC_TotalPaid,""))</f>
        <v/>
      </c>
      <c r="I494" s="54">
        <f>IF($N494&lt;&gt;"",INDEX(tblBilling[Balance],$N494),IF($O494=1,PC_TotalBalance,""))</f>
        <v/>
      </c>
      <c r="J494" s="53">
        <f>IF($N494&lt;&gt;"",INDEX(tblBilling[Payment Status],$N494),"")</f>
        <v/>
      </c>
      <c r="K494" s="55">
        <f>IF($N494&lt;&gt;"",IF(INDEX(tblBilling[Last Payment Date],$N494)="","",INDEX(tblBilling[Last Payment Date],$N494)),"")</f>
        <v/>
      </c>
      <c r="L494" s="53">
        <f>IF($N494&lt;&gt;"",INDEX(tblBilling[Collector Name],$N494),"")</f>
        <v/>
      </c>
      <c r="N494">
        <f>IF(N493="","",IFERROR(N493+MATCH(1,INDEX(tblBilling[Print Match],N493+1):INDEX(tblBilling[Print Match],ROWS(tblBilling[Print Match])),0),""))</f>
        <v/>
      </c>
      <c r="O494">
        <f>ROW()-9-MIN(PC_Count,500)</f>
        <v/>
      </c>
    </row>
    <row r="495" ht="20" customHeight="1">
      <c r="A495" s="52">
        <f>IF($N495="","",ROW()-9)</f>
        <v/>
      </c>
      <c r="B495" s="53">
        <f>IF($N495&lt;&gt;"",INDEX(tblBilling[Customer ID],$N495),"")</f>
        <v/>
      </c>
      <c r="C495" s="53">
        <f>IF($N495&lt;&gt;"",INDEX(tblBilling[Customer Name],$N495),CHOOSE(MIN(MAX($O495,0),7)+1,"","TOTAL","","Total Customers: "&amp;PC_Count,"Total Recovered: "&amp;CFG_CurrencySymbol&amp;" "&amp;TEXT(PC_TotalPaid,"#,##0"),"","Collector Signature: ____________",""))</f>
        <v/>
      </c>
      <c r="D495" s="53">
        <f>IF($N495&lt;&gt;"",INDEX(tblBilling[Full Address],$N495),CHOOSE(MIN(MAX($O495,0),7)+1,"","","","Total Billing: "&amp;CFG_CurrencySymbol&amp;" "&amp;TEXT(PC_TotalFee,"#,##0"),"Total Pending: "&amp;CFG_CurrencySymbol&amp;" "&amp;TEXT(PC_TotalBalance,"#,##0"),"","Office Verification: ____________",""))</f>
        <v/>
      </c>
      <c r="E495" s="53">
        <f>IF($N495&lt;&gt;"",INDEX(tblBilling[VLAN ID],$N495),"")</f>
        <v/>
      </c>
      <c r="F495" s="52">
        <f>IF($N495&lt;&gt;"",INDEX(tblBilling[Due Date],$N495),"")</f>
        <v/>
      </c>
      <c r="G495" s="54">
        <f>IF($N495&lt;&gt;"",INDEX(tblBilling[Monthly Fee],$N495),IF($O495=1,PC_TotalFee,""))</f>
        <v/>
      </c>
      <c r="H495" s="54">
        <f>IF($N495&lt;&gt;"",INDEX(tblBilling[Amount Paid],$N495),IF($O495=1,PC_TotalPaid,""))</f>
        <v/>
      </c>
      <c r="I495" s="54">
        <f>IF($N495&lt;&gt;"",INDEX(tblBilling[Balance],$N495),IF($O495=1,PC_TotalBalance,""))</f>
        <v/>
      </c>
      <c r="J495" s="53">
        <f>IF($N495&lt;&gt;"",INDEX(tblBilling[Payment Status],$N495),"")</f>
        <v/>
      </c>
      <c r="K495" s="55">
        <f>IF($N495&lt;&gt;"",IF(INDEX(tblBilling[Last Payment Date],$N495)="","",INDEX(tblBilling[Last Payment Date],$N495)),"")</f>
        <v/>
      </c>
      <c r="L495" s="53">
        <f>IF($N495&lt;&gt;"",INDEX(tblBilling[Collector Name],$N495),"")</f>
        <v/>
      </c>
      <c r="N495">
        <f>IF(N494="","",IFERROR(N494+MATCH(1,INDEX(tblBilling[Print Match],N494+1):INDEX(tblBilling[Print Match],ROWS(tblBilling[Print Match])),0),""))</f>
        <v/>
      </c>
      <c r="O495">
        <f>ROW()-9-MIN(PC_Count,500)</f>
        <v/>
      </c>
    </row>
    <row r="496" ht="20" customHeight="1">
      <c r="A496" s="52">
        <f>IF($N496="","",ROW()-9)</f>
        <v/>
      </c>
      <c r="B496" s="53">
        <f>IF($N496&lt;&gt;"",INDEX(tblBilling[Customer ID],$N496),"")</f>
        <v/>
      </c>
      <c r="C496" s="53">
        <f>IF($N496&lt;&gt;"",INDEX(tblBilling[Customer Name],$N496),CHOOSE(MIN(MAX($O496,0),7)+1,"","TOTAL","","Total Customers: "&amp;PC_Count,"Total Recovered: "&amp;CFG_CurrencySymbol&amp;" "&amp;TEXT(PC_TotalPaid,"#,##0"),"","Collector Signature: ____________",""))</f>
        <v/>
      </c>
      <c r="D496" s="53">
        <f>IF($N496&lt;&gt;"",INDEX(tblBilling[Full Address],$N496),CHOOSE(MIN(MAX($O496,0),7)+1,"","","","Total Billing: "&amp;CFG_CurrencySymbol&amp;" "&amp;TEXT(PC_TotalFee,"#,##0"),"Total Pending: "&amp;CFG_CurrencySymbol&amp;" "&amp;TEXT(PC_TotalBalance,"#,##0"),"","Office Verification: ____________",""))</f>
        <v/>
      </c>
      <c r="E496" s="53">
        <f>IF($N496&lt;&gt;"",INDEX(tblBilling[VLAN ID],$N496),"")</f>
        <v/>
      </c>
      <c r="F496" s="52">
        <f>IF($N496&lt;&gt;"",INDEX(tblBilling[Due Date],$N496),"")</f>
        <v/>
      </c>
      <c r="G496" s="54">
        <f>IF($N496&lt;&gt;"",INDEX(tblBilling[Monthly Fee],$N496),IF($O496=1,PC_TotalFee,""))</f>
        <v/>
      </c>
      <c r="H496" s="54">
        <f>IF($N496&lt;&gt;"",INDEX(tblBilling[Amount Paid],$N496),IF($O496=1,PC_TotalPaid,""))</f>
        <v/>
      </c>
      <c r="I496" s="54">
        <f>IF($N496&lt;&gt;"",INDEX(tblBilling[Balance],$N496),IF($O496=1,PC_TotalBalance,""))</f>
        <v/>
      </c>
      <c r="J496" s="53">
        <f>IF($N496&lt;&gt;"",INDEX(tblBilling[Payment Status],$N496),"")</f>
        <v/>
      </c>
      <c r="K496" s="55">
        <f>IF($N496&lt;&gt;"",IF(INDEX(tblBilling[Last Payment Date],$N496)="","",INDEX(tblBilling[Last Payment Date],$N496)),"")</f>
        <v/>
      </c>
      <c r="L496" s="53">
        <f>IF($N496&lt;&gt;"",INDEX(tblBilling[Collector Name],$N496),"")</f>
        <v/>
      </c>
      <c r="N496">
        <f>IF(N495="","",IFERROR(N495+MATCH(1,INDEX(tblBilling[Print Match],N495+1):INDEX(tblBilling[Print Match],ROWS(tblBilling[Print Match])),0),""))</f>
        <v/>
      </c>
      <c r="O496">
        <f>ROW()-9-MIN(PC_Count,500)</f>
        <v/>
      </c>
    </row>
    <row r="497" ht="20" customHeight="1">
      <c r="A497" s="52">
        <f>IF($N497="","",ROW()-9)</f>
        <v/>
      </c>
      <c r="B497" s="53">
        <f>IF($N497&lt;&gt;"",INDEX(tblBilling[Customer ID],$N497),"")</f>
        <v/>
      </c>
      <c r="C497" s="53">
        <f>IF($N497&lt;&gt;"",INDEX(tblBilling[Customer Name],$N497),CHOOSE(MIN(MAX($O497,0),7)+1,"","TOTAL","","Total Customers: "&amp;PC_Count,"Total Recovered: "&amp;CFG_CurrencySymbol&amp;" "&amp;TEXT(PC_TotalPaid,"#,##0"),"","Collector Signature: ____________",""))</f>
        <v/>
      </c>
      <c r="D497" s="53">
        <f>IF($N497&lt;&gt;"",INDEX(tblBilling[Full Address],$N497),CHOOSE(MIN(MAX($O497,0),7)+1,"","","","Total Billing: "&amp;CFG_CurrencySymbol&amp;" "&amp;TEXT(PC_TotalFee,"#,##0"),"Total Pending: "&amp;CFG_CurrencySymbol&amp;" "&amp;TEXT(PC_TotalBalance,"#,##0"),"","Office Verification: ____________",""))</f>
        <v/>
      </c>
      <c r="E497" s="53">
        <f>IF($N497&lt;&gt;"",INDEX(tblBilling[VLAN ID],$N497),"")</f>
        <v/>
      </c>
      <c r="F497" s="52">
        <f>IF($N497&lt;&gt;"",INDEX(tblBilling[Due Date],$N497),"")</f>
        <v/>
      </c>
      <c r="G497" s="54">
        <f>IF($N497&lt;&gt;"",INDEX(tblBilling[Monthly Fee],$N497),IF($O497=1,PC_TotalFee,""))</f>
        <v/>
      </c>
      <c r="H497" s="54">
        <f>IF($N497&lt;&gt;"",INDEX(tblBilling[Amount Paid],$N497),IF($O497=1,PC_TotalPaid,""))</f>
        <v/>
      </c>
      <c r="I497" s="54">
        <f>IF($N497&lt;&gt;"",INDEX(tblBilling[Balance],$N497),IF($O497=1,PC_TotalBalance,""))</f>
        <v/>
      </c>
      <c r="J497" s="53">
        <f>IF($N497&lt;&gt;"",INDEX(tblBilling[Payment Status],$N497),"")</f>
        <v/>
      </c>
      <c r="K497" s="55">
        <f>IF($N497&lt;&gt;"",IF(INDEX(tblBilling[Last Payment Date],$N497)="","",INDEX(tblBilling[Last Payment Date],$N497)),"")</f>
        <v/>
      </c>
      <c r="L497" s="53">
        <f>IF($N497&lt;&gt;"",INDEX(tblBilling[Collector Name],$N497),"")</f>
        <v/>
      </c>
      <c r="N497">
        <f>IF(N496="","",IFERROR(N496+MATCH(1,INDEX(tblBilling[Print Match],N496+1):INDEX(tblBilling[Print Match],ROWS(tblBilling[Print Match])),0),""))</f>
        <v/>
      </c>
      <c r="O497">
        <f>ROW()-9-MIN(PC_Count,500)</f>
        <v/>
      </c>
    </row>
    <row r="498" ht="20" customHeight="1">
      <c r="A498" s="52">
        <f>IF($N498="","",ROW()-9)</f>
        <v/>
      </c>
      <c r="B498" s="53">
        <f>IF($N498&lt;&gt;"",INDEX(tblBilling[Customer ID],$N498),"")</f>
        <v/>
      </c>
      <c r="C498" s="53">
        <f>IF($N498&lt;&gt;"",INDEX(tblBilling[Customer Name],$N498),CHOOSE(MIN(MAX($O498,0),7)+1,"","TOTAL","","Total Customers: "&amp;PC_Count,"Total Recovered: "&amp;CFG_CurrencySymbol&amp;" "&amp;TEXT(PC_TotalPaid,"#,##0"),"","Collector Signature: ____________",""))</f>
        <v/>
      </c>
      <c r="D498" s="53">
        <f>IF($N498&lt;&gt;"",INDEX(tblBilling[Full Address],$N498),CHOOSE(MIN(MAX($O498,0),7)+1,"","","","Total Billing: "&amp;CFG_CurrencySymbol&amp;" "&amp;TEXT(PC_TotalFee,"#,##0"),"Total Pending: "&amp;CFG_CurrencySymbol&amp;" "&amp;TEXT(PC_TotalBalance,"#,##0"),"","Office Verification: ____________",""))</f>
        <v/>
      </c>
      <c r="E498" s="53">
        <f>IF($N498&lt;&gt;"",INDEX(tblBilling[VLAN ID],$N498),"")</f>
        <v/>
      </c>
      <c r="F498" s="52">
        <f>IF($N498&lt;&gt;"",INDEX(tblBilling[Due Date],$N498),"")</f>
        <v/>
      </c>
      <c r="G498" s="54">
        <f>IF($N498&lt;&gt;"",INDEX(tblBilling[Monthly Fee],$N498),IF($O498=1,PC_TotalFee,""))</f>
        <v/>
      </c>
      <c r="H498" s="54">
        <f>IF($N498&lt;&gt;"",INDEX(tblBilling[Amount Paid],$N498),IF($O498=1,PC_TotalPaid,""))</f>
        <v/>
      </c>
      <c r="I498" s="54">
        <f>IF($N498&lt;&gt;"",INDEX(tblBilling[Balance],$N498),IF($O498=1,PC_TotalBalance,""))</f>
        <v/>
      </c>
      <c r="J498" s="53">
        <f>IF($N498&lt;&gt;"",INDEX(tblBilling[Payment Status],$N498),"")</f>
        <v/>
      </c>
      <c r="K498" s="55">
        <f>IF($N498&lt;&gt;"",IF(INDEX(tblBilling[Last Payment Date],$N498)="","",INDEX(tblBilling[Last Payment Date],$N498)),"")</f>
        <v/>
      </c>
      <c r="L498" s="53">
        <f>IF($N498&lt;&gt;"",INDEX(tblBilling[Collector Name],$N498),"")</f>
        <v/>
      </c>
      <c r="N498">
        <f>IF(N497="","",IFERROR(N497+MATCH(1,INDEX(tblBilling[Print Match],N497+1):INDEX(tblBilling[Print Match],ROWS(tblBilling[Print Match])),0),""))</f>
        <v/>
      </c>
      <c r="O498">
        <f>ROW()-9-MIN(PC_Count,500)</f>
        <v/>
      </c>
    </row>
    <row r="499" ht="20" customHeight="1">
      <c r="A499" s="52">
        <f>IF($N499="","",ROW()-9)</f>
        <v/>
      </c>
      <c r="B499" s="53">
        <f>IF($N499&lt;&gt;"",INDEX(tblBilling[Customer ID],$N499),"")</f>
        <v/>
      </c>
      <c r="C499" s="53">
        <f>IF($N499&lt;&gt;"",INDEX(tblBilling[Customer Name],$N499),CHOOSE(MIN(MAX($O499,0),7)+1,"","TOTAL","","Total Customers: "&amp;PC_Count,"Total Recovered: "&amp;CFG_CurrencySymbol&amp;" "&amp;TEXT(PC_TotalPaid,"#,##0"),"","Collector Signature: ____________",""))</f>
        <v/>
      </c>
      <c r="D499" s="53">
        <f>IF($N499&lt;&gt;"",INDEX(tblBilling[Full Address],$N499),CHOOSE(MIN(MAX($O499,0),7)+1,"","","","Total Billing: "&amp;CFG_CurrencySymbol&amp;" "&amp;TEXT(PC_TotalFee,"#,##0"),"Total Pending: "&amp;CFG_CurrencySymbol&amp;" "&amp;TEXT(PC_TotalBalance,"#,##0"),"","Office Verification: ____________",""))</f>
        <v/>
      </c>
      <c r="E499" s="53">
        <f>IF($N499&lt;&gt;"",INDEX(tblBilling[VLAN ID],$N499),"")</f>
        <v/>
      </c>
      <c r="F499" s="52">
        <f>IF($N499&lt;&gt;"",INDEX(tblBilling[Due Date],$N499),"")</f>
        <v/>
      </c>
      <c r="G499" s="54">
        <f>IF($N499&lt;&gt;"",INDEX(tblBilling[Monthly Fee],$N499),IF($O499=1,PC_TotalFee,""))</f>
        <v/>
      </c>
      <c r="H499" s="54">
        <f>IF($N499&lt;&gt;"",INDEX(tblBilling[Amount Paid],$N499),IF($O499=1,PC_TotalPaid,""))</f>
        <v/>
      </c>
      <c r="I499" s="54">
        <f>IF($N499&lt;&gt;"",INDEX(tblBilling[Balance],$N499),IF($O499=1,PC_TotalBalance,""))</f>
        <v/>
      </c>
      <c r="J499" s="53">
        <f>IF($N499&lt;&gt;"",INDEX(tblBilling[Payment Status],$N499),"")</f>
        <v/>
      </c>
      <c r="K499" s="55">
        <f>IF($N499&lt;&gt;"",IF(INDEX(tblBilling[Last Payment Date],$N499)="","",INDEX(tblBilling[Last Payment Date],$N499)),"")</f>
        <v/>
      </c>
      <c r="L499" s="53">
        <f>IF($N499&lt;&gt;"",INDEX(tblBilling[Collector Name],$N499),"")</f>
        <v/>
      </c>
      <c r="N499">
        <f>IF(N498="","",IFERROR(N498+MATCH(1,INDEX(tblBilling[Print Match],N498+1):INDEX(tblBilling[Print Match],ROWS(tblBilling[Print Match])),0),""))</f>
        <v/>
      </c>
      <c r="O499">
        <f>ROW()-9-MIN(PC_Count,500)</f>
        <v/>
      </c>
    </row>
    <row r="500" ht="20" customHeight="1">
      <c r="A500" s="52">
        <f>IF($N500="","",ROW()-9)</f>
        <v/>
      </c>
      <c r="B500" s="53">
        <f>IF($N500&lt;&gt;"",INDEX(tblBilling[Customer ID],$N500),"")</f>
        <v/>
      </c>
      <c r="C500" s="53">
        <f>IF($N500&lt;&gt;"",INDEX(tblBilling[Customer Name],$N500),CHOOSE(MIN(MAX($O500,0),7)+1,"","TOTAL","","Total Customers: "&amp;PC_Count,"Total Recovered: "&amp;CFG_CurrencySymbol&amp;" "&amp;TEXT(PC_TotalPaid,"#,##0"),"","Collector Signature: ____________",""))</f>
        <v/>
      </c>
      <c r="D500" s="53">
        <f>IF($N500&lt;&gt;"",INDEX(tblBilling[Full Address],$N500),CHOOSE(MIN(MAX($O500,0),7)+1,"","","","Total Billing: "&amp;CFG_CurrencySymbol&amp;" "&amp;TEXT(PC_TotalFee,"#,##0"),"Total Pending: "&amp;CFG_CurrencySymbol&amp;" "&amp;TEXT(PC_TotalBalance,"#,##0"),"","Office Verification: ____________",""))</f>
        <v/>
      </c>
      <c r="E500" s="53">
        <f>IF($N500&lt;&gt;"",INDEX(tblBilling[VLAN ID],$N500),"")</f>
        <v/>
      </c>
      <c r="F500" s="52">
        <f>IF($N500&lt;&gt;"",INDEX(tblBilling[Due Date],$N500),"")</f>
        <v/>
      </c>
      <c r="G500" s="54">
        <f>IF($N500&lt;&gt;"",INDEX(tblBilling[Monthly Fee],$N500),IF($O500=1,PC_TotalFee,""))</f>
        <v/>
      </c>
      <c r="H500" s="54">
        <f>IF($N500&lt;&gt;"",INDEX(tblBilling[Amount Paid],$N500),IF($O500=1,PC_TotalPaid,""))</f>
        <v/>
      </c>
      <c r="I500" s="54">
        <f>IF($N500&lt;&gt;"",INDEX(tblBilling[Balance],$N500),IF($O500=1,PC_TotalBalance,""))</f>
        <v/>
      </c>
      <c r="J500" s="53">
        <f>IF($N500&lt;&gt;"",INDEX(tblBilling[Payment Status],$N500),"")</f>
        <v/>
      </c>
      <c r="K500" s="55">
        <f>IF($N500&lt;&gt;"",IF(INDEX(tblBilling[Last Payment Date],$N500)="","",INDEX(tblBilling[Last Payment Date],$N500)),"")</f>
        <v/>
      </c>
      <c r="L500" s="53">
        <f>IF($N500&lt;&gt;"",INDEX(tblBilling[Collector Name],$N500),"")</f>
        <v/>
      </c>
      <c r="N500">
        <f>IF(N499="","",IFERROR(N499+MATCH(1,INDEX(tblBilling[Print Match],N499+1):INDEX(tblBilling[Print Match],ROWS(tblBilling[Print Match])),0),""))</f>
        <v/>
      </c>
      <c r="O500">
        <f>ROW()-9-MIN(PC_Count,500)</f>
        <v/>
      </c>
    </row>
    <row r="501" ht="20" customHeight="1">
      <c r="A501" s="52">
        <f>IF($N501="","",ROW()-9)</f>
        <v/>
      </c>
      <c r="B501" s="53">
        <f>IF($N501&lt;&gt;"",INDEX(tblBilling[Customer ID],$N501),"")</f>
        <v/>
      </c>
      <c r="C501" s="53">
        <f>IF($N501&lt;&gt;"",INDEX(tblBilling[Customer Name],$N501),CHOOSE(MIN(MAX($O501,0),7)+1,"","TOTAL","","Total Customers: "&amp;PC_Count,"Total Recovered: "&amp;CFG_CurrencySymbol&amp;" "&amp;TEXT(PC_TotalPaid,"#,##0"),"","Collector Signature: ____________",""))</f>
        <v/>
      </c>
      <c r="D501" s="53">
        <f>IF($N501&lt;&gt;"",INDEX(tblBilling[Full Address],$N501),CHOOSE(MIN(MAX($O501,0),7)+1,"","","","Total Billing: "&amp;CFG_CurrencySymbol&amp;" "&amp;TEXT(PC_TotalFee,"#,##0"),"Total Pending: "&amp;CFG_CurrencySymbol&amp;" "&amp;TEXT(PC_TotalBalance,"#,##0"),"","Office Verification: ____________",""))</f>
        <v/>
      </c>
      <c r="E501" s="53">
        <f>IF($N501&lt;&gt;"",INDEX(tblBilling[VLAN ID],$N501),"")</f>
        <v/>
      </c>
      <c r="F501" s="52">
        <f>IF($N501&lt;&gt;"",INDEX(tblBilling[Due Date],$N501),"")</f>
        <v/>
      </c>
      <c r="G501" s="54">
        <f>IF($N501&lt;&gt;"",INDEX(tblBilling[Monthly Fee],$N501),IF($O501=1,PC_TotalFee,""))</f>
        <v/>
      </c>
      <c r="H501" s="54">
        <f>IF($N501&lt;&gt;"",INDEX(tblBilling[Amount Paid],$N501),IF($O501=1,PC_TotalPaid,""))</f>
        <v/>
      </c>
      <c r="I501" s="54">
        <f>IF($N501&lt;&gt;"",INDEX(tblBilling[Balance],$N501),IF($O501=1,PC_TotalBalance,""))</f>
        <v/>
      </c>
      <c r="J501" s="53">
        <f>IF($N501&lt;&gt;"",INDEX(tblBilling[Payment Status],$N501),"")</f>
        <v/>
      </c>
      <c r="K501" s="55">
        <f>IF($N501&lt;&gt;"",IF(INDEX(tblBilling[Last Payment Date],$N501)="","",INDEX(tblBilling[Last Payment Date],$N501)),"")</f>
        <v/>
      </c>
      <c r="L501" s="53">
        <f>IF($N501&lt;&gt;"",INDEX(tblBilling[Collector Name],$N501),"")</f>
        <v/>
      </c>
      <c r="N501">
        <f>IF(N500="","",IFERROR(N500+MATCH(1,INDEX(tblBilling[Print Match],N500+1):INDEX(tblBilling[Print Match],ROWS(tblBilling[Print Match])),0),""))</f>
        <v/>
      </c>
      <c r="O501">
        <f>ROW()-9-MIN(PC_Count,500)</f>
        <v/>
      </c>
    </row>
    <row r="502" ht="20" customHeight="1">
      <c r="A502" s="52">
        <f>IF($N502="","",ROW()-9)</f>
        <v/>
      </c>
      <c r="B502" s="53">
        <f>IF($N502&lt;&gt;"",INDEX(tblBilling[Customer ID],$N502),"")</f>
        <v/>
      </c>
      <c r="C502" s="53">
        <f>IF($N502&lt;&gt;"",INDEX(tblBilling[Customer Name],$N502),CHOOSE(MIN(MAX($O502,0),7)+1,"","TOTAL","","Total Customers: "&amp;PC_Count,"Total Recovered: "&amp;CFG_CurrencySymbol&amp;" "&amp;TEXT(PC_TotalPaid,"#,##0"),"","Collector Signature: ____________",""))</f>
        <v/>
      </c>
      <c r="D502" s="53">
        <f>IF($N502&lt;&gt;"",INDEX(tblBilling[Full Address],$N502),CHOOSE(MIN(MAX($O502,0),7)+1,"","","","Total Billing: "&amp;CFG_CurrencySymbol&amp;" "&amp;TEXT(PC_TotalFee,"#,##0"),"Total Pending: "&amp;CFG_CurrencySymbol&amp;" "&amp;TEXT(PC_TotalBalance,"#,##0"),"","Office Verification: ____________",""))</f>
        <v/>
      </c>
      <c r="E502" s="53">
        <f>IF($N502&lt;&gt;"",INDEX(tblBilling[VLAN ID],$N502),"")</f>
        <v/>
      </c>
      <c r="F502" s="52">
        <f>IF($N502&lt;&gt;"",INDEX(tblBilling[Due Date],$N502),"")</f>
        <v/>
      </c>
      <c r="G502" s="54">
        <f>IF($N502&lt;&gt;"",INDEX(tblBilling[Monthly Fee],$N502),IF($O502=1,PC_TotalFee,""))</f>
        <v/>
      </c>
      <c r="H502" s="54">
        <f>IF($N502&lt;&gt;"",INDEX(tblBilling[Amount Paid],$N502),IF($O502=1,PC_TotalPaid,""))</f>
        <v/>
      </c>
      <c r="I502" s="54">
        <f>IF($N502&lt;&gt;"",INDEX(tblBilling[Balance],$N502),IF($O502=1,PC_TotalBalance,""))</f>
        <v/>
      </c>
      <c r="J502" s="53">
        <f>IF($N502&lt;&gt;"",INDEX(tblBilling[Payment Status],$N502),"")</f>
        <v/>
      </c>
      <c r="K502" s="55">
        <f>IF($N502&lt;&gt;"",IF(INDEX(tblBilling[Last Payment Date],$N502)="","",INDEX(tblBilling[Last Payment Date],$N502)),"")</f>
        <v/>
      </c>
      <c r="L502" s="53">
        <f>IF($N502&lt;&gt;"",INDEX(tblBilling[Collector Name],$N502),"")</f>
        <v/>
      </c>
      <c r="N502">
        <f>IF(N501="","",IFERROR(N501+MATCH(1,INDEX(tblBilling[Print Match],N501+1):INDEX(tblBilling[Print Match],ROWS(tblBilling[Print Match])),0),""))</f>
        <v/>
      </c>
      <c r="O502">
        <f>ROW()-9-MIN(PC_Count,500)</f>
        <v/>
      </c>
    </row>
    <row r="503" ht="20" customHeight="1">
      <c r="A503" s="52">
        <f>IF($N503="","",ROW()-9)</f>
        <v/>
      </c>
      <c r="B503" s="53">
        <f>IF($N503&lt;&gt;"",INDEX(tblBilling[Customer ID],$N503),"")</f>
        <v/>
      </c>
      <c r="C503" s="53">
        <f>IF($N503&lt;&gt;"",INDEX(tblBilling[Customer Name],$N503),CHOOSE(MIN(MAX($O503,0),7)+1,"","TOTAL","","Total Customers: "&amp;PC_Count,"Total Recovered: "&amp;CFG_CurrencySymbol&amp;" "&amp;TEXT(PC_TotalPaid,"#,##0"),"","Collector Signature: ____________",""))</f>
        <v/>
      </c>
      <c r="D503" s="53">
        <f>IF($N503&lt;&gt;"",INDEX(tblBilling[Full Address],$N503),CHOOSE(MIN(MAX($O503,0),7)+1,"","","","Total Billing: "&amp;CFG_CurrencySymbol&amp;" "&amp;TEXT(PC_TotalFee,"#,##0"),"Total Pending: "&amp;CFG_CurrencySymbol&amp;" "&amp;TEXT(PC_TotalBalance,"#,##0"),"","Office Verification: ____________",""))</f>
        <v/>
      </c>
      <c r="E503" s="53">
        <f>IF($N503&lt;&gt;"",INDEX(tblBilling[VLAN ID],$N503),"")</f>
        <v/>
      </c>
      <c r="F503" s="52">
        <f>IF($N503&lt;&gt;"",INDEX(tblBilling[Due Date],$N503),"")</f>
        <v/>
      </c>
      <c r="G503" s="54">
        <f>IF($N503&lt;&gt;"",INDEX(tblBilling[Monthly Fee],$N503),IF($O503=1,PC_TotalFee,""))</f>
        <v/>
      </c>
      <c r="H503" s="54">
        <f>IF($N503&lt;&gt;"",INDEX(tblBilling[Amount Paid],$N503),IF($O503=1,PC_TotalPaid,""))</f>
        <v/>
      </c>
      <c r="I503" s="54">
        <f>IF($N503&lt;&gt;"",INDEX(tblBilling[Balance],$N503),IF($O503=1,PC_TotalBalance,""))</f>
        <v/>
      </c>
      <c r="J503" s="53">
        <f>IF($N503&lt;&gt;"",INDEX(tblBilling[Payment Status],$N503),"")</f>
        <v/>
      </c>
      <c r="K503" s="55">
        <f>IF($N503&lt;&gt;"",IF(INDEX(tblBilling[Last Payment Date],$N503)="","",INDEX(tblBilling[Last Payment Date],$N503)),"")</f>
        <v/>
      </c>
      <c r="L503" s="53">
        <f>IF($N503&lt;&gt;"",INDEX(tblBilling[Collector Name],$N503),"")</f>
        <v/>
      </c>
      <c r="N503">
        <f>IF(N502="","",IFERROR(N502+MATCH(1,INDEX(tblBilling[Print Match],N502+1):INDEX(tblBilling[Print Match],ROWS(tblBilling[Print Match])),0),""))</f>
        <v/>
      </c>
      <c r="O503">
        <f>ROW()-9-MIN(PC_Count,500)</f>
        <v/>
      </c>
    </row>
    <row r="504" ht="20" customHeight="1">
      <c r="A504" s="52">
        <f>IF($N504="","",ROW()-9)</f>
        <v/>
      </c>
      <c r="B504" s="53">
        <f>IF($N504&lt;&gt;"",INDEX(tblBilling[Customer ID],$N504),"")</f>
        <v/>
      </c>
      <c r="C504" s="53">
        <f>IF($N504&lt;&gt;"",INDEX(tblBilling[Customer Name],$N504),CHOOSE(MIN(MAX($O504,0),7)+1,"","TOTAL","","Total Customers: "&amp;PC_Count,"Total Recovered: "&amp;CFG_CurrencySymbol&amp;" "&amp;TEXT(PC_TotalPaid,"#,##0"),"","Collector Signature: ____________",""))</f>
        <v/>
      </c>
      <c r="D504" s="53">
        <f>IF($N504&lt;&gt;"",INDEX(tblBilling[Full Address],$N504),CHOOSE(MIN(MAX($O504,0),7)+1,"","","","Total Billing: "&amp;CFG_CurrencySymbol&amp;" "&amp;TEXT(PC_TotalFee,"#,##0"),"Total Pending: "&amp;CFG_CurrencySymbol&amp;" "&amp;TEXT(PC_TotalBalance,"#,##0"),"","Office Verification: ____________",""))</f>
        <v/>
      </c>
      <c r="E504" s="53">
        <f>IF($N504&lt;&gt;"",INDEX(tblBilling[VLAN ID],$N504),"")</f>
        <v/>
      </c>
      <c r="F504" s="52">
        <f>IF($N504&lt;&gt;"",INDEX(tblBilling[Due Date],$N504),"")</f>
        <v/>
      </c>
      <c r="G504" s="54">
        <f>IF($N504&lt;&gt;"",INDEX(tblBilling[Monthly Fee],$N504),IF($O504=1,PC_TotalFee,""))</f>
        <v/>
      </c>
      <c r="H504" s="54">
        <f>IF($N504&lt;&gt;"",INDEX(tblBilling[Amount Paid],$N504),IF($O504=1,PC_TotalPaid,""))</f>
        <v/>
      </c>
      <c r="I504" s="54">
        <f>IF($N504&lt;&gt;"",INDEX(tblBilling[Balance],$N504),IF($O504=1,PC_TotalBalance,""))</f>
        <v/>
      </c>
      <c r="J504" s="53">
        <f>IF($N504&lt;&gt;"",INDEX(tblBilling[Payment Status],$N504),"")</f>
        <v/>
      </c>
      <c r="K504" s="55">
        <f>IF($N504&lt;&gt;"",IF(INDEX(tblBilling[Last Payment Date],$N504)="","",INDEX(tblBilling[Last Payment Date],$N504)),"")</f>
        <v/>
      </c>
      <c r="L504" s="53">
        <f>IF($N504&lt;&gt;"",INDEX(tblBilling[Collector Name],$N504),"")</f>
        <v/>
      </c>
      <c r="N504">
        <f>IF(N503="","",IFERROR(N503+MATCH(1,INDEX(tblBilling[Print Match],N503+1):INDEX(tblBilling[Print Match],ROWS(tblBilling[Print Match])),0),""))</f>
        <v/>
      </c>
      <c r="O504">
        <f>ROW()-9-MIN(PC_Count,500)</f>
        <v/>
      </c>
    </row>
    <row r="505" ht="20" customHeight="1">
      <c r="A505" s="52">
        <f>IF($N505="","",ROW()-9)</f>
        <v/>
      </c>
      <c r="B505" s="53">
        <f>IF($N505&lt;&gt;"",INDEX(tblBilling[Customer ID],$N505),"")</f>
        <v/>
      </c>
      <c r="C505" s="53">
        <f>IF($N505&lt;&gt;"",INDEX(tblBilling[Customer Name],$N505),CHOOSE(MIN(MAX($O505,0),7)+1,"","TOTAL","","Total Customers: "&amp;PC_Count,"Total Recovered: "&amp;CFG_CurrencySymbol&amp;" "&amp;TEXT(PC_TotalPaid,"#,##0"),"","Collector Signature: ____________",""))</f>
        <v/>
      </c>
      <c r="D505" s="53">
        <f>IF($N505&lt;&gt;"",INDEX(tblBilling[Full Address],$N505),CHOOSE(MIN(MAX($O505,0),7)+1,"","","","Total Billing: "&amp;CFG_CurrencySymbol&amp;" "&amp;TEXT(PC_TotalFee,"#,##0"),"Total Pending: "&amp;CFG_CurrencySymbol&amp;" "&amp;TEXT(PC_TotalBalance,"#,##0"),"","Office Verification: ____________",""))</f>
        <v/>
      </c>
      <c r="E505" s="53">
        <f>IF($N505&lt;&gt;"",INDEX(tblBilling[VLAN ID],$N505),"")</f>
        <v/>
      </c>
      <c r="F505" s="52">
        <f>IF($N505&lt;&gt;"",INDEX(tblBilling[Due Date],$N505),"")</f>
        <v/>
      </c>
      <c r="G505" s="54">
        <f>IF($N505&lt;&gt;"",INDEX(tblBilling[Monthly Fee],$N505),IF($O505=1,PC_TotalFee,""))</f>
        <v/>
      </c>
      <c r="H505" s="54">
        <f>IF($N505&lt;&gt;"",INDEX(tblBilling[Amount Paid],$N505),IF($O505=1,PC_TotalPaid,""))</f>
        <v/>
      </c>
      <c r="I505" s="54">
        <f>IF($N505&lt;&gt;"",INDEX(tblBilling[Balance],$N505),IF($O505=1,PC_TotalBalance,""))</f>
        <v/>
      </c>
      <c r="J505" s="53">
        <f>IF($N505&lt;&gt;"",INDEX(tblBilling[Payment Status],$N505),"")</f>
        <v/>
      </c>
      <c r="K505" s="55">
        <f>IF($N505&lt;&gt;"",IF(INDEX(tblBilling[Last Payment Date],$N505)="","",INDEX(tblBilling[Last Payment Date],$N505)),"")</f>
        <v/>
      </c>
      <c r="L505" s="53">
        <f>IF($N505&lt;&gt;"",INDEX(tblBilling[Collector Name],$N505),"")</f>
        <v/>
      </c>
      <c r="N505">
        <f>IF(N504="","",IFERROR(N504+MATCH(1,INDEX(tblBilling[Print Match],N504+1):INDEX(tblBilling[Print Match],ROWS(tblBilling[Print Match])),0),""))</f>
        <v/>
      </c>
      <c r="O505">
        <f>ROW()-9-MIN(PC_Count,500)</f>
        <v/>
      </c>
    </row>
    <row r="506" ht="20" customHeight="1">
      <c r="A506" s="52">
        <f>IF($N506="","",ROW()-9)</f>
        <v/>
      </c>
      <c r="B506" s="53">
        <f>IF($N506&lt;&gt;"",INDEX(tblBilling[Customer ID],$N506),"")</f>
        <v/>
      </c>
      <c r="C506" s="53">
        <f>IF($N506&lt;&gt;"",INDEX(tblBilling[Customer Name],$N506),CHOOSE(MIN(MAX($O506,0),7)+1,"","TOTAL","","Total Customers: "&amp;PC_Count,"Total Recovered: "&amp;CFG_CurrencySymbol&amp;" "&amp;TEXT(PC_TotalPaid,"#,##0"),"","Collector Signature: ____________",""))</f>
        <v/>
      </c>
      <c r="D506" s="53">
        <f>IF($N506&lt;&gt;"",INDEX(tblBilling[Full Address],$N506),CHOOSE(MIN(MAX($O506,0),7)+1,"","","","Total Billing: "&amp;CFG_CurrencySymbol&amp;" "&amp;TEXT(PC_TotalFee,"#,##0"),"Total Pending: "&amp;CFG_CurrencySymbol&amp;" "&amp;TEXT(PC_TotalBalance,"#,##0"),"","Office Verification: ____________",""))</f>
        <v/>
      </c>
      <c r="E506" s="53">
        <f>IF($N506&lt;&gt;"",INDEX(tblBilling[VLAN ID],$N506),"")</f>
        <v/>
      </c>
      <c r="F506" s="52">
        <f>IF($N506&lt;&gt;"",INDEX(tblBilling[Due Date],$N506),"")</f>
        <v/>
      </c>
      <c r="G506" s="54">
        <f>IF($N506&lt;&gt;"",INDEX(tblBilling[Monthly Fee],$N506),IF($O506=1,PC_TotalFee,""))</f>
        <v/>
      </c>
      <c r="H506" s="54">
        <f>IF($N506&lt;&gt;"",INDEX(tblBilling[Amount Paid],$N506),IF($O506=1,PC_TotalPaid,""))</f>
        <v/>
      </c>
      <c r="I506" s="54">
        <f>IF($N506&lt;&gt;"",INDEX(tblBilling[Balance],$N506),IF($O506=1,PC_TotalBalance,""))</f>
        <v/>
      </c>
      <c r="J506" s="53">
        <f>IF($N506&lt;&gt;"",INDEX(tblBilling[Payment Status],$N506),"")</f>
        <v/>
      </c>
      <c r="K506" s="55">
        <f>IF($N506&lt;&gt;"",IF(INDEX(tblBilling[Last Payment Date],$N506)="","",INDEX(tblBilling[Last Payment Date],$N506)),"")</f>
        <v/>
      </c>
      <c r="L506" s="53">
        <f>IF($N506&lt;&gt;"",INDEX(tblBilling[Collector Name],$N506),"")</f>
        <v/>
      </c>
      <c r="N506">
        <f>IF(N505="","",IFERROR(N505+MATCH(1,INDEX(tblBilling[Print Match],N505+1):INDEX(tblBilling[Print Match],ROWS(tblBilling[Print Match])),0),""))</f>
        <v/>
      </c>
      <c r="O506">
        <f>ROW()-9-MIN(PC_Count,500)</f>
        <v/>
      </c>
    </row>
    <row r="507" ht="20" customHeight="1">
      <c r="A507" s="52">
        <f>IF($N507="","",ROW()-9)</f>
        <v/>
      </c>
      <c r="B507" s="53">
        <f>IF($N507&lt;&gt;"",INDEX(tblBilling[Customer ID],$N507),"")</f>
        <v/>
      </c>
      <c r="C507" s="53">
        <f>IF($N507&lt;&gt;"",INDEX(tblBilling[Customer Name],$N507),CHOOSE(MIN(MAX($O507,0),7)+1,"","TOTAL","","Total Customers: "&amp;PC_Count,"Total Recovered: "&amp;CFG_CurrencySymbol&amp;" "&amp;TEXT(PC_TotalPaid,"#,##0"),"","Collector Signature: ____________",""))</f>
        <v/>
      </c>
      <c r="D507" s="53">
        <f>IF($N507&lt;&gt;"",INDEX(tblBilling[Full Address],$N507),CHOOSE(MIN(MAX($O507,0),7)+1,"","","","Total Billing: "&amp;CFG_CurrencySymbol&amp;" "&amp;TEXT(PC_TotalFee,"#,##0"),"Total Pending: "&amp;CFG_CurrencySymbol&amp;" "&amp;TEXT(PC_TotalBalance,"#,##0"),"","Office Verification: ____________",""))</f>
        <v/>
      </c>
      <c r="E507" s="53">
        <f>IF($N507&lt;&gt;"",INDEX(tblBilling[VLAN ID],$N507),"")</f>
        <v/>
      </c>
      <c r="F507" s="52">
        <f>IF($N507&lt;&gt;"",INDEX(tblBilling[Due Date],$N507),"")</f>
        <v/>
      </c>
      <c r="G507" s="54">
        <f>IF($N507&lt;&gt;"",INDEX(tblBilling[Monthly Fee],$N507),IF($O507=1,PC_TotalFee,""))</f>
        <v/>
      </c>
      <c r="H507" s="54">
        <f>IF($N507&lt;&gt;"",INDEX(tblBilling[Amount Paid],$N507),IF($O507=1,PC_TotalPaid,""))</f>
        <v/>
      </c>
      <c r="I507" s="54">
        <f>IF($N507&lt;&gt;"",INDEX(tblBilling[Balance],$N507),IF($O507=1,PC_TotalBalance,""))</f>
        <v/>
      </c>
      <c r="J507" s="53">
        <f>IF($N507&lt;&gt;"",INDEX(tblBilling[Payment Status],$N507),"")</f>
        <v/>
      </c>
      <c r="K507" s="55">
        <f>IF($N507&lt;&gt;"",IF(INDEX(tblBilling[Last Payment Date],$N507)="","",INDEX(tblBilling[Last Payment Date],$N507)),"")</f>
        <v/>
      </c>
      <c r="L507" s="53">
        <f>IF($N507&lt;&gt;"",INDEX(tblBilling[Collector Name],$N507),"")</f>
        <v/>
      </c>
      <c r="N507">
        <f>IF(N506="","",IFERROR(N506+MATCH(1,INDEX(tblBilling[Print Match],N506+1):INDEX(tblBilling[Print Match],ROWS(tblBilling[Print Match])),0),""))</f>
        <v/>
      </c>
      <c r="O507">
        <f>ROW()-9-MIN(PC_Count,500)</f>
        <v/>
      </c>
    </row>
    <row r="508" ht="20" customHeight="1">
      <c r="A508" s="52">
        <f>IF($N508="","",ROW()-9)</f>
        <v/>
      </c>
      <c r="B508" s="53">
        <f>IF($N508&lt;&gt;"",INDEX(tblBilling[Customer ID],$N508),"")</f>
        <v/>
      </c>
      <c r="C508" s="53">
        <f>IF($N508&lt;&gt;"",INDEX(tblBilling[Customer Name],$N508),CHOOSE(MIN(MAX($O508,0),7)+1,"","TOTAL","","Total Customers: "&amp;PC_Count,"Total Recovered: "&amp;CFG_CurrencySymbol&amp;" "&amp;TEXT(PC_TotalPaid,"#,##0"),"","Collector Signature: ____________",""))</f>
        <v/>
      </c>
      <c r="D508" s="53">
        <f>IF($N508&lt;&gt;"",INDEX(tblBilling[Full Address],$N508),CHOOSE(MIN(MAX($O508,0),7)+1,"","","","Total Billing: "&amp;CFG_CurrencySymbol&amp;" "&amp;TEXT(PC_TotalFee,"#,##0"),"Total Pending: "&amp;CFG_CurrencySymbol&amp;" "&amp;TEXT(PC_TotalBalance,"#,##0"),"","Office Verification: ____________",""))</f>
        <v/>
      </c>
      <c r="E508" s="53">
        <f>IF($N508&lt;&gt;"",INDEX(tblBilling[VLAN ID],$N508),"")</f>
        <v/>
      </c>
      <c r="F508" s="52">
        <f>IF($N508&lt;&gt;"",INDEX(tblBilling[Due Date],$N508),"")</f>
        <v/>
      </c>
      <c r="G508" s="54">
        <f>IF($N508&lt;&gt;"",INDEX(tblBilling[Monthly Fee],$N508),IF($O508=1,PC_TotalFee,""))</f>
        <v/>
      </c>
      <c r="H508" s="54">
        <f>IF($N508&lt;&gt;"",INDEX(tblBilling[Amount Paid],$N508),IF($O508=1,PC_TotalPaid,""))</f>
        <v/>
      </c>
      <c r="I508" s="54">
        <f>IF($N508&lt;&gt;"",INDEX(tblBilling[Balance],$N508),IF($O508=1,PC_TotalBalance,""))</f>
        <v/>
      </c>
      <c r="J508" s="53">
        <f>IF($N508&lt;&gt;"",INDEX(tblBilling[Payment Status],$N508),"")</f>
        <v/>
      </c>
      <c r="K508" s="55">
        <f>IF($N508&lt;&gt;"",IF(INDEX(tblBilling[Last Payment Date],$N508)="","",INDEX(tblBilling[Last Payment Date],$N508)),"")</f>
        <v/>
      </c>
      <c r="L508" s="53">
        <f>IF($N508&lt;&gt;"",INDEX(tblBilling[Collector Name],$N508),"")</f>
        <v/>
      </c>
      <c r="N508">
        <f>IF(N507="","",IFERROR(N507+MATCH(1,INDEX(tblBilling[Print Match],N507+1):INDEX(tblBilling[Print Match],ROWS(tblBilling[Print Match])),0),""))</f>
        <v/>
      </c>
      <c r="O508">
        <f>ROW()-9-MIN(PC_Count,500)</f>
        <v/>
      </c>
    </row>
    <row r="509" ht="20" customHeight="1">
      <c r="A509" s="52">
        <f>IF($N509="","",ROW()-9)</f>
        <v/>
      </c>
      <c r="B509" s="53">
        <f>IF($N509&lt;&gt;"",INDEX(tblBilling[Customer ID],$N509),"")</f>
        <v/>
      </c>
      <c r="C509" s="53">
        <f>IF($N509&lt;&gt;"",INDEX(tblBilling[Customer Name],$N509),CHOOSE(MIN(MAX($O509,0),7)+1,"","TOTAL","","Total Customers: "&amp;PC_Count,"Total Recovered: "&amp;CFG_CurrencySymbol&amp;" "&amp;TEXT(PC_TotalPaid,"#,##0"),"","Collector Signature: ____________",""))</f>
        <v/>
      </c>
      <c r="D509" s="53">
        <f>IF($N509&lt;&gt;"",INDEX(tblBilling[Full Address],$N509),CHOOSE(MIN(MAX($O509,0),7)+1,"","","","Total Billing: "&amp;CFG_CurrencySymbol&amp;" "&amp;TEXT(PC_TotalFee,"#,##0"),"Total Pending: "&amp;CFG_CurrencySymbol&amp;" "&amp;TEXT(PC_TotalBalance,"#,##0"),"","Office Verification: ____________",""))</f>
        <v/>
      </c>
      <c r="E509" s="53">
        <f>IF($N509&lt;&gt;"",INDEX(tblBilling[VLAN ID],$N509),"")</f>
        <v/>
      </c>
      <c r="F509" s="52">
        <f>IF($N509&lt;&gt;"",INDEX(tblBilling[Due Date],$N509),"")</f>
        <v/>
      </c>
      <c r="G509" s="54">
        <f>IF($N509&lt;&gt;"",INDEX(tblBilling[Monthly Fee],$N509),IF($O509=1,PC_TotalFee,""))</f>
        <v/>
      </c>
      <c r="H509" s="54">
        <f>IF($N509&lt;&gt;"",INDEX(tblBilling[Amount Paid],$N509),IF($O509=1,PC_TotalPaid,""))</f>
        <v/>
      </c>
      <c r="I509" s="54">
        <f>IF($N509&lt;&gt;"",INDEX(tblBilling[Balance],$N509),IF($O509=1,PC_TotalBalance,""))</f>
        <v/>
      </c>
      <c r="J509" s="53">
        <f>IF($N509&lt;&gt;"",INDEX(tblBilling[Payment Status],$N509),"")</f>
        <v/>
      </c>
      <c r="K509" s="55">
        <f>IF($N509&lt;&gt;"",IF(INDEX(tblBilling[Last Payment Date],$N509)="","",INDEX(tblBilling[Last Payment Date],$N509)),"")</f>
        <v/>
      </c>
      <c r="L509" s="53">
        <f>IF($N509&lt;&gt;"",INDEX(tblBilling[Collector Name],$N509),"")</f>
        <v/>
      </c>
      <c r="N509">
        <f>IF(N508="","",IFERROR(N508+MATCH(1,INDEX(tblBilling[Print Match],N508+1):INDEX(tblBilling[Print Match],ROWS(tblBilling[Print Match])),0),""))</f>
        <v/>
      </c>
      <c r="O509">
        <f>ROW()-9-MIN(PC_Count,500)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A2:L2"/>
    <mergeCell ref="A7:B7"/>
    <mergeCell ref="A1:L1"/>
    <mergeCell ref="A5:B5"/>
    <mergeCell ref="A3:L3"/>
    <mergeCell ref="A6:B6"/>
    <mergeCell ref="A4:L4"/>
  </mergeCells>
  <conditionalFormatting sqref="A10:L509">
    <cfRule type="expression" priority="1" dxfId="0">
      <formula>$N10&lt;&gt;""</formula>
    </cfRule>
    <cfRule type="expression" priority="2" dxfId="8">
      <formula>$O10=1</formula>
    </cfRule>
    <cfRule type="expression" priority="3" dxfId="9">
      <formula>OR($O10=3,$O10=4,$O10=6)</formula>
    </cfRule>
  </conditionalFormatting>
  <printOptions horizontalCentered="1"/>
  <pageMargins left="0.4" right="0.4" top="0.5" bottom="0.6" header="0.25" footer="0.25"/>
  <pageSetup orientation="landscape" paperSize="9" fitToHeight="0" fitToWidth="1"/>
  <headerFooter>
    <oddHeader/>
    <oddFooter>&amp;L&amp;9 Collector Signature: ______________     Office Verification: ______________&amp;R&amp;9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Z509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hidden="1" width="13" customWidth="1" min="14" max="14"/>
    <col hidden="1" width="13" customWidth="1" min="15" max="15"/>
  </cols>
  <sheetData>
    <row r="1">
      <c r="A1" s="44">
        <f>CFG_CompanyName</f>
        <v/>
      </c>
      <c r="Z1" s="45">
        <f>MIN(PC_Count,500)+9+7</f>
        <v/>
      </c>
    </row>
    <row r="2">
      <c r="A2" s="46">
        <f>CFG_Tagline</f>
        <v/>
      </c>
    </row>
    <row r="3">
      <c r="A3" s="47" t="inlineStr">
        <is>
          <t>ماہانہ ریکوری شیٹ</t>
        </is>
      </c>
    </row>
    <row r="4">
      <c r="A4" s="48">
        <f>PC_Title</f>
        <v/>
      </c>
    </row>
    <row r="5">
      <c r="A5" s="5" t="inlineStr">
        <is>
          <t>علاقہ:</t>
        </is>
      </c>
      <c r="C5" s="49">
        <f>PC_Area</f>
        <v/>
      </c>
      <c r="D5" s="5" t="inlineStr">
        <is>
          <t>گلی / لوکیشن:</t>
        </is>
      </c>
      <c r="E5" s="49">
        <f>IF(PC_Location="All","All",PC_Location&amp;" - "&amp;IFERROR(INDEX(tblLocations[Full Address],MATCH(PC_Location,tblLocations[Location Code],0)),""))</f>
        <v/>
      </c>
      <c r="H5" s="5" t="inlineStr">
        <is>
          <t>مہینہ:</t>
        </is>
      </c>
      <c r="I5" s="49">
        <f>IFERROR(TEXT(DATE(LEFT(PC_Month,4),MID(PC_Month,6,2),1),"mmmm yyyy"),PC_Month)</f>
        <v/>
      </c>
      <c r="J5" s="5" t="inlineStr">
        <is>
          <t>ریکوری:</t>
        </is>
      </c>
      <c r="K5" s="49">
        <f>PC_Collector</f>
        <v/>
      </c>
    </row>
    <row r="6">
      <c r="A6" s="5" t="inlineStr">
        <is>
          <t>کل کسٹمر:</t>
        </is>
      </c>
      <c r="C6" s="49">
        <f>PC_Count</f>
        <v/>
      </c>
      <c r="D6" s="5" t="inlineStr">
        <is>
          <t>کل بل:</t>
        </is>
      </c>
      <c r="E6" s="49">
        <f>CFG_CurrencySymbol&amp;" "&amp;TEXT(PC_TotalFee,"#,##0")</f>
        <v/>
      </c>
      <c r="H6" s="5" t="inlineStr">
        <is>
          <t>وصول شدہ:</t>
        </is>
      </c>
      <c r="I6" s="49">
        <f>CFG_CurrencySymbol&amp;" "&amp;TEXT(PC_TotalPaid,"#,##0")</f>
        <v/>
      </c>
      <c r="J6" s="5" t="inlineStr">
        <is>
          <t>بقایا:</t>
        </is>
      </c>
      <c r="K6" s="49">
        <f>CFG_CurrencySymbol&amp;" "&amp;TEXT(PC_TotalBalance,"#,##0")</f>
        <v/>
      </c>
    </row>
    <row r="7">
      <c r="A7" s="5" t="inlineStr">
        <is>
          <t>اسٹیٹس:</t>
        </is>
      </c>
      <c r="C7" s="49">
        <f>PC_StatusEff</f>
        <v/>
      </c>
      <c r="D7" s="5" t="inlineStr">
        <is>
          <t>پرنٹ تاریخ:</t>
        </is>
      </c>
      <c r="E7" s="50">
        <f>TODAY()</f>
        <v/>
      </c>
    </row>
    <row r="9" ht="30" customHeight="1">
      <c r="A9" s="51" t="inlineStr">
        <is>
          <t>#</t>
        </is>
      </c>
      <c r="B9" s="51" t="inlineStr">
        <is>
          <t>کسٹمر آئی ڈی</t>
        </is>
      </c>
      <c r="C9" s="51" t="inlineStr">
        <is>
          <t>نام</t>
        </is>
      </c>
      <c r="D9" s="51" t="inlineStr">
        <is>
          <t>پتہ</t>
        </is>
      </c>
      <c r="E9" s="51" t="inlineStr">
        <is>
          <t>VLAN</t>
        </is>
      </c>
      <c r="F9" s="51" t="inlineStr">
        <is>
          <t>تاریخ</t>
        </is>
      </c>
      <c r="G9" s="51" t="inlineStr">
        <is>
          <t>ماہانہ فیس</t>
        </is>
      </c>
      <c r="H9" s="51" t="inlineStr">
        <is>
          <t>وصول شدہ</t>
        </is>
      </c>
      <c r="I9" s="51" t="inlineStr">
        <is>
          <t>بقایا</t>
        </is>
      </c>
      <c r="J9" s="51" t="inlineStr">
        <is>
          <t>اسٹیٹس</t>
        </is>
      </c>
      <c r="K9" s="51" t="inlineStr">
        <is>
          <t>تاریخ وصولی</t>
        </is>
      </c>
      <c r="L9" s="51" t="inlineStr">
        <is>
          <t>ریکوری</t>
        </is>
      </c>
    </row>
    <row r="10" ht="20" customHeight="1">
      <c r="A10" s="52">
        <f>IF(PRINT_SHEET!A10="","",PRINT_SHEET!A10)</f>
        <v/>
      </c>
      <c r="B10" s="53">
        <f>IF(PRINT_SHEET!B10="","",PRINT_SHEET!B10)</f>
        <v/>
      </c>
      <c r="C10" s="56">
        <f>IF(PRINT_SHEET!C10="","",PRINT_SHEET!C10)</f>
        <v/>
      </c>
      <c r="D10" s="56">
        <f>IF(PRINT_SHEET!D10="","",PRINT_SHEET!D10)</f>
        <v/>
      </c>
      <c r="E10" s="53">
        <f>IF(PRINT_SHEET!E10="","",PRINT_SHEET!E10)</f>
        <v/>
      </c>
      <c r="F10" s="52">
        <f>IF(PRINT_SHEET!F10="","",PRINT_SHEET!F10)</f>
        <v/>
      </c>
      <c r="G10" s="54">
        <f>IF(PRINT_SHEET!G10="","",PRINT_SHEET!G10)</f>
        <v/>
      </c>
      <c r="H10" s="54">
        <f>IF(PRINT_SHEET!H10="","",PRINT_SHEET!H10)</f>
        <v/>
      </c>
      <c r="I10" s="54">
        <f>IF(PRINT_SHEET!I10="","",PRINT_SHEET!I10)</f>
        <v/>
      </c>
      <c r="J10" s="53">
        <f>IFERROR(INDEX({"ادا شدہ","جزوی","بقایا"},MATCH(PRINT_SHEET!J10,{"PAID","PARTIAL","PENDING"},0)),PRINT_SHEET!J10)</f>
        <v/>
      </c>
      <c r="K10" s="55">
        <f>IF(PRINT_SHEET!K10="","",PRINT_SHEET!K10)</f>
        <v/>
      </c>
      <c r="L10" s="53">
        <f>IF(PRINT_SHEET!L10="","",PRINT_SHEET!L10)</f>
        <v/>
      </c>
    </row>
    <row r="11" ht="20" customHeight="1">
      <c r="A11" s="52">
        <f>IF(PRINT_SHEET!A11="","",PRINT_SHEET!A11)</f>
        <v/>
      </c>
      <c r="B11" s="53">
        <f>IF(PRINT_SHEET!B11="","",PRINT_SHEET!B11)</f>
        <v/>
      </c>
      <c r="C11" s="56">
        <f>IF(PRINT_SHEET!C11="","",PRINT_SHEET!C11)</f>
        <v/>
      </c>
      <c r="D11" s="56">
        <f>IF(PRINT_SHEET!D11="","",PRINT_SHEET!D11)</f>
        <v/>
      </c>
      <c r="E11" s="53">
        <f>IF(PRINT_SHEET!E11="","",PRINT_SHEET!E11)</f>
        <v/>
      </c>
      <c r="F11" s="52">
        <f>IF(PRINT_SHEET!F11="","",PRINT_SHEET!F11)</f>
        <v/>
      </c>
      <c r="G11" s="54">
        <f>IF(PRINT_SHEET!G11="","",PRINT_SHEET!G11)</f>
        <v/>
      </c>
      <c r="H11" s="54">
        <f>IF(PRINT_SHEET!H11="","",PRINT_SHEET!H11)</f>
        <v/>
      </c>
      <c r="I11" s="54">
        <f>IF(PRINT_SHEET!I11="","",PRINT_SHEET!I11)</f>
        <v/>
      </c>
      <c r="J11" s="53">
        <f>IFERROR(INDEX({"ادا شدہ","جزوی","بقایا"},MATCH(PRINT_SHEET!J11,{"PAID","PARTIAL","PENDING"},0)),PRINT_SHEET!J11)</f>
        <v/>
      </c>
      <c r="K11" s="55">
        <f>IF(PRINT_SHEET!K11="","",PRINT_SHEET!K11)</f>
        <v/>
      </c>
      <c r="L11" s="53">
        <f>IF(PRINT_SHEET!L11="","",PRINT_SHEET!L11)</f>
        <v/>
      </c>
    </row>
    <row r="12" ht="20" customHeight="1">
      <c r="A12" s="52">
        <f>IF(PRINT_SHEET!A12="","",PRINT_SHEET!A12)</f>
        <v/>
      </c>
      <c r="B12" s="53">
        <f>IF(PRINT_SHEET!B12="","",PRINT_SHEET!B12)</f>
        <v/>
      </c>
      <c r="C12" s="56">
        <f>IF(PRINT_SHEET!C12="","",PRINT_SHEET!C12)</f>
        <v/>
      </c>
      <c r="D12" s="56">
        <f>IF(PRINT_SHEET!D12="","",PRINT_SHEET!D12)</f>
        <v/>
      </c>
      <c r="E12" s="53">
        <f>IF(PRINT_SHEET!E12="","",PRINT_SHEET!E12)</f>
        <v/>
      </c>
      <c r="F12" s="52">
        <f>IF(PRINT_SHEET!F12="","",PRINT_SHEET!F12)</f>
        <v/>
      </c>
      <c r="G12" s="54">
        <f>IF(PRINT_SHEET!G12="","",PRINT_SHEET!G12)</f>
        <v/>
      </c>
      <c r="H12" s="54">
        <f>IF(PRINT_SHEET!H12="","",PRINT_SHEET!H12)</f>
        <v/>
      </c>
      <c r="I12" s="54">
        <f>IF(PRINT_SHEET!I12="","",PRINT_SHEET!I12)</f>
        <v/>
      </c>
      <c r="J12" s="53">
        <f>IFERROR(INDEX({"ادا شدہ","جزوی","بقایا"},MATCH(PRINT_SHEET!J12,{"PAID","PARTIAL","PENDING"},0)),PRINT_SHEET!J12)</f>
        <v/>
      </c>
      <c r="K12" s="55">
        <f>IF(PRINT_SHEET!K12="","",PRINT_SHEET!K12)</f>
        <v/>
      </c>
      <c r="L12" s="53">
        <f>IF(PRINT_SHEET!L12="","",PRINT_SHEET!L12)</f>
        <v/>
      </c>
    </row>
    <row r="13" ht="20" customHeight="1">
      <c r="A13" s="52">
        <f>IF(PRINT_SHEET!A13="","",PRINT_SHEET!A13)</f>
        <v/>
      </c>
      <c r="B13" s="53">
        <f>IF(PRINT_SHEET!B13="","",PRINT_SHEET!B13)</f>
        <v/>
      </c>
      <c r="C13" s="56">
        <f>IF(PRINT_SHEET!C13="","",PRINT_SHEET!C13)</f>
        <v/>
      </c>
      <c r="D13" s="56">
        <f>IF(PRINT_SHEET!D13="","",PRINT_SHEET!D13)</f>
        <v/>
      </c>
      <c r="E13" s="53">
        <f>IF(PRINT_SHEET!E13="","",PRINT_SHEET!E13)</f>
        <v/>
      </c>
      <c r="F13" s="52">
        <f>IF(PRINT_SHEET!F13="","",PRINT_SHEET!F13)</f>
        <v/>
      </c>
      <c r="G13" s="54">
        <f>IF(PRINT_SHEET!G13="","",PRINT_SHEET!G13)</f>
        <v/>
      </c>
      <c r="H13" s="54">
        <f>IF(PRINT_SHEET!H13="","",PRINT_SHEET!H13)</f>
        <v/>
      </c>
      <c r="I13" s="54">
        <f>IF(PRINT_SHEET!I13="","",PRINT_SHEET!I13)</f>
        <v/>
      </c>
      <c r="J13" s="53">
        <f>IFERROR(INDEX({"ادا شدہ","جزوی","بقایا"},MATCH(PRINT_SHEET!J13,{"PAID","PARTIAL","PENDING"},0)),PRINT_SHEET!J13)</f>
        <v/>
      </c>
      <c r="K13" s="55">
        <f>IF(PRINT_SHEET!K13="","",PRINT_SHEET!K13)</f>
        <v/>
      </c>
      <c r="L13" s="53">
        <f>IF(PRINT_SHEET!L13="","",PRINT_SHEET!L13)</f>
        <v/>
      </c>
    </row>
    <row r="14" ht="20" customHeight="1">
      <c r="A14" s="52">
        <f>IF(PRINT_SHEET!A14="","",PRINT_SHEET!A14)</f>
        <v/>
      </c>
      <c r="B14" s="53">
        <f>IF(PRINT_SHEET!B14="","",PRINT_SHEET!B14)</f>
        <v/>
      </c>
      <c r="C14" s="56">
        <f>IF(PRINT_SHEET!C14="","",PRINT_SHEET!C14)</f>
        <v/>
      </c>
      <c r="D14" s="56">
        <f>IF(PRINT_SHEET!D14="","",PRINT_SHEET!D14)</f>
        <v/>
      </c>
      <c r="E14" s="53">
        <f>IF(PRINT_SHEET!E14="","",PRINT_SHEET!E14)</f>
        <v/>
      </c>
      <c r="F14" s="52">
        <f>IF(PRINT_SHEET!F14="","",PRINT_SHEET!F14)</f>
        <v/>
      </c>
      <c r="G14" s="54">
        <f>IF(PRINT_SHEET!G14="","",PRINT_SHEET!G14)</f>
        <v/>
      </c>
      <c r="H14" s="54">
        <f>IF(PRINT_SHEET!H14="","",PRINT_SHEET!H14)</f>
        <v/>
      </c>
      <c r="I14" s="54">
        <f>IF(PRINT_SHEET!I14="","",PRINT_SHEET!I14)</f>
        <v/>
      </c>
      <c r="J14" s="53">
        <f>IFERROR(INDEX({"ادا شدہ","جزوی","بقایا"},MATCH(PRINT_SHEET!J14,{"PAID","PARTIAL","PENDING"},0)),PRINT_SHEET!J14)</f>
        <v/>
      </c>
      <c r="K14" s="55">
        <f>IF(PRINT_SHEET!K14="","",PRINT_SHEET!K14)</f>
        <v/>
      </c>
      <c r="L14" s="53">
        <f>IF(PRINT_SHEET!L14="","",PRINT_SHEET!L14)</f>
        <v/>
      </c>
    </row>
    <row r="15" ht="20" customHeight="1">
      <c r="A15" s="52">
        <f>IF(PRINT_SHEET!A15="","",PRINT_SHEET!A15)</f>
        <v/>
      </c>
      <c r="B15" s="53">
        <f>IF(PRINT_SHEET!B15="","",PRINT_SHEET!B15)</f>
        <v/>
      </c>
      <c r="C15" s="56">
        <f>IF(PRINT_SHEET!C15="","",PRINT_SHEET!C15)</f>
        <v/>
      </c>
      <c r="D15" s="56">
        <f>IF(PRINT_SHEET!D15="","",PRINT_SHEET!D15)</f>
        <v/>
      </c>
      <c r="E15" s="53">
        <f>IF(PRINT_SHEET!E15="","",PRINT_SHEET!E15)</f>
        <v/>
      </c>
      <c r="F15" s="52">
        <f>IF(PRINT_SHEET!F15="","",PRINT_SHEET!F15)</f>
        <v/>
      </c>
      <c r="G15" s="54">
        <f>IF(PRINT_SHEET!G15="","",PRINT_SHEET!G15)</f>
        <v/>
      </c>
      <c r="H15" s="54">
        <f>IF(PRINT_SHEET!H15="","",PRINT_SHEET!H15)</f>
        <v/>
      </c>
      <c r="I15" s="54">
        <f>IF(PRINT_SHEET!I15="","",PRINT_SHEET!I15)</f>
        <v/>
      </c>
      <c r="J15" s="53">
        <f>IFERROR(INDEX({"ادا شدہ","جزوی","بقایا"},MATCH(PRINT_SHEET!J15,{"PAID","PARTIAL","PENDING"},0)),PRINT_SHEET!J15)</f>
        <v/>
      </c>
      <c r="K15" s="55">
        <f>IF(PRINT_SHEET!K15="","",PRINT_SHEET!K15)</f>
        <v/>
      </c>
      <c r="L15" s="53">
        <f>IF(PRINT_SHEET!L15="","",PRINT_SHEET!L15)</f>
        <v/>
      </c>
    </row>
    <row r="16" ht="20" customHeight="1">
      <c r="A16" s="52">
        <f>IF(PRINT_SHEET!A16="","",PRINT_SHEET!A16)</f>
        <v/>
      </c>
      <c r="B16" s="53">
        <f>IF(PRINT_SHEET!B16="","",PRINT_SHEET!B16)</f>
        <v/>
      </c>
      <c r="C16" s="56">
        <f>IF(PRINT_SHEET!C16="","",PRINT_SHEET!C16)</f>
        <v/>
      </c>
      <c r="D16" s="56">
        <f>IF(PRINT_SHEET!D16="","",PRINT_SHEET!D16)</f>
        <v/>
      </c>
      <c r="E16" s="53">
        <f>IF(PRINT_SHEET!E16="","",PRINT_SHEET!E16)</f>
        <v/>
      </c>
      <c r="F16" s="52">
        <f>IF(PRINT_SHEET!F16="","",PRINT_SHEET!F16)</f>
        <v/>
      </c>
      <c r="G16" s="54">
        <f>IF(PRINT_SHEET!G16="","",PRINT_SHEET!G16)</f>
        <v/>
      </c>
      <c r="H16" s="54">
        <f>IF(PRINT_SHEET!H16="","",PRINT_SHEET!H16)</f>
        <v/>
      </c>
      <c r="I16" s="54">
        <f>IF(PRINT_SHEET!I16="","",PRINT_SHEET!I16)</f>
        <v/>
      </c>
      <c r="J16" s="53">
        <f>IFERROR(INDEX({"ادا شدہ","جزوی","بقایا"},MATCH(PRINT_SHEET!J16,{"PAID","PARTIAL","PENDING"},0)),PRINT_SHEET!J16)</f>
        <v/>
      </c>
      <c r="K16" s="55">
        <f>IF(PRINT_SHEET!K16="","",PRINT_SHEET!K16)</f>
        <v/>
      </c>
      <c r="L16" s="53">
        <f>IF(PRINT_SHEET!L16="","",PRINT_SHEET!L16)</f>
        <v/>
      </c>
    </row>
    <row r="17" ht="20" customHeight="1">
      <c r="A17" s="52">
        <f>IF(PRINT_SHEET!A17="","",PRINT_SHEET!A17)</f>
        <v/>
      </c>
      <c r="B17" s="53">
        <f>IF(PRINT_SHEET!B17="","",PRINT_SHEET!B17)</f>
        <v/>
      </c>
      <c r="C17" s="56">
        <f>IF(PRINT_SHEET!C17="","",PRINT_SHEET!C17)</f>
        <v/>
      </c>
      <c r="D17" s="56">
        <f>IF(PRINT_SHEET!D17="","",PRINT_SHEET!D17)</f>
        <v/>
      </c>
      <c r="E17" s="53">
        <f>IF(PRINT_SHEET!E17="","",PRINT_SHEET!E17)</f>
        <v/>
      </c>
      <c r="F17" s="52">
        <f>IF(PRINT_SHEET!F17="","",PRINT_SHEET!F17)</f>
        <v/>
      </c>
      <c r="G17" s="54">
        <f>IF(PRINT_SHEET!G17="","",PRINT_SHEET!G17)</f>
        <v/>
      </c>
      <c r="H17" s="54">
        <f>IF(PRINT_SHEET!H17="","",PRINT_SHEET!H17)</f>
        <v/>
      </c>
      <c r="I17" s="54">
        <f>IF(PRINT_SHEET!I17="","",PRINT_SHEET!I17)</f>
        <v/>
      </c>
      <c r="J17" s="53">
        <f>IFERROR(INDEX({"ادا شدہ","جزوی","بقایا"},MATCH(PRINT_SHEET!J17,{"PAID","PARTIAL","PENDING"},0)),PRINT_SHEET!J17)</f>
        <v/>
      </c>
      <c r="K17" s="55">
        <f>IF(PRINT_SHEET!K17="","",PRINT_SHEET!K17)</f>
        <v/>
      </c>
      <c r="L17" s="53">
        <f>IF(PRINT_SHEET!L17="","",PRINT_SHEET!L17)</f>
        <v/>
      </c>
    </row>
    <row r="18" ht="20" customHeight="1">
      <c r="A18" s="52">
        <f>IF(PRINT_SHEET!A18="","",PRINT_SHEET!A18)</f>
        <v/>
      </c>
      <c r="B18" s="53">
        <f>IF(PRINT_SHEET!B18="","",PRINT_SHEET!B18)</f>
        <v/>
      </c>
      <c r="C18" s="56">
        <f>IF(PRINT_SHEET!C18="","",PRINT_SHEET!C18)</f>
        <v/>
      </c>
      <c r="D18" s="56">
        <f>IF(PRINT_SHEET!D18="","",PRINT_SHEET!D18)</f>
        <v/>
      </c>
      <c r="E18" s="53">
        <f>IF(PRINT_SHEET!E18="","",PRINT_SHEET!E18)</f>
        <v/>
      </c>
      <c r="F18" s="52">
        <f>IF(PRINT_SHEET!F18="","",PRINT_SHEET!F18)</f>
        <v/>
      </c>
      <c r="G18" s="54">
        <f>IF(PRINT_SHEET!G18="","",PRINT_SHEET!G18)</f>
        <v/>
      </c>
      <c r="H18" s="54">
        <f>IF(PRINT_SHEET!H18="","",PRINT_SHEET!H18)</f>
        <v/>
      </c>
      <c r="I18" s="54">
        <f>IF(PRINT_SHEET!I18="","",PRINT_SHEET!I18)</f>
        <v/>
      </c>
      <c r="J18" s="53">
        <f>IFERROR(INDEX({"ادا شدہ","جزوی","بقایا"},MATCH(PRINT_SHEET!J18,{"PAID","PARTIAL","PENDING"},0)),PRINT_SHEET!J18)</f>
        <v/>
      </c>
      <c r="K18" s="55">
        <f>IF(PRINT_SHEET!K18="","",PRINT_SHEET!K18)</f>
        <v/>
      </c>
      <c r="L18" s="53">
        <f>IF(PRINT_SHEET!L18="","",PRINT_SHEET!L18)</f>
        <v/>
      </c>
    </row>
    <row r="19" ht="20" customHeight="1">
      <c r="A19" s="52">
        <f>IF(PRINT_SHEET!A19="","",PRINT_SHEET!A19)</f>
        <v/>
      </c>
      <c r="B19" s="53">
        <f>IF(PRINT_SHEET!B19="","",PRINT_SHEET!B19)</f>
        <v/>
      </c>
      <c r="C19" s="56">
        <f>IF(PRINT_SHEET!C19="","",PRINT_SHEET!C19)</f>
        <v/>
      </c>
      <c r="D19" s="56">
        <f>IF(PRINT_SHEET!D19="","",PRINT_SHEET!D19)</f>
        <v/>
      </c>
      <c r="E19" s="53">
        <f>IF(PRINT_SHEET!E19="","",PRINT_SHEET!E19)</f>
        <v/>
      </c>
      <c r="F19" s="52">
        <f>IF(PRINT_SHEET!F19="","",PRINT_SHEET!F19)</f>
        <v/>
      </c>
      <c r="G19" s="54">
        <f>IF(PRINT_SHEET!G19="","",PRINT_SHEET!G19)</f>
        <v/>
      </c>
      <c r="H19" s="54">
        <f>IF(PRINT_SHEET!H19="","",PRINT_SHEET!H19)</f>
        <v/>
      </c>
      <c r="I19" s="54">
        <f>IF(PRINT_SHEET!I19="","",PRINT_SHEET!I19)</f>
        <v/>
      </c>
      <c r="J19" s="53">
        <f>IFERROR(INDEX({"ادا شدہ","جزوی","بقایا"},MATCH(PRINT_SHEET!J19,{"PAID","PARTIAL","PENDING"},0)),PRINT_SHEET!J19)</f>
        <v/>
      </c>
      <c r="K19" s="55">
        <f>IF(PRINT_SHEET!K19="","",PRINT_SHEET!K19)</f>
        <v/>
      </c>
      <c r="L19" s="53">
        <f>IF(PRINT_SHEET!L19="","",PRINT_SHEET!L19)</f>
        <v/>
      </c>
    </row>
    <row r="20" ht="20" customHeight="1">
      <c r="A20" s="52">
        <f>IF(PRINT_SHEET!A20="","",PRINT_SHEET!A20)</f>
        <v/>
      </c>
      <c r="B20" s="53">
        <f>IF(PRINT_SHEET!B20="","",PRINT_SHEET!B20)</f>
        <v/>
      </c>
      <c r="C20" s="56">
        <f>IF(PRINT_SHEET!C20="","",PRINT_SHEET!C20)</f>
        <v/>
      </c>
      <c r="D20" s="56">
        <f>IF(PRINT_SHEET!D20="","",PRINT_SHEET!D20)</f>
        <v/>
      </c>
      <c r="E20" s="53">
        <f>IF(PRINT_SHEET!E20="","",PRINT_SHEET!E20)</f>
        <v/>
      </c>
      <c r="F20" s="52">
        <f>IF(PRINT_SHEET!F20="","",PRINT_SHEET!F20)</f>
        <v/>
      </c>
      <c r="G20" s="54">
        <f>IF(PRINT_SHEET!G20="","",PRINT_SHEET!G20)</f>
        <v/>
      </c>
      <c r="H20" s="54">
        <f>IF(PRINT_SHEET!H20="","",PRINT_SHEET!H20)</f>
        <v/>
      </c>
      <c r="I20" s="54">
        <f>IF(PRINT_SHEET!I20="","",PRINT_SHEET!I20)</f>
        <v/>
      </c>
      <c r="J20" s="53">
        <f>IFERROR(INDEX({"ادا شدہ","جزوی","بقایا"},MATCH(PRINT_SHEET!J20,{"PAID","PARTIAL","PENDING"},0)),PRINT_SHEET!J20)</f>
        <v/>
      </c>
      <c r="K20" s="55">
        <f>IF(PRINT_SHEET!K20="","",PRINT_SHEET!K20)</f>
        <v/>
      </c>
      <c r="L20" s="53">
        <f>IF(PRINT_SHEET!L20="","",PRINT_SHEET!L20)</f>
        <v/>
      </c>
    </row>
    <row r="21" ht="20" customHeight="1">
      <c r="A21" s="52">
        <f>IF(PRINT_SHEET!A21="","",PRINT_SHEET!A21)</f>
        <v/>
      </c>
      <c r="B21" s="53">
        <f>IF(PRINT_SHEET!B21="","",PRINT_SHEET!B21)</f>
        <v/>
      </c>
      <c r="C21" s="56">
        <f>IF(PRINT_SHEET!C21="","",PRINT_SHEET!C21)</f>
        <v/>
      </c>
      <c r="D21" s="56">
        <f>IF(PRINT_SHEET!D21="","",PRINT_SHEET!D21)</f>
        <v/>
      </c>
      <c r="E21" s="53">
        <f>IF(PRINT_SHEET!E21="","",PRINT_SHEET!E21)</f>
        <v/>
      </c>
      <c r="F21" s="52">
        <f>IF(PRINT_SHEET!F21="","",PRINT_SHEET!F21)</f>
        <v/>
      </c>
      <c r="G21" s="54">
        <f>IF(PRINT_SHEET!G21="","",PRINT_SHEET!G21)</f>
        <v/>
      </c>
      <c r="H21" s="54">
        <f>IF(PRINT_SHEET!H21="","",PRINT_SHEET!H21)</f>
        <v/>
      </c>
      <c r="I21" s="54">
        <f>IF(PRINT_SHEET!I21="","",PRINT_SHEET!I21)</f>
        <v/>
      </c>
      <c r="J21" s="53">
        <f>IFERROR(INDEX({"ادا شدہ","جزوی","بقایا"},MATCH(PRINT_SHEET!J21,{"PAID","PARTIAL","PENDING"},0)),PRINT_SHEET!J21)</f>
        <v/>
      </c>
      <c r="K21" s="55">
        <f>IF(PRINT_SHEET!K21="","",PRINT_SHEET!K21)</f>
        <v/>
      </c>
      <c r="L21" s="53">
        <f>IF(PRINT_SHEET!L21="","",PRINT_SHEET!L21)</f>
        <v/>
      </c>
    </row>
    <row r="22" ht="20" customHeight="1">
      <c r="A22" s="52">
        <f>IF(PRINT_SHEET!A22="","",PRINT_SHEET!A22)</f>
        <v/>
      </c>
      <c r="B22" s="53">
        <f>IF(PRINT_SHEET!B22="","",PRINT_SHEET!B22)</f>
        <v/>
      </c>
      <c r="C22" s="56">
        <f>IF(PRINT_SHEET!C22="","",PRINT_SHEET!C22)</f>
        <v/>
      </c>
      <c r="D22" s="56">
        <f>IF(PRINT_SHEET!D22="","",PRINT_SHEET!D22)</f>
        <v/>
      </c>
      <c r="E22" s="53">
        <f>IF(PRINT_SHEET!E22="","",PRINT_SHEET!E22)</f>
        <v/>
      </c>
      <c r="F22" s="52">
        <f>IF(PRINT_SHEET!F22="","",PRINT_SHEET!F22)</f>
        <v/>
      </c>
      <c r="G22" s="54">
        <f>IF(PRINT_SHEET!G22="","",PRINT_SHEET!G22)</f>
        <v/>
      </c>
      <c r="H22" s="54">
        <f>IF(PRINT_SHEET!H22="","",PRINT_SHEET!H22)</f>
        <v/>
      </c>
      <c r="I22" s="54">
        <f>IF(PRINT_SHEET!I22="","",PRINT_SHEET!I22)</f>
        <v/>
      </c>
      <c r="J22" s="53">
        <f>IFERROR(INDEX({"ادا شدہ","جزوی","بقایا"},MATCH(PRINT_SHEET!J22,{"PAID","PARTIAL","PENDING"},0)),PRINT_SHEET!J22)</f>
        <v/>
      </c>
      <c r="K22" s="55">
        <f>IF(PRINT_SHEET!K22="","",PRINT_SHEET!K22)</f>
        <v/>
      </c>
      <c r="L22" s="53">
        <f>IF(PRINT_SHEET!L22="","",PRINT_SHEET!L22)</f>
        <v/>
      </c>
    </row>
    <row r="23" ht="20" customHeight="1">
      <c r="A23" s="52">
        <f>IF(PRINT_SHEET!A23="","",PRINT_SHEET!A23)</f>
        <v/>
      </c>
      <c r="B23" s="53">
        <f>IF(PRINT_SHEET!B23="","",PRINT_SHEET!B23)</f>
        <v/>
      </c>
      <c r="C23" s="56">
        <f>IF(PRINT_SHEET!C23="","",PRINT_SHEET!C23)</f>
        <v/>
      </c>
      <c r="D23" s="56">
        <f>IF(PRINT_SHEET!D23="","",PRINT_SHEET!D23)</f>
        <v/>
      </c>
      <c r="E23" s="53">
        <f>IF(PRINT_SHEET!E23="","",PRINT_SHEET!E23)</f>
        <v/>
      </c>
      <c r="F23" s="52">
        <f>IF(PRINT_SHEET!F23="","",PRINT_SHEET!F23)</f>
        <v/>
      </c>
      <c r="G23" s="54">
        <f>IF(PRINT_SHEET!G23="","",PRINT_SHEET!G23)</f>
        <v/>
      </c>
      <c r="H23" s="54">
        <f>IF(PRINT_SHEET!H23="","",PRINT_SHEET!H23)</f>
        <v/>
      </c>
      <c r="I23" s="54">
        <f>IF(PRINT_SHEET!I23="","",PRINT_SHEET!I23)</f>
        <v/>
      </c>
      <c r="J23" s="53">
        <f>IFERROR(INDEX({"ادا شدہ","جزوی","بقایا"},MATCH(PRINT_SHEET!J23,{"PAID","PARTIAL","PENDING"},0)),PRINT_SHEET!J23)</f>
        <v/>
      </c>
      <c r="K23" s="55">
        <f>IF(PRINT_SHEET!K23="","",PRINT_SHEET!K23)</f>
        <v/>
      </c>
      <c r="L23" s="53">
        <f>IF(PRINT_SHEET!L23="","",PRINT_SHEET!L23)</f>
        <v/>
      </c>
    </row>
    <row r="24" ht="20" customHeight="1">
      <c r="A24" s="52">
        <f>IF(PRINT_SHEET!A24="","",PRINT_SHEET!A24)</f>
        <v/>
      </c>
      <c r="B24" s="53">
        <f>IF(PRINT_SHEET!B24="","",PRINT_SHEET!B24)</f>
        <v/>
      </c>
      <c r="C24" s="56">
        <f>IF(PRINT_SHEET!C24="","",PRINT_SHEET!C24)</f>
        <v/>
      </c>
      <c r="D24" s="56">
        <f>IF(PRINT_SHEET!D24="","",PRINT_SHEET!D24)</f>
        <v/>
      </c>
      <c r="E24" s="53">
        <f>IF(PRINT_SHEET!E24="","",PRINT_SHEET!E24)</f>
        <v/>
      </c>
      <c r="F24" s="52">
        <f>IF(PRINT_SHEET!F24="","",PRINT_SHEET!F24)</f>
        <v/>
      </c>
      <c r="G24" s="54">
        <f>IF(PRINT_SHEET!G24="","",PRINT_SHEET!G24)</f>
        <v/>
      </c>
      <c r="H24" s="54">
        <f>IF(PRINT_SHEET!H24="","",PRINT_SHEET!H24)</f>
        <v/>
      </c>
      <c r="I24" s="54">
        <f>IF(PRINT_SHEET!I24="","",PRINT_SHEET!I24)</f>
        <v/>
      </c>
      <c r="J24" s="53">
        <f>IFERROR(INDEX({"ادا شدہ","جزوی","بقایا"},MATCH(PRINT_SHEET!J24,{"PAID","PARTIAL","PENDING"},0)),PRINT_SHEET!J24)</f>
        <v/>
      </c>
      <c r="K24" s="55">
        <f>IF(PRINT_SHEET!K24="","",PRINT_SHEET!K24)</f>
        <v/>
      </c>
      <c r="L24" s="53">
        <f>IF(PRINT_SHEET!L24="","",PRINT_SHEET!L24)</f>
        <v/>
      </c>
    </row>
    <row r="25" ht="20" customHeight="1">
      <c r="A25" s="52">
        <f>IF(PRINT_SHEET!A25="","",PRINT_SHEET!A25)</f>
        <v/>
      </c>
      <c r="B25" s="53">
        <f>IF(PRINT_SHEET!B25="","",PRINT_SHEET!B25)</f>
        <v/>
      </c>
      <c r="C25" s="56">
        <f>IF(PRINT_SHEET!C25="","",PRINT_SHEET!C25)</f>
        <v/>
      </c>
      <c r="D25" s="56">
        <f>IF(PRINT_SHEET!D25="","",PRINT_SHEET!D25)</f>
        <v/>
      </c>
      <c r="E25" s="53">
        <f>IF(PRINT_SHEET!E25="","",PRINT_SHEET!E25)</f>
        <v/>
      </c>
      <c r="F25" s="52">
        <f>IF(PRINT_SHEET!F25="","",PRINT_SHEET!F25)</f>
        <v/>
      </c>
      <c r="G25" s="54">
        <f>IF(PRINT_SHEET!G25="","",PRINT_SHEET!G25)</f>
        <v/>
      </c>
      <c r="H25" s="54">
        <f>IF(PRINT_SHEET!H25="","",PRINT_SHEET!H25)</f>
        <v/>
      </c>
      <c r="I25" s="54">
        <f>IF(PRINT_SHEET!I25="","",PRINT_SHEET!I25)</f>
        <v/>
      </c>
      <c r="J25" s="53">
        <f>IFERROR(INDEX({"ادا شدہ","جزوی","بقایا"},MATCH(PRINT_SHEET!J25,{"PAID","PARTIAL","PENDING"},0)),PRINT_SHEET!J25)</f>
        <v/>
      </c>
      <c r="K25" s="55">
        <f>IF(PRINT_SHEET!K25="","",PRINT_SHEET!K25)</f>
        <v/>
      </c>
      <c r="L25" s="53">
        <f>IF(PRINT_SHEET!L25="","",PRINT_SHEET!L25)</f>
        <v/>
      </c>
    </row>
    <row r="26" ht="20" customHeight="1">
      <c r="A26" s="52">
        <f>IF(PRINT_SHEET!A26="","",PRINT_SHEET!A26)</f>
        <v/>
      </c>
      <c r="B26" s="53">
        <f>IF(PRINT_SHEET!B26="","",PRINT_SHEET!B26)</f>
        <v/>
      </c>
      <c r="C26" s="56">
        <f>IF(PRINT_SHEET!C26="","",PRINT_SHEET!C26)</f>
        <v/>
      </c>
      <c r="D26" s="56">
        <f>IF(PRINT_SHEET!D26="","",PRINT_SHEET!D26)</f>
        <v/>
      </c>
      <c r="E26" s="53">
        <f>IF(PRINT_SHEET!E26="","",PRINT_SHEET!E26)</f>
        <v/>
      </c>
      <c r="F26" s="52">
        <f>IF(PRINT_SHEET!F26="","",PRINT_SHEET!F26)</f>
        <v/>
      </c>
      <c r="G26" s="54">
        <f>IF(PRINT_SHEET!G26="","",PRINT_SHEET!G26)</f>
        <v/>
      </c>
      <c r="H26" s="54">
        <f>IF(PRINT_SHEET!H26="","",PRINT_SHEET!H26)</f>
        <v/>
      </c>
      <c r="I26" s="54">
        <f>IF(PRINT_SHEET!I26="","",PRINT_SHEET!I26)</f>
        <v/>
      </c>
      <c r="J26" s="53">
        <f>IFERROR(INDEX({"ادا شدہ","جزوی","بقایا"},MATCH(PRINT_SHEET!J26,{"PAID","PARTIAL","PENDING"},0)),PRINT_SHEET!J26)</f>
        <v/>
      </c>
      <c r="K26" s="55">
        <f>IF(PRINT_SHEET!K26="","",PRINT_SHEET!K26)</f>
        <v/>
      </c>
      <c r="L26" s="53">
        <f>IF(PRINT_SHEET!L26="","",PRINT_SHEET!L26)</f>
        <v/>
      </c>
    </row>
    <row r="27" ht="20" customHeight="1">
      <c r="A27" s="52">
        <f>IF(PRINT_SHEET!A27="","",PRINT_SHEET!A27)</f>
        <v/>
      </c>
      <c r="B27" s="53">
        <f>IF(PRINT_SHEET!B27="","",PRINT_SHEET!B27)</f>
        <v/>
      </c>
      <c r="C27" s="56">
        <f>IF(PRINT_SHEET!C27="","",PRINT_SHEET!C27)</f>
        <v/>
      </c>
      <c r="D27" s="56">
        <f>IF(PRINT_SHEET!D27="","",PRINT_SHEET!D27)</f>
        <v/>
      </c>
      <c r="E27" s="53">
        <f>IF(PRINT_SHEET!E27="","",PRINT_SHEET!E27)</f>
        <v/>
      </c>
      <c r="F27" s="52">
        <f>IF(PRINT_SHEET!F27="","",PRINT_SHEET!F27)</f>
        <v/>
      </c>
      <c r="G27" s="54">
        <f>IF(PRINT_SHEET!G27="","",PRINT_SHEET!G27)</f>
        <v/>
      </c>
      <c r="H27" s="54">
        <f>IF(PRINT_SHEET!H27="","",PRINT_SHEET!H27)</f>
        <v/>
      </c>
      <c r="I27" s="54">
        <f>IF(PRINT_SHEET!I27="","",PRINT_SHEET!I27)</f>
        <v/>
      </c>
      <c r="J27" s="53">
        <f>IFERROR(INDEX({"ادا شدہ","جزوی","بقایا"},MATCH(PRINT_SHEET!J27,{"PAID","PARTIAL","PENDING"},0)),PRINT_SHEET!J27)</f>
        <v/>
      </c>
      <c r="K27" s="55">
        <f>IF(PRINT_SHEET!K27="","",PRINT_SHEET!K27)</f>
        <v/>
      </c>
      <c r="L27" s="53">
        <f>IF(PRINT_SHEET!L27="","",PRINT_SHEET!L27)</f>
        <v/>
      </c>
    </row>
    <row r="28" ht="20" customHeight="1">
      <c r="A28" s="52">
        <f>IF(PRINT_SHEET!A28="","",PRINT_SHEET!A28)</f>
        <v/>
      </c>
      <c r="B28" s="53">
        <f>IF(PRINT_SHEET!B28="","",PRINT_SHEET!B28)</f>
        <v/>
      </c>
      <c r="C28" s="56">
        <f>IF(PRINT_SHEET!C28="","",PRINT_SHEET!C28)</f>
        <v/>
      </c>
      <c r="D28" s="56">
        <f>IF(PRINT_SHEET!D28="","",PRINT_SHEET!D28)</f>
        <v/>
      </c>
      <c r="E28" s="53">
        <f>IF(PRINT_SHEET!E28="","",PRINT_SHEET!E28)</f>
        <v/>
      </c>
      <c r="F28" s="52">
        <f>IF(PRINT_SHEET!F28="","",PRINT_SHEET!F28)</f>
        <v/>
      </c>
      <c r="G28" s="54">
        <f>IF(PRINT_SHEET!G28="","",PRINT_SHEET!G28)</f>
        <v/>
      </c>
      <c r="H28" s="54">
        <f>IF(PRINT_SHEET!H28="","",PRINT_SHEET!H28)</f>
        <v/>
      </c>
      <c r="I28" s="54">
        <f>IF(PRINT_SHEET!I28="","",PRINT_SHEET!I28)</f>
        <v/>
      </c>
      <c r="J28" s="53">
        <f>IFERROR(INDEX({"ادا شدہ","جزوی","بقایا"},MATCH(PRINT_SHEET!J28,{"PAID","PARTIAL","PENDING"},0)),PRINT_SHEET!J28)</f>
        <v/>
      </c>
      <c r="K28" s="55">
        <f>IF(PRINT_SHEET!K28="","",PRINT_SHEET!K28)</f>
        <v/>
      </c>
      <c r="L28" s="53">
        <f>IF(PRINT_SHEET!L28="","",PRINT_SHEET!L28)</f>
        <v/>
      </c>
    </row>
    <row r="29" ht="20" customHeight="1">
      <c r="A29" s="52">
        <f>IF(PRINT_SHEET!A29="","",PRINT_SHEET!A29)</f>
        <v/>
      </c>
      <c r="B29" s="53">
        <f>IF(PRINT_SHEET!B29="","",PRINT_SHEET!B29)</f>
        <v/>
      </c>
      <c r="C29" s="56">
        <f>IF(PRINT_SHEET!C29="","",PRINT_SHEET!C29)</f>
        <v/>
      </c>
      <c r="D29" s="56">
        <f>IF(PRINT_SHEET!D29="","",PRINT_SHEET!D29)</f>
        <v/>
      </c>
      <c r="E29" s="53">
        <f>IF(PRINT_SHEET!E29="","",PRINT_SHEET!E29)</f>
        <v/>
      </c>
      <c r="F29" s="52">
        <f>IF(PRINT_SHEET!F29="","",PRINT_SHEET!F29)</f>
        <v/>
      </c>
      <c r="G29" s="54">
        <f>IF(PRINT_SHEET!G29="","",PRINT_SHEET!G29)</f>
        <v/>
      </c>
      <c r="H29" s="54">
        <f>IF(PRINT_SHEET!H29="","",PRINT_SHEET!H29)</f>
        <v/>
      </c>
      <c r="I29" s="54">
        <f>IF(PRINT_SHEET!I29="","",PRINT_SHEET!I29)</f>
        <v/>
      </c>
      <c r="J29" s="53">
        <f>IFERROR(INDEX({"ادا شدہ","جزوی","بقایا"},MATCH(PRINT_SHEET!J29,{"PAID","PARTIAL","PENDING"},0)),PRINT_SHEET!J29)</f>
        <v/>
      </c>
      <c r="K29" s="55">
        <f>IF(PRINT_SHEET!K29="","",PRINT_SHEET!K29)</f>
        <v/>
      </c>
      <c r="L29" s="53">
        <f>IF(PRINT_SHEET!L29="","",PRINT_SHEET!L29)</f>
        <v/>
      </c>
    </row>
    <row r="30" ht="20" customHeight="1">
      <c r="A30" s="52">
        <f>IF(PRINT_SHEET!A30="","",PRINT_SHEET!A30)</f>
        <v/>
      </c>
      <c r="B30" s="53">
        <f>IF(PRINT_SHEET!B30="","",PRINT_SHEET!B30)</f>
        <v/>
      </c>
      <c r="C30" s="56">
        <f>IF(PRINT_SHEET!C30="","",PRINT_SHEET!C30)</f>
        <v/>
      </c>
      <c r="D30" s="56">
        <f>IF(PRINT_SHEET!D30="","",PRINT_SHEET!D30)</f>
        <v/>
      </c>
      <c r="E30" s="53">
        <f>IF(PRINT_SHEET!E30="","",PRINT_SHEET!E30)</f>
        <v/>
      </c>
      <c r="F30" s="52">
        <f>IF(PRINT_SHEET!F30="","",PRINT_SHEET!F30)</f>
        <v/>
      </c>
      <c r="G30" s="54">
        <f>IF(PRINT_SHEET!G30="","",PRINT_SHEET!G30)</f>
        <v/>
      </c>
      <c r="H30" s="54">
        <f>IF(PRINT_SHEET!H30="","",PRINT_SHEET!H30)</f>
        <v/>
      </c>
      <c r="I30" s="54">
        <f>IF(PRINT_SHEET!I30="","",PRINT_SHEET!I30)</f>
        <v/>
      </c>
      <c r="J30" s="53">
        <f>IFERROR(INDEX({"ادا شدہ","جزوی","بقایا"},MATCH(PRINT_SHEET!J30,{"PAID","PARTIAL","PENDING"},0)),PRINT_SHEET!J30)</f>
        <v/>
      </c>
      <c r="K30" s="55">
        <f>IF(PRINT_SHEET!K30="","",PRINT_SHEET!K30)</f>
        <v/>
      </c>
      <c r="L30" s="53">
        <f>IF(PRINT_SHEET!L30="","",PRINT_SHEET!L30)</f>
        <v/>
      </c>
    </row>
    <row r="31" ht="20" customHeight="1">
      <c r="A31" s="52">
        <f>IF(PRINT_SHEET!A31="","",PRINT_SHEET!A31)</f>
        <v/>
      </c>
      <c r="B31" s="53">
        <f>IF(PRINT_SHEET!B31="","",PRINT_SHEET!B31)</f>
        <v/>
      </c>
      <c r="C31" s="56">
        <f>IF(PRINT_SHEET!C31="","",PRINT_SHEET!C31)</f>
        <v/>
      </c>
      <c r="D31" s="56">
        <f>IF(PRINT_SHEET!D31="","",PRINT_SHEET!D31)</f>
        <v/>
      </c>
      <c r="E31" s="53">
        <f>IF(PRINT_SHEET!E31="","",PRINT_SHEET!E31)</f>
        <v/>
      </c>
      <c r="F31" s="52">
        <f>IF(PRINT_SHEET!F31="","",PRINT_SHEET!F31)</f>
        <v/>
      </c>
      <c r="G31" s="54">
        <f>IF(PRINT_SHEET!G31="","",PRINT_SHEET!G31)</f>
        <v/>
      </c>
      <c r="H31" s="54">
        <f>IF(PRINT_SHEET!H31="","",PRINT_SHEET!H31)</f>
        <v/>
      </c>
      <c r="I31" s="54">
        <f>IF(PRINT_SHEET!I31="","",PRINT_SHEET!I31)</f>
        <v/>
      </c>
      <c r="J31" s="53">
        <f>IFERROR(INDEX({"ادا شدہ","جزوی","بقایا"},MATCH(PRINT_SHEET!J31,{"PAID","PARTIAL","PENDING"},0)),PRINT_SHEET!J31)</f>
        <v/>
      </c>
      <c r="K31" s="55">
        <f>IF(PRINT_SHEET!K31="","",PRINT_SHEET!K31)</f>
        <v/>
      </c>
      <c r="L31" s="53">
        <f>IF(PRINT_SHEET!L31="","",PRINT_SHEET!L31)</f>
        <v/>
      </c>
    </row>
    <row r="32" ht="20" customHeight="1">
      <c r="A32" s="52">
        <f>IF(PRINT_SHEET!A32="","",PRINT_SHEET!A32)</f>
        <v/>
      </c>
      <c r="B32" s="53">
        <f>IF(PRINT_SHEET!B32="","",PRINT_SHEET!B32)</f>
        <v/>
      </c>
      <c r="C32" s="56">
        <f>IF(PRINT_SHEET!C32="","",PRINT_SHEET!C32)</f>
        <v/>
      </c>
      <c r="D32" s="56">
        <f>IF(PRINT_SHEET!D32="","",PRINT_SHEET!D32)</f>
        <v/>
      </c>
      <c r="E32" s="53">
        <f>IF(PRINT_SHEET!E32="","",PRINT_SHEET!E32)</f>
        <v/>
      </c>
      <c r="F32" s="52">
        <f>IF(PRINT_SHEET!F32="","",PRINT_SHEET!F32)</f>
        <v/>
      </c>
      <c r="G32" s="54">
        <f>IF(PRINT_SHEET!G32="","",PRINT_SHEET!G32)</f>
        <v/>
      </c>
      <c r="H32" s="54">
        <f>IF(PRINT_SHEET!H32="","",PRINT_SHEET!H32)</f>
        <v/>
      </c>
      <c r="I32" s="54">
        <f>IF(PRINT_SHEET!I32="","",PRINT_SHEET!I32)</f>
        <v/>
      </c>
      <c r="J32" s="53">
        <f>IFERROR(INDEX({"ادا شدہ","جزوی","بقایا"},MATCH(PRINT_SHEET!J32,{"PAID","PARTIAL","PENDING"},0)),PRINT_SHEET!J32)</f>
        <v/>
      </c>
      <c r="K32" s="55">
        <f>IF(PRINT_SHEET!K32="","",PRINT_SHEET!K32)</f>
        <v/>
      </c>
      <c r="L32" s="53">
        <f>IF(PRINT_SHEET!L32="","",PRINT_SHEET!L32)</f>
        <v/>
      </c>
    </row>
    <row r="33" ht="20" customHeight="1">
      <c r="A33" s="52">
        <f>IF(PRINT_SHEET!A33="","",PRINT_SHEET!A33)</f>
        <v/>
      </c>
      <c r="B33" s="53">
        <f>IF(PRINT_SHEET!B33="","",PRINT_SHEET!B33)</f>
        <v/>
      </c>
      <c r="C33" s="56">
        <f>IF(PRINT_SHEET!C33="","",PRINT_SHEET!C33)</f>
        <v/>
      </c>
      <c r="D33" s="56">
        <f>IF(PRINT_SHEET!D33="","",PRINT_SHEET!D33)</f>
        <v/>
      </c>
      <c r="E33" s="53">
        <f>IF(PRINT_SHEET!E33="","",PRINT_SHEET!E33)</f>
        <v/>
      </c>
      <c r="F33" s="52">
        <f>IF(PRINT_SHEET!F33="","",PRINT_SHEET!F33)</f>
        <v/>
      </c>
      <c r="G33" s="54">
        <f>IF(PRINT_SHEET!G33="","",PRINT_SHEET!G33)</f>
        <v/>
      </c>
      <c r="H33" s="54">
        <f>IF(PRINT_SHEET!H33="","",PRINT_SHEET!H33)</f>
        <v/>
      </c>
      <c r="I33" s="54">
        <f>IF(PRINT_SHEET!I33="","",PRINT_SHEET!I33)</f>
        <v/>
      </c>
      <c r="J33" s="53">
        <f>IFERROR(INDEX({"ادا شدہ","جزوی","بقایا"},MATCH(PRINT_SHEET!J33,{"PAID","PARTIAL","PENDING"},0)),PRINT_SHEET!J33)</f>
        <v/>
      </c>
      <c r="K33" s="55">
        <f>IF(PRINT_SHEET!K33="","",PRINT_SHEET!K33)</f>
        <v/>
      </c>
      <c r="L33" s="53">
        <f>IF(PRINT_SHEET!L33="","",PRINT_SHEET!L33)</f>
        <v/>
      </c>
    </row>
    <row r="34" ht="20" customHeight="1">
      <c r="A34" s="52">
        <f>IF(PRINT_SHEET!A34="","",PRINT_SHEET!A34)</f>
        <v/>
      </c>
      <c r="B34" s="53">
        <f>IF(PRINT_SHEET!B34="","",PRINT_SHEET!B34)</f>
        <v/>
      </c>
      <c r="C34" s="56">
        <f>IF(PRINT_SHEET!C34="","",PRINT_SHEET!C34)</f>
        <v/>
      </c>
      <c r="D34" s="56">
        <f>IF(PRINT_SHEET!D34="","",PRINT_SHEET!D34)</f>
        <v/>
      </c>
      <c r="E34" s="53">
        <f>IF(PRINT_SHEET!E34="","",PRINT_SHEET!E34)</f>
        <v/>
      </c>
      <c r="F34" s="52">
        <f>IF(PRINT_SHEET!F34="","",PRINT_SHEET!F34)</f>
        <v/>
      </c>
      <c r="G34" s="54">
        <f>IF(PRINT_SHEET!G34="","",PRINT_SHEET!G34)</f>
        <v/>
      </c>
      <c r="H34" s="54">
        <f>IF(PRINT_SHEET!H34="","",PRINT_SHEET!H34)</f>
        <v/>
      </c>
      <c r="I34" s="54">
        <f>IF(PRINT_SHEET!I34="","",PRINT_SHEET!I34)</f>
        <v/>
      </c>
      <c r="J34" s="53">
        <f>IFERROR(INDEX({"ادا شدہ","جزوی","بقایا"},MATCH(PRINT_SHEET!J34,{"PAID","PARTIAL","PENDING"},0)),PRINT_SHEET!J34)</f>
        <v/>
      </c>
      <c r="K34" s="55">
        <f>IF(PRINT_SHEET!K34="","",PRINT_SHEET!K34)</f>
        <v/>
      </c>
      <c r="L34" s="53">
        <f>IF(PRINT_SHEET!L34="","",PRINT_SHEET!L34)</f>
        <v/>
      </c>
    </row>
    <row r="35" ht="20" customHeight="1">
      <c r="A35" s="52">
        <f>IF(PRINT_SHEET!A35="","",PRINT_SHEET!A35)</f>
        <v/>
      </c>
      <c r="B35" s="53">
        <f>IF(PRINT_SHEET!B35="","",PRINT_SHEET!B35)</f>
        <v/>
      </c>
      <c r="C35" s="56">
        <f>IF(PRINT_SHEET!C35="","",PRINT_SHEET!C35)</f>
        <v/>
      </c>
      <c r="D35" s="56">
        <f>IF(PRINT_SHEET!D35="","",PRINT_SHEET!D35)</f>
        <v/>
      </c>
      <c r="E35" s="53">
        <f>IF(PRINT_SHEET!E35="","",PRINT_SHEET!E35)</f>
        <v/>
      </c>
      <c r="F35" s="52">
        <f>IF(PRINT_SHEET!F35="","",PRINT_SHEET!F35)</f>
        <v/>
      </c>
      <c r="G35" s="54">
        <f>IF(PRINT_SHEET!G35="","",PRINT_SHEET!G35)</f>
        <v/>
      </c>
      <c r="H35" s="54">
        <f>IF(PRINT_SHEET!H35="","",PRINT_SHEET!H35)</f>
        <v/>
      </c>
      <c r="I35" s="54">
        <f>IF(PRINT_SHEET!I35="","",PRINT_SHEET!I35)</f>
        <v/>
      </c>
      <c r="J35" s="53">
        <f>IFERROR(INDEX({"ادا شدہ","جزوی","بقایا"},MATCH(PRINT_SHEET!J35,{"PAID","PARTIAL","PENDING"},0)),PRINT_SHEET!J35)</f>
        <v/>
      </c>
      <c r="K35" s="55">
        <f>IF(PRINT_SHEET!K35="","",PRINT_SHEET!K35)</f>
        <v/>
      </c>
      <c r="L35" s="53">
        <f>IF(PRINT_SHEET!L35="","",PRINT_SHEET!L35)</f>
        <v/>
      </c>
    </row>
    <row r="36" ht="20" customHeight="1">
      <c r="A36" s="52">
        <f>IF(PRINT_SHEET!A36="","",PRINT_SHEET!A36)</f>
        <v/>
      </c>
      <c r="B36" s="53">
        <f>IF(PRINT_SHEET!B36="","",PRINT_SHEET!B36)</f>
        <v/>
      </c>
      <c r="C36" s="56">
        <f>IF(PRINT_SHEET!C36="","",PRINT_SHEET!C36)</f>
        <v/>
      </c>
      <c r="D36" s="56">
        <f>IF(PRINT_SHEET!D36="","",PRINT_SHEET!D36)</f>
        <v/>
      </c>
      <c r="E36" s="53">
        <f>IF(PRINT_SHEET!E36="","",PRINT_SHEET!E36)</f>
        <v/>
      </c>
      <c r="F36" s="52">
        <f>IF(PRINT_SHEET!F36="","",PRINT_SHEET!F36)</f>
        <v/>
      </c>
      <c r="G36" s="54">
        <f>IF(PRINT_SHEET!G36="","",PRINT_SHEET!G36)</f>
        <v/>
      </c>
      <c r="H36" s="54">
        <f>IF(PRINT_SHEET!H36="","",PRINT_SHEET!H36)</f>
        <v/>
      </c>
      <c r="I36" s="54">
        <f>IF(PRINT_SHEET!I36="","",PRINT_SHEET!I36)</f>
        <v/>
      </c>
      <c r="J36" s="53">
        <f>IFERROR(INDEX({"ادا شدہ","جزوی","بقایا"},MATCH(PRINT_SHEET!J36,{"PAID","PARTIAL","PENDING"},0)),PRINT_SHEET!J36)</f>
        <v/>
      </c>
      <c r="K36" s="55">
        <f>IF(PRINT_SHEET!K36="","",PRINT_SHEET!K36)</f>
        <v/>
      </c>
      <c r="L36" s="53">
        <f>IF(PRINT_SHEET!L36="","",PRINT_SHEET!L36)</f>
        <v/>
      </c>
    </row>
    <row r="37" ht="20" customHeight="1">
      <c r="A37" s="52">
        <f>IF(PRINT_SHEET!A37="","",PRINT_SHEET!A37)</f>
        <v/>
      </c>
      <c r="B37" s="53">
        <f>IF(PRINT_SHEET!B37="","",PRINT_SHEET!B37)</f>
        <v/>
      </c>
      <c r="C37" s="56">
        <f>IF(PRINT_SHEET!C37="","",PRINT_SHEET!C37)</f>
        <v/>
      </c>
      <c r="D37" s="56">
        <f>IF(PRINT_SHEET!D37="","",PRINT_SHEET!D37)</f>
        <v/>
      </c>
      <c r="E37" s="53">
        <f>IF(PRINT_SHEET!E37="","",PRINT_SHEET!E37)</f>
        <v/>
      </c>
      <c r="F37" s="52">
        <f>IF(PRINT_SHEET!F37="","",PRINT_SHEET!F37)</f>
        <v/>
      </c>
      <c r="G37" s="54">
        <f>IF(PRINT_SHEET!G37="","",PRINT_SHEET!G37)</f>
        <v/>
      </c>
      <c r="H37" s="54">
        <f>IF(PRINT_SHEET!H37="","",PRINT_SHEET!H37)</f>
        <v/>
      </c>
      <c r="I37" s="54">
        <f>IF(PRINT_SHEET!I37="","",PRINT_SHEET!I37)</f>
        <v/>
      </c>
      <c r="J37" s="53">
        <f>IFERROR(INDEX({"ادا شدہ","جزوی","بقایا"},MATCH(PRINT_SHEET!J37,{"PAID","PARTIAL","PENDING"},0)),PRINT_SHEET!J37)</f>
        <v/>
      </c>
      <c r="K37" s="55">
        <f>IF(PRINT_SHEET!K37="","",PRINT_SHEET!K37)</f>
        <v/>
      </c>
      <c r="L37" s="53">
        <f>IF(PRINT_SHEET!L37="","",PRINT_SHEET!L37)</f>
        <v/>
      </c>
    </row>
    <row r="38" ht="20" customHeight="1">
      <c r="A38" s="52">
        <f>IF(PRINT_SHEET!A38="","",PRINT_SHEET!A38)</f>
        <v/>
      </c>
      <c r="B38" s="53">
        <f>IF(PRINT_SHEET!B38="","",PRINT_SHEET!B38)</f>
        <v/>
      </c>
      <c r="C38" s="56">
        <f>IF(PRINT_SHEET!C38="","",PRINT_SHEET!C38)</f>
        <v/>
      </c>
      <c r="D38" s="56">
        <f>IF(PRINT_SHEET!D38="","",PRINT_SHEET!D38)</f>
        <v/>
      </c>
      <c r="E38" s="53">
        <f>IF(PRINT_SHEET!E38="","",PRINT_SHEET!E38)</f>
        <v/>
      </c>
      <c r="F38" s="52">
        <f>IF(PRINT_SHEET!F38="","",PRINT_SHEET!F38)</f>
        <v/>
      </c>
      <c r="G38" s="54">
        <f>IF(PRINT_SHEET!G38="","",PRINT_SHEET!G38)</f>
        <v/>
      </c>
      <c r="H38" s="54">
        <f>IF(PRINT_SHEET!H38="","",PRINT_SHEET!H38)</f>
        <v/>
      </c>
      <c r="I38" s="54">
        <f>IF(PRINT_SHEET!I38="","",PRINT_SHEET!I38)</f>
        <v/>
      </c>
      <c r="J38" s="53">
        <f>IFERROR(INDEX({"ادا شدہ","جزوی","بقایا"},MATCH(PRINT_SHEET!J38,{"PAID","PARTIAL","PENDING"},0)),PRINT_SHEET!J38)</f>
        <v/>
      </c>
      <c r="K38" s="55">
        <f>IF(PRINT_SHEET!K38="","",PRINT_SHEET!K38)</f>
        <v/>
      </c>
      <c r="L38" s="53">
        <f>IF(PRINT_SHEET!L38="","",PRINT_SHEET!L38)</f>
        <v/>
      </c>
    </row>
    <row r="39" ht="20" customHeight="1">
      <c r="A39" s="52">
        <f>IF(PRINT_SHEET!A39="","",PRINT_SHEET!A39)</f>
        <v/>
      </c>
      <c r="B39" s="53">
        <f>IF(PRINT_SHEET!B39="","",PRINT_SHEET!B39)</f>
        <v/>
      </c>
      <c r="C39" s="56">
        <f>IF(PRINT_SHEET!C39="","",PRINT_SHEET!C39)</f>
        <v/>
      </c>
      <c r="D39" s="56">
        <f>IF(PRINT_SHEET!D39="","",PRINT_SHEET!D39)</f>
        <v/>
      </c>
      <c r="E39" s="53">
        <f>IF(PRINT_SHEET!E39="","",PRINT_SHEET!E39)</f>
        <v/>
      </c>
      <c r="F39" s="52">
        <f>IF(PRINT_SHEET!F39="","",PRINT_SHEET!F39)</f>
        <v/>
      </c>
      <c r="G39" s="54">
        <f>IF(PRINT_SHEET!G39="","",PRINT_SHEET!G39)</f>
        <v/>
      </c>
      <c r="H39" s="54">
        <f>IF(PRINT_SHEET!H39="","",PRINT_SHEET!H39)</f>
        <v/>
      </c>
      <c r="I39" s="54">
        <f>IF(PRINT_SHEET!I39="","",PRINT_SHEET!I39)</f>
        <v/>
      </c>
      <c r="J39" s="53">
        <f>IFERROR(INDEX({"ادا شدہ","جزوی","بقایا"},MATCH(PRINT_SHEET!J39,{"PAID","PARTIAL","PENDING"},0)),PRINT_SHEET!J39)</f>
        <v/>
      </c>
      <c r="K39" s="55">
        <f>IF(PRINT_SHEET!K39="","",PRINT_SHEET!K39)</f>
        <v/>
      </c>
      <c r="L39" s="53">
        <f>IF(PRINT_SHEET!L39="","",PRINT_SHEET!L39)</f>
        <v/>
      </c>
    </row>
    <row r="40" ht="20" customHeight="1">
      <c r="A40" s="52">
        <f>IF(PRINT_SHEET!A40="","",PRINT_SHEET!A40)</f>
        <v/>
      </c>
      <c r="B40" s="53">
        <f>IF(PRINT_SHEET!B40="","",PRINT_SHEET!B40)</f>
        <v/>
      </c>
      <c r="C40" s="56">
        <f>IF(PRINT_SHEET!C40="","",PRINT_SHEET!C40)</f>
        <v/>
      </c>
      <c r="D40" s="56">
        <f>IF(PRINT_SHEET!D40="","",PRINT_SHEET!D40)</f>
        <v/>
      </c>
      <c r="E40" s="53">
        <f>IF(PRINT_SHEET!E40="","",PRINT_SHEET!E40)</f>
        <v/>
      </c>
      <c r="F40" s="52">
        <f>IF(PRINT_SHEET!F40="","",PRINT_SHEET!F40)</f>
        <v/>
      </c>
      <c r="G40" s="54">
        <f>IF(PRINT_SHEET!G40="","",PRINT_SHEET!G40)</f>
        <v/>
      </c>
      <c r="H40" s="54">
        <f>IF(PRINT_SHEET!H40="","",PRINT_SHEET!H40)</f>
        <v/>
      </c>
      <c r="I40" s="54">
        <f>IF(PRINT_SHEET!I40="","",PRINT_SHEET!I40)</f>
        <v/>
      </c>
      <c r="J40" s="53">
        <f>IFERROR(INDEX({"ادا شدہ","جزوی","بقایا"},MATCH(PRINT_SHEET!J40,{"PAID","PARTIAL","PENDING"},0)),PRINT_SHEET!J40)</f>
        <v/>
      </c>
      <c r="K40" s="55">
        <f>IF(PRINT_SHEET!K40="","",PRINT_SHEET!K40)</f>
        <v/>
      </c>
      <c r="L40" s="53">
        <f>IF(PRINT_SHEET!L40="","",PRINT_SHEET!L40)</f>
        <v/>
      </c>
    </row>
    <row r="41" ht="20" customHeight="1">
      <c r="A41" s="52">
        <f>IF(PRINT_SHEET!A41="","",PRINT_SHEET!A41)</f>
        <v/>
      </c>
      <c r="B41" s="53">
        <f>IF(PRINT_SHEET!B41="","",PRINT_SHEET!B41)</f>
        <v/>
      </c>
      <c r="C41" s="56">
        <f>IF(PRINT_SHEET!C41="","",PRINT_SHEET!C41)</f>
        <v/>
      </c>
      <c r="D41" s="56">
        <f>IF(PRINT_SHEET!D41="","",PRINT_SHEET!D41)</f>
        <v/>
      </c>
      <c r="E41" s="53">
        <f>IF(PRINT_SHEET!E41="","",PRINT_SHEET!E41)</f>
        <v/>
      </c>
      <c r="F41" s="52">
        <f>IF(PRINT_SHEET!F41="","",PRINT_SHEET!F41)</f>
        <v/>
      </c>
      <c r="G41" s="54">
        <f>IF(PRINT_SHEET!G41="","",PRINT_SHEET!G41)</f>
        <v/>
      </c>
      <c r="H41" s="54">
        <f>IF(PRINT_SHEET!H41="","",PRINT_SHEET!H41)</f>
        <v/>
      </c>
      <c r="I41" s="54">
        <f>IF(PRINT_SHEET!I41="","",PRINT_SHEET!I41)</f>
        <v/>
      </c>
      <c r="J41" s="53">
        <f>IFERROR(INDEX({"ادا شدہ","جزوی","بقایا"},MATCH(PRINT_SHEET!J41,{"PAID","PARTIAL","PENDING"},0)),PRINT_SHEET!J41)</f>
        <v/>
      </c>
      <c r="K41" s="55">
        <f>IF(PRINT_SHEET!K41="","",PRINT_SHEET!K41)</f>
        <v/>
      </c>
      <c r="L41" s="53">
        <f>IF(PRINT_SHEET!L41="","",PRINT_SHEET!L41)</f>
        <v/>
      </c>
    </row>
    <row r="42" ht="20" customHeight="1">
      <c r="A42" s="52">
        <f>IF(PRINT_SHEET!A42="","",PRINT_SHEET!A42)</f>
        <v/>
      </c>
      <c r="B42" s="53">
        <f>IF(PRINT_SHEET!B42="","",PRINT_SHEET!B42)</f>
        <v/>
      </c>
      <c r="C42" s="56">
        <f>IF(PRINT_SHEET!C42="","",PRINT_SHEET!C42)</f>
        <v/>
      </c>
      <c r="D42" s="56">
        <f>IF(PRINT_SHEET!D42="","",PRINT_SHEET!D42)</f>
        <v/>
      </c>
      <c r="E42" s="53">
        <f>IF(PRINT_SHEET!E42="","",PRINT_SHEET!E42)</f>
        <v/>
      </c>
      <c r="F42" s="52">
        <f>IF(PRINT_SHEET!F42="","",PRINT_SHEET!F42)</f>
        <v/>
      </c>
      <c r="G42" s="54">
        <f>IF(PRINT_SHEET!G42="","",PRINT_SHEET!G42)</f>
        <v/>
      </c>
      <c r="H42" s="54">
        <f>IF(PRINT_SHEET!H42="","",PRINT_SHEET!H42)</f>
        <v/>
      </c>
      <c r="I42" s="54">
        <f>IF(PRINT_SHEET!I42="","",PRINT_SHEET!I42)</f>
        <v/>
      </c>
      <c r="J42" s="53">
        <f>IFERROR(INDEX({"ادا شدہ","جزوی","بقایا"},MATCH(PRINT_SHEET!J42,{"PAID","PARTIAL","PENDING"},0)),PRINT_SHEET!J42)</f>
        <v/>
      </c>
      <c r="K42" s="55">
        <f>IF(PRINT_SHEET!K42="","",PRINT_SHEET!K42)</f>
        <v/>
      </c>
      <c r="L42" s="53">
        <f>IF(PRINT_SHEET!L42="","",PRINT_SHEET!L42)</f>
        <v/>
      </c>
    </row>
    <row r="43" ht="20" customHeight="1">
      <c r="A43" s="52">
        <f>IF(PRINT_SHEET!A43="","",PRINT_SHEET!A43)</f>
        <v/>
      </c>
      <c r="B43" s="53">
        <f>IF(PRINT_SHEET!B43="","",PRINT_SHEET!B43)</f>
        <v/>
      </c>
      <c r="C43" s="56">
        <f>IF(PRINT_SHEET!C43="","",PRINT_SHEET!C43)</f>
        <v/>
      </c>
      <c r="D43" s="56">
        <f>IF(PRINT_SHEET!D43="","",PRINT_SHEET!D43)</f>
        <v/>
      </c>
      <c r="E43" s="53">
        <f>IF(PRINT_SHEET!E43="","",PRINT_SHEET!E43)</f>
        <v/>
      </c>
      <c r="F43" s="52">
        <f>IF(PRINT_SHEET!F43="","",PRINT_SHEET!F43)</f>
        <v/>
      </c>
      <c r="G43" s="54">
        <f>IF(PRINT_SHEET!G43="","",PRINT_SHEET!G43)</f>
        <v/>
      </c>
      <c r="H43" s="54">
        <f>IF(PRINT_SHEET!H43="","",PRINT_SHEET!H43)</f>
        <v/>
      </c>
      <c r="I43" s="54">
        <f>IF(PRINT_SHEET!I43="","",PRINT_SHEET!I43)</f>
        <v/>
      </c>
      <c r="J43" s="53">
        <f>IFERROR(INDEX({"ادا شدہ","جزوی","بقایا"},MATCH(PRINT_SHEET!J43,{"PAID","PARTIAL","PENDING"},0)),PRINT_SHEET!J43)</f>
        <v/>
      </c>
      <c r="K43" s="55">
        <f>IF(PRINT_SHEET!K43="","",PRINT_SHEET!K43)</f>
        <v/>
      </c>
      <c r="L43" s="53">
        <f>IF(PRINT_SHEET!L43="","",PRINT_SHEET!L43)</f>
        <v/>
      </c>
    </row>
    <row r="44" ht="20" customHeight="1">
      <c r="A44" s="52">
        <f>IF(PRINT_SHEET!A44="","",PRINT_SHEET!A44)</f>
        <v/>
      </c>
      <c r="B44" s="53">
        <f>IF(PRINT_SHEET!B44="","",PRINT_SHEET!B44)</f>
        <v/>
      </c>
      <c r="C44" s="56">
        <f>IF(PRINT_SHEET!C44="","",PRINT_SHEET!C44)</f>
        <v/>
      </c>
      <c r="D44" s="56">
        <f>IF(PRINT_SHEET!D44="","",PRINT_SHEET!D44)</f>
        <v/>
      </c>
      <c r="E44" s="53">
        <f>IF(PRINT_SHEET!E44="","",PRINT_SHEET!E44)</f>
        <v/>
      </c>
      <c r="F44" s="52">
        <f>IF(PRINT_SHEET!F44="","",PRINT_SHEET!F44)</f>
        <v/>
      </c>
      <c r="G44" s="54">
        <f>IF(PRINT_SHEET!G44="","",PRINT_SHEET!G44)</f>
        <v/>
      </c>
      <c r="H44" s="54">
        <f>IF(PRINT_SHEET!H44="","",PRINT_SHEET!H44)</f>
        <v/>
      </c>
      <c r="I44" s="54">
        <f>IF(PRINT_SHEET!I44="","",PRINT_SHEET!I44)</f>
        <v/>
      </c>
      <c r="J44" s="53">
        <f>IFERROR(INDEX({"ادا شدہ","جزوی","بقایا"},MATCH(PRINT_SHEET!J44,{"PAID","PARTIAL","PENDING"},0)),PRINT_SHEET!J44)</f>
        <v/>
      </c>
      <c r="K44" s="55">
        <f>IF(PRINT_SHEET!K44="","",PRINT_SHEET!K44)</f>
        <v/>
      </c>
      <c r="L44" s="53">
        <f>IF(PRINT_SHEET!L44="","",PRINT_SHEET!L44)</f>
        <v/>
      </c>
    </row>
    <row r="45" ht="20" customHeight="1">
      <c r="A45" s="52">
        <f>IF(PRINT_SHEET!A45="","",PRINT_SHEET!A45)</f>
        <v/>
      </c>
      <c r="B45" s="53">
        <f>IF(PRINT_SHEET!B45="","",PRINT_SHEET!B45)</f>
        <v/>
      </c>
      <c r="C45" s="56">
        <f>IF(PRINT_SHEET!C45="","",PRINT_SHEET!C45)</f>
        <v/>
      </c>
      <c r="D45" s="56">
        <f>IF(PRINT_SHEET!D45="","",PRINT_SHEET!D45)</f>
        <v/>
      </c>
      <c r="E45" s="53">
        <f>IF(PRINT_SHEET!E45="","",PRINT_SHEET!E45)</f>
        <v/>
      </c>
      <c r="F45" s="52">
        <f>IF(PRINT_SHEET!F45="","",PRINT_SHEET!F45)</f>
        <v/>
      </c>
      <c r="G45" s="54">
        <f>IF(PRINT_SHEET!G45="","",PRINT_SHEET!G45)</f>
        <v/>
      </c>
      <c r="H45" s="54">
        <f>IF(PRINT_SHEET!H45="","",PRINT_SHEET!H45)</f>
        <v/>
      </c>
      <c r="I45" s="54">
        <f>IF(PRINT_SHEET!I45="","",PRINT_SHEET!I45)</f>
        <v/>
      </c>
      <c r="J45" s="53">
        <f>IFERROR(INDEX({"ادا شدہ","جزوی","بقایا"},MATCH(PRINT_SHEET!J45,{"PAID","PARTIAL","PENDING"},0)),PRINT_SHEET!J45)</f>
        <v/>
      </c>
      <c r="K45" s="55">
        <f>IF(PRINT_SHEET!K45="","",PRINT_SHEET!K45)</f>
        <v/>
      </c>
      <c r="L45" s="53">
        <f>IF(PRINT_SHEET!L45="","",PRINT_SHEET!L45)</f>
        <v/>
      </c>
    </row>
    <row r="46" ht="20" customHeight="1">
      <c r="A46" s="52">
        <f>IF(PRINT_SHEET!A46="","",PRINT_SHEET!A46)</f>
        <v/>
      </c>
      <c r="B46" s="53">
        <f>IF(PRINT_SHEET!B46="","",PRINT_SHEET!B46)</f>
        <v/>
      </c>
      <c r="C46" s="56">
        <f>IF(PRINT_SHEET!C46="","",PRINT_SHEET!C46)</f>
        <v/>
      </c>
      <c r="D46" s="56">
        <f>IF(PRINT_SHEET!D46="","",PRINT_SHEET!D46)</f>
        <v/>
      </c>
      <c r="E46" s="53">
        <f>IF(PRINT_SHEET!E46="","",PRINT_SHEET!E46)</f>
        <v/>
      </c>
      <c r="F46" s="52">
        <f>IF(PRINT_SHEET!F46="","",PRINT_SHEET!F46)</f>
        <v/>
      </c>
      <c r="G46" s="54">
        <f>IF(PRINT_SHEET!G46="","",PRINT_SHEET!G46)</f>
        <v/>
      </c>
      <c r="H46" s="54">
        <f>IF(PRINT_SHEET!H46="","",PRINT_SHEET!H46)</f>
        <v/>
      </c>
      <c r="I46" s="54">
        <f>IF(PRINT_SHEET!I46="","",PRINT_SHEET!I46)</f>
        <v/>
      </c>
      <c r="J46" s="53">
        <f>IFERROR(INDEX({"ادا شدہ","جزوی","بقایا"},MATCH(PRINT_SHEET!J46,{"PAID","PARTIAL","PENDING"},0)),PRINT_SHEET!J46)</f>
        <v/>
      </c>
      <c r="K46" s="55">
        <f>IF(PRINT_SHEET!K46="","",PRINT_SHEET!K46)</f>
        <v/>
      </c>
      <c r="L46" s="53">
        <f>IF(PRINT_SHEET!L46="","",PRINT_SHEET!L46)</f>
        <v/>
      </c>
    </row>
    <row r="47" ht="20" customHeight="1">
      <c r="A47" s="52">
        <f>IF(PRINT_SHEET!A47="","",PRINT_SHEET!A47)</f>
        <v/>
      </c>
      <c r="B47" s="53">
        <f>IF(PRINT_SHEET!B47="","",PRINT_SHEET!B47)</f>
        <v/>
      </c>
      <c r="C47" s="56">
        <f>IF(PRINT_SHEET!C47="","",PRINT_SHEET!C47)</f>
        <v/>
      </c>
      <c r="D47" s="56">
        <f>IF(PRINT_SHEET!D47="","",PRINT_SHEET!D47)</f>
        <v/>
      </c>
      <c r="E47" s="53">
        <f>IF(PRINT_SHEET!E47="","",PRINT_SHEET!E47)</f>
        <v/>
      </c>
      <c r="F47" s="52">
        <f>IF(PRINT_SHEET!F47="","",PRINT_SHEET!F47)</f>
        <v/>
      </c>
      <c r="G47" s="54">
        <f>IF(PRINT_SHEET!G47="","",PRINT_SHEET!G47)</f>
        <v/>
      </c>
      <c r="H47" s="54">
        <f>IF(PRINT_SHEET!H47="","",PRINT_SHEET!H47)</f>
        <v/>
      </c>
      <c r="I47" s="54">
        <f>IF(PRINT_SHEET!I47="","",PRINT_SHEET!I47)</f>
        <v/>
      </c>
      <c r="J47" s="53">
        <f>IFERROR(INDEX({"ادا شدہ","جزوی","بقایا"},MATCH(PRINT_SHEET!J47,{"PAID","PARTIAL","PENDING"},0)),PRINT_SHEET!J47)</f>
        <v/>
      </c>
      <c r="K47" s="55">
        <f>IF(PRINT_SHEET!K47="","",PRINT_SHEET!K47)</f>
        <v/>
      </c>
      <c r="L47" s="53">
        <f>IF(PRINT_SHEET!L47="","",PRINT_SHEET!L47)</f>
        <v/>
      </c>
    </row>
    <row r="48" ht="20" customHeight="1">
      <c r="A48" s="52">
        <f>IF(PRINT_SHEET!A48="","",PRINT_SHEET!A48)</f>
        <v/>
      </c>
      <c r="B48" s="53">
        <f>IF(PRINT_SHEET!B48="","",PRINT_SHEET!B48)</f>
        <v/>
      </c>
      <c r="C48" s="56">
        <f>IF(PRINT_SHEET!C48="","",PRINT_SHEET!C48)</f>
        <v/>
      </c>
      <c r="D48" s="56">
        <f>IF(PRINT_SHEET!D48="","",PRINT_SHEET!D48)</f>
        <v/>
      </c>
      <c r="E48" s="53">
        <f>IF(PRINT_SHEET!E48="","",PRINT_SHEET!E48)</f>
        <v/>
      </c>
      <c r="F48" s="52">
        <f>IF(PRINT_SHEET!F48="","",PRINT_SHEET!F48)</f>
        <v/>
      </c>
      <c r="G48" s="54">
        <f>IF(PRINT_SHEET!G48="","",PRINT_SHEET!G48)</f>
        <v/>
      </c>
      <c r="H48" s="54">
        <f>IF(PRINT_SHEET!H48="","",PRINT_SHEET!H48)</f>
        <v/>
      </c>
      <c r="I48" s="54">
        <f>IF(PRINT_SHEET!I48="","",PRINT_SHEET!I48)</f>
        <v/>
      </c>
      <c r="J48" s="53">
        <f>IFERROR(INDEX({"ادا شدہ","جزوی","بقایا"},MATCH(PRINT_SHEET!J48,{"PAID","PARTIAL","PENDING"},0)),PRINT_SHEET!J48)</f>
        <v/>
      </c>
      <c r="K48" s="55">
        <f>IF(PRINT_SHEET!K48="","",PRINT_SHEET!K48)</f>
        <v/>
      </c>
      <c r="L48" s="53">
        <f>IF(PRINT_SHEET!L48="","",PRINT_SHEET!L48)</f>
        <v/>
      </c>
    </row>
    <row r="49" ht="20" customHeight="1">
      <c r="A49" s="52">
        <f>IF(PRINT_SHEET!A49="","",PRINT_SHEET!A49)</f>
        <v/>
      </c>
      <c r="B49" s="53">
        <f>IF(PRINT_SHEET!B49="","",PRINT_SHEET!B49)</f>
        <v/>
      </c>
      <c r="C49" s="56">
        <f>IF(PRINT_SHEET!C49="","",PRINT_SHEET!C49)</f>
        <v/>
      </c>
      <c r="D49" s="56">
        <f>IF(PRINT_SHEET!D49="","",PRINT_SHEET!D49)</f>
        <v/>
      </c>
      <c r="E49" s="53">
        <f>IF(PRINT_SHEET!E49="","",PRINT_SHEET!E49)</f>
        <v/>
      </c>
      <c r="F49" s="52">
        <f>IF(PRINT_SHEET!F49="","",PRINT_SHEET!F49)</f>
        <v/>
      </c>
      <c r="G49" s="54">
        <f>IF(PRINT_SHEET!G49="","",PRINT_SHEET!G49)</f>
        <v/>
      </c>
      <c r="H49" s="54">
        <f>IF(PRINT_SHEET!H49="","",PRINT_SHEET!H49)</f>
        <v/>
      </c>
      <c r="I49" s="54">
        <f>IF(PRINT_SHEET!I49="","",PRINT_SHEET!I49)</f>
        <v/>
      </c>
      <c r="J49" s="53">
        <f>IFERROR(INDEX({"ادا شدہ","جزوی","بقایا"},MATCH(PRINT_SHEET!J49,{"PAID","PARTIAL","PENDING"},0)),PRINT_SHEET!J49)</f>
        <v/>
      </c>
      <c r="K49" s="55">
        <f>IF(PRINT_SHEET!K49="","",PRINT_SHEET!K49)</f>
        <v/>
      </c>
      <c r="L49" s="53">
        <f>IF(PRINT_SHEET!L49="","",PRINT_SHEET!L49)</f>
        <v/>
      </c>
    </row>
    <row r="50" ht="20" customHeight="1">
      <c r="A50" s="52">
        <f>IF(PRINT_SHEET!A50="","",PRINT_SHEET!A50)</f>
        <v/>
      </c>
      <c r="B50" s="53">
        <f>IF(PRINT_SHEET!B50="","",PRINT_SHEET!B50)</f>
        <v/>
      </c>
      <c r="C50" s="56">
        <f>IF(PRINT_SHEET!C50="","",PRINT_SHEET!C50)</f>
        <v/>
      </c>
      <c r="D50" s="56">
        <f>IF(PRINT_SHEET!D50="","",PRINT_SHEET!D50)</f>
        <v/>
      </c>
      <c r="E50" s="53">
        <f>IF(PRINT_SHEET!E50="","",PRINT_SHEET!E50)</f>
        <v/>
      </c>
      <c r="F50" s="52">
        <f>IF(PRINT_SHEET!F50="","",PRINT_SHEET!F50)</f>
        <v/>
      </c>
      <c r="G50" s="54">
        <f>IF(PRINT_SHEET!G50="","",PRINT_SHEET!G50)</f>
        <v/>
      </c>
      <c r="H50" s="54">
        <f>IF(PRINT_SHEET!H50="","",PRINT_SHEET!H50)</f>
        <v/>
      </c>
      <c r="I50" s="54">
        <f>IF(PRINT_SHEET!I50="","",PRINT_SHEET!I50)</f>
        <v/>
      </c>
      <c r="J50" s="53">
        <f>IFERROR(INDEX({"ادا شدہ","جزوی","بقایا"},MATCH(PRINT_SHEET!J50,{"PAID","PARTIAL","PENDING"},0)),PRINT_SHEET!J50)</f>
        <v/>
      </c>
      <c r="K50" s="55">
        <f>IF(PRINT_SHEET!K50="","",PRINT_SHEET!K50)</f>
        <v/>
      </c>
      <c r="L50" s="53">
        <f>IF(PRINT_SHEET!L50="","",PRINT_SHEET!L50)</f>
        <v/>
      </c>
    </row>
    <row r="51" ht="20" customHeight="1">
      <c r="A51" s="52">
        <f>IF(PRINT_SHEET!A51="","",PRINT_SHEET!A51)</f>
        <v/>
      </c>
      <c r="B51" s="53">
        <f>IF(PRINT_SHEET!B51="","",PRINT_SHEET!B51)</f>
        <v/>
      </c>
      <c r="C51" s="56">
        <f>IF(PRINT_SHEET!C51="","",PRINT_SHEET!C51)</f>
        <v/>
      </c>
      <c r="D51" s="56">
        <f>IF(PRINT_SHEET!D51="","",PRINT_SHEET!D51)</f>
        <v/>
      </c>
      <c r="E51" s="53">
        <f>IF(PRINT_SHEET!E51="","",PRINT_SHEET!E51)</f>
        <v/>
      </c>
      <c r="F51" s="52">
        <f>IF(PRINT_SHEET!F51="","",PRINT_SHEET!F51)</f>
        <v/>
      </c>
      <c r="G51" s="54">
        <f>IF(PRINT_SHEET!G51="","",PRINT_SHEET!G51)</f>
        <v/>
      </c>
      <c r="H51" s="54">
        <f>IF(PRINT_SHEET!H51="","",PRINT_SHEET!H51)</f>
        <v/>
      </c>
      <c r="I51" s="54">
        <f>IF(PRINT_SHEET!I51="","",PRINT_SHEET!I51)</f>
        <v/>
      </c>
      <c r="J51" s="53">
        <f>IFERROR(INDEX({"ادا شدہ","جزوی","بقایا"},MATCH(PRINT_SHEET!J51,{"PAID","PARTIAL","PENDING"},0)),PRINT_SHEET!J51)</f>
        <v/>
      </c>
      <c r="K51" s="55">
        <f>IF(PRINT_SHEET!K51="","",PRINT_SHEET!K51)</f>
        <v/>
      </c>
      <c r="L51" s="53">
        <f>IF(PRINT_SHEET!L51="","",PRINT_SHEET!L51)</f>
        <v/>
      </c>
    </row>
    <row r="52" ht="20" customHeight="1">
      <c r="A52" s="52">
        <f>IF(PRINT_SHEET!A52="","",PRINT_SHEET!A52)</f>
        <v/>
      </c>
      <c r="B52" s="53">
        <f>IF(PRINT_SHEET!B52="","",PRINT_SHEET!B52)</f>
        <v/>
      </c>
      <c r="C52" s="56">
        <f>IF(PRINT_SHEET!C52="","",PRINT_SHEET!C52)</f>
        <v/>
      </c>
      <c r="D52" s="56">
        <f>IF(PRINT_SHEET!D52="","",PRINT_SHEET!D52)</f>
        <v/>
      </c>
      <c r="E52" s="53">
        <f>IF(PRINT_SHEET!E52="","",PRINT_SHEET!E52)</f>
        <v/>
      </c>
      <c r="F52" s="52">
        <f>IF(PRINT_SHEET!F52="","",PRINT_SHEET!F52)</f>
        <v/>
      </c>
      <c r="G52" s="54">
        <f>IF(PRINT_SHEET!G52="","",PRINT_SHEET!G52)</f>
        <v/>
      </c>
      <c r="H52" s="54">
        <f>IF(PRINT_SHEET!H52="","",PRINT_SHEET!H52)</f>
        <v/>
      </c>
      <c r="I52" s="54">
        <f>IF(PRINT_SHEET!I52="","",PRINT_SHEET!I52)</f>
        <v/>
      </c>
      <c r="J52" s="53">
        <f>IFERROR(INDEX({"ادا شدہ","جزوی","بقایا"},MATCH(PRINT_SHEET!J52,{"PAID","PARTIAL","PENDING"},0)),PRINT_SHEET!J52)</f>
        <v/>
      </c>
      <c r="K52" s="55">
        <f>IF(PRINT_SHEET!K52="","",PRINT_SHEET!K52)</f>
        <v/>
      </c>
      <c r="L52" s="53">
        <f>IF(PRINT_SHEET!L52="","",PRINT_SHEET!L52)</f>
        <v/>
      </c>
    </row>
    <row r="53" ht="20" customHeight="1">
      <c r="A53" s="52">
        <f>IF(PRINT_SHEET!A53="","",PRINT_SHEET!A53)</f>
        <v/>
      </c>
      <c r="B53" s="53">
        <f>IF(PRINT_SHEET!B53="","",PRINT_SHEET!B53)</f>
        <v/>
      </c>
      <c r="C53" s="56">
        <f>IF(PRINT_SHEET!C53="","",PRINT_SHEET!C53)</f>
        <v/>
      </c>
      <c r="D53" s="56">
        <f>IF(PRINT_SHEET!D53="","",PRINT_SHEET!D53)</f>
        <v/>
      </c>
      <c r="E53" s="53">
        <f>IF(PRINT_SHEET!E53="","",PRINT_SHEET!E53)</f>
        <v/>
      </c>
      <c r="F53" s="52">
        <f>IF(PRINT_SHEET!F53="","",PRINT_SHEET!F53)</f>
        <v/>
      </c>
      <c r="G53" s="54">
        <f>IF(PRINT_SHEET!G53="","",PRINT_SHEET!G53)</f>
        <v/>
      </c>
      <c r="H53" s="54">
        <f>IF(PRINT_SHEET!H53="","",PRINT_SHEET!H53)</f>
        <v/>
      </c>
      <c r="I53" s="54">
        <f>IF(PRINT_SHEET!I53="","",PRINT_SHEET!I53)</f>
        <v/>
      </c>
      <c r="J53" s="53">
        <f>IFERROR(INDEX({"ادا شدہ","جزوی","بقایا"},MATCH(PRINT_SHEET!J53,{"PAID","PARTIAL","PENDING"},0)),PRINT_SHEET!J53)</f>
        <v/>
      </c>
      <c r="K53" s="55">
        <f>IF(PRINT_SHEET!K53="","",PRINT_SHEET!K53)</f>
        <v/>
      </c>
      <c r="L53" s="53">
        <f>IF(PRINT_SHEET!L53="","",PRINT_SHEET!L53)</f>
        <v/>
      </c>
    </row>
    <row r="54" ht="20" customHeight="1">
      <c r="A54" s="52">
        <f>IF(PRINT_SHEET!A54="","",PRINT_SHEET!A54)</f>
        <v/>
      </c>
      <c r="B54" s="53">
        <f>IF(PRINT_SHEET!B54="","",PRINT_SHEET!B54)</f>
        <v/>
      </c>
      <c r="C54" s="56">
        <f>IF(PRINT_SHEET!C54="","",PRINT_SHEET!C54)</f>
        <v/>
      </c>
      <c r="D54" s="56">
        <f>IF(PRINT_SHEET!D54="","",PRINT_SHEET!D54)</f>
        <v/>
      </c>
      <c r="E54" s="53">
        <f>IF(PRINT_SHEET!E54="","",PRINT_SHEET!E54)</f>
        <v/>
      </c>
      <c r="F54" s="52">
        <f>IF(PRINT_SHEET!F54="","",PRINT_SHEET!F54)</f>
        <v/>
      </c>
      <c r="G54" s="54">
        <f>IF(PRINT_SHEET!G54="","",PRINT_SHEET!G54)</f>
        <v/>
      </c>
      <c r="H54" s="54">
        <f>IF(PRINT_SHEET!H54="","",PRINT_SHEET!H54)</f>
        <v/>
      </c>
      <c r="I54" s="54">
        <f>IF(PRINT_SHEET!I54="","",PRINT_SHEET!I54)</f>
        <v/>
      </c>
      <c r="J54" s="53">
        <f>IFERROR(INDEX({"ادا شدہ","جزوی","بقایا"},MATCH(PRINT_SHEET!J54,{"PAID","PARTIAL","PENDING"},0)),PRINT_SHEET!J54)</f>
        <v/>
      </c>
      <c r="K54" s="55">
        <f>IF(PRINT_SHEET!K54="","",PRINT_SHEET!K54)</f>
        <v/>
      </c>
      <c r="L54" s="53">
        <f>IF(PRINT_SHEET!L54="","",PRINT_SHEET!L54)</f>
        <v/>
      </c>
    </row>
    <row r="55" ht="20" customHeight="1">
      <c r="A55" s="52">
        <f>IF(PRINT_SHEET!A55="","",PRINT_SHEET!A55)</f>
        <v/>
      </c>
      <c r="B55" s="53">
        <f>IF(PRINT_SHEET!B55="","",PRINT_SHEET!B55)</f>
        <v/>
      </c>
      <c r="C55" s="56">
        <f>IF(PRINT_SHEET!C55="","",PRINT_SHEET!C55)</f>
        <v/>
      </c>
      <c r="D55" s="56">
        <f>IF(PRINT_SHEET!D55="","",PRINT_SHEET!D55)</f>
        <v/>
      </c>
      <c r="E55" s="53">
        <f>IF(PRINT_SHEET!E55="","",PRINT_SHEET!E55)</f>
        <v/>
      </c>
      <c r="F55" s="52">
        <f>IF(PRINT_SHEET!F55="","",PRINT_SHEET!F55)</f>
        <v/>
      </c>
      <c r="G55" s="54">
        <f>IF(PRINT_SHEET!G55="","",PRINT_SHEET!G55)</f>
        <v/>
      </c>
      <c r="H55" s="54">
        <f>IF(PRINT_SHEET!H55="","",PRINT_SHEET!H55)</f>
        <v/>
      </c>
      <c r="I55" s="54">
        <f>IF(PRINT_SHEET!I55="","",PRINT_SHEET!I55)</f>
        <v/>
      </c>
      <c r="J55" s="53">
        <f>IFERROR(INDEX({"ادا شدہ","جزوی","بقایا"},MATCH(PRINT_SHEET!J55,{"PAID","PARTIAL","PENDING"},0)),PRINT_SHEET!J55)</f>
        <v/>
      </c>
      <c r="K55" s="55">
        <f>IF(PRINT_SHEET!K55="","",PRINT_SHEET!K55)</f>
        <v/>
      </c>
      <c r="L55" s="53">
        <f>IF(PRINT_SHEET!L55="","",PRINT_SHEET!L55)</f>
        <v/>
      </c>
    </row>
    <row r="56" ht="20" customHeight="1">
      <c r="A56" s="52">
        <f>IF(PRINT_SHEET!A56="","",PRINT_SHEET!A56)</f>
        <v/>
      </c>
      <c r="B56" s="53">
        <f>IF(PRINT_SHEET!B56="","",PRINT_SHEET!B56)</f>
        <v/>
      </c>
      <c r="C56" s="56">
        <f>IF(PRINT_SHEET!C56="","",PRINT_SHEET!C56)</f>
        <v/>
      </c>
      <c r="D56" s="56">
        <f>IF(PRINT_SHEET!D56="","",PRINT_SHEET!D56)</f>
        <v/>
      </c>
      <c r="E56" s="53">
        <f>IF(PRINT_SHEET!E56="","",PRINT_SHEET!E56)</f>
        <v/>
      </c>
      <c r="F56" s="52">
        <f>IF(PRINT_SHEET!F56="","",PRINT_SHEET!F56)</f>
        <v/>
      </c>
      <c r="G56" s="54">
        <f>IF(PRINT_SHEET!G56="","",PRINT_SHEET!G56)</f>
        <v/>
      </c>
      <c r="H56" s="54">
        <f>IF(PRINT_SHEET!H56="","",PRINT_SHEET!H56)</f>
        <v/>
      </c>
      <c r="I56" s="54">
        <f>IF(PRINT_SHEET!I56="","",PRINT_SHEET!I56)</f>
        <v/>
      </c>
      <c r="J56" s="53">
        <f>IFERROR(INDEX({"ادا شدہ","جزوی","بقایا"},MATCH(PRINT_SHEET!J56,{"PAID","PARTIAL","PENDING"},0)),PRINT_SHEET!J56)</f>
        <v/>
      </c>
      <c r="K56" s="55">
        <f>IF(PRINT_SHEET!K56="","",PRINT_SHEET!K56)</f>
        <v/>
      </c>
      <c r="L56" s="53">
        <f>IF(PRINT_SHEET!L56="","",PRINT_SHEET!L56)</f>
        <v/>
      </c>
    </row>
    <row r="57" ht="20" customHeight="1">
      <c r="A57" s="52">
        <f>IF(PRINT_SHEET!A57="","",PRINT_SHEET!A57)</f>
        <v/>
      </c>
      <c r="B57" s="53">
        <f>IF(PRINT_SHEET!B57="","",PRINT_SHEET!B57)</f>
        <v/>
      </c>
      <c r="C57" s="56">
        <f>IF(PRINT_SHEET!C57="","",PRINT_SHEET!C57)</f>
        <v/>
      </c>
      <c r="D57" s="56">
        <f>IF(PRINT_SHEET!D57="","",PRINT_SHEET!D57)</f>
        <v/>
      </c>
      <c r="E57" s="53">
        <f>IF(PRINT_SHEET!E57="","",PRINT_SHEET!E57)</f>
        <v/>
      </c>
      <c r="F57" s="52">
        <f>IF(PRINT_SHEET!F57="","",PRINT_SHEET!F57)</f>
        <v/>
      </c>
      <c r="G57" s="54">
        <f>IF(PRINT_SHEET!G57="","",PRINT_SHEET!G57)</f>
        <v/>
      </c>
      <c r="H57" s="54">
        <f>IF(PRINT_SHEET!H57="","",PRINT_SHEET!H57)</f>
        <v/>
      </c>
      <c r="I57" s="54">
        <f>IF(PRINT_SHEET!I57="","",PRINT_SHEET!I57)</f>
        <v/>
      </c>
      <c r="J57" s="53">
        <f>IFERROR(INDEX({"ادا شدہ","جزوی","بقایا"},MATCH(PRINT_SHEET!J57,{"PAID","PARTIAL","PENDING"},0)),PRINT_SHEET!J57)</f>
        <v/>
      </c>
      <c r="K57" s="55">
        <f>IF(PRINT_SHEET!K57="","",PRINT_SHEET!K57)</f>
        <v/>
      </c>
      <c r="L57" s="53">
        <f>IF(PRINT_SHEET!L57="","",PRINT_SHEET!L57)</f>
        <v/>
      </c>
    </row>
    <row r="58" ht="20" customHeight="1">
      <c r="A58" s="52">
        <f>IF(PRINT_SHEET!A58="","",PRINT_SHEET!A58)</f>
        <v/>
      </c>
      <c r="B58" s="53">
        <f>IF(PRINT_SHEET!B58="","",PRINT_SHEET!B58)</f>
        <v/>
      </c>
      <c r="C58" s="56">
        <f>IF(PRINT_SHEET!C58="","",PRINT_SHEET!C58)</f>
        <v/>
      </c>
      <c r="D58" s="56">
        <f>IF(PRINT_SHEET!D58="","",PRINT_SHEET!D58)</f>
        <v/>
      </c>
      <c r="E58" s="53">
        <f>IF(PRINT_SHEET!E58="","",PRINT_SHEET!E58)</f>
        <v/>
      </c>
      <c r="F58" s="52">
        <f>IF(PRINT_SHEET!F58="","",PRINT_SHEET!F58)</f>
        <v/>
      </c>
      <c r="G58" s="54">
        <f>IF(PRINT_SHEET!G58="","",PRINT_SHEET!G58)</f>
        <v/>
      </c>
      <c r="H58" s="54">
        <f>IF(PRINT_SHEET!H58="","",PRINT_SHEET!H58)</f>
        <v/>
      </c>
      <c r="I58" s="54">
        <f>IF(PRINT_SHEET!I58="","",PRINT_SHEET!I58)</f>
        <v/>
      </c>
      <c r="J58" s="53">
        <f>IFERROR(INDEX({"ادا شدہ","جزوی","بقایا"},MATCH(PRINT_SHEET!J58,{"PAID","PARTIAL","PENDING"},0)),PRINT_SHEET!J58)</f>
        <v/>
      </c>
      <c r="K58" s="55">
        <f>IF(PRINT_SHEET!K58="","",PRINT_SHEET!K58)</f>
        <v/>
      </c>
      <c r="L58" s="53">
        <f>IF(PRINT_SHEET!L58="","",PRINT_SHEET!L58)</f>
        <v/>
      </c>
    </row>
    <row r="59" ht="20" customHeight="1">
      <c r="A59" s="52">
        <f>IF(PRINT_SHEET!A59="","",PRINT_SHEET!A59)</f>
        <v/>
      </c>
      <c r="B59" s="53">
        <f>IF(PRINT_SHEET!B59="","",PRINT_SHEET!B59)</f>
        <v/>
      </c>
      <c r="C59" s="56">
        <f>IF(PRINT_SHEET!C59="","",PRINT_SHEET!C59)</f>
        <v/>
      </c>
      <c r="D59" s="56">
        <f>IF(PRINT_SHEET!D59="","",PRINT_SHEET!D59)</f>
        <v/>
      </c>
      <c r="E59" s="53">
        <f>IF(PRINT_SHEET!E59="","",PRINT_SHEET!E59)</f>
        <v/>
      </c>
      <c r="F59" s="52">
        <f>IF(PRINT_SHEET!F59="","",PRINT_SHEET!F59)</f>
        <v/>
      </c>
      <c r="G59" s="54">
        <f>IF(PRINT_SHEET!G59="","",PRINT_SHEET!G59)</f>
        <v/>
      </c>
      <c r="H59" s="54">
        <f>IF(PRINT_SHEET!H59="","",PRINT_SHEET!H59)</f>
        <v/>
      </c>
      <c r="I59" s="54">
        <f>IF(PRINT_SHEET!I59="","",PRINT_SHEET!I59)</f>
        <v/>
      </c>
      <c r="J59" s="53">
        <f>IFERROR(INDEX({"ادا شدہ","جزوی","بقایا"},MATCH(PRINT_SHEET!J59,{"PAID","PARTIAL","PENDING"},0)),PRINT_SHEET!J59)</f>
        <v/>
      </c>
      <c r="K59" s="55">
        <f>IF(PRINT_SHEET!K59="","",PRINT_SHEET!K59)</f>
        <v/>
      </c>
      <c r="L59" s="53">
        <f>IF(PRINT_SHEET!L59="","",PRINT_SHEET!L59)</f>
        <v/>
      </c>
    </row>
    <row r="60" ht="20" customHeight="1">
      <c r="A60" s="52">
        <f>IF(PRINT_SHEET!A60="","",PRINT_SHEET!A60)</f>
        <v/>
      </c>
      <c r="B60" s="53">
        <f>IF(PRINT_SHEET!B60="","",PRINT_SHEET!B60)</f>
        <v/>
      </c>
      <c r="C60" s="56">
        <f>IF(PRINT_SHEET!C60="","",PRINT_SHEET!C60)</f>
        <v/>
      </c>
      <c r="D60" s="56">
        <f>IF(PRINT_SHEET!D60="","",PRINT_SHEET!D60)</f>
        <v/>
      </c>
      <c r="E60" s="53">
        <f>IF(PRINT_SHEET!E60="","",PRINT_SHEET!E60)</f>
        <v/>
      </c>
      <c r="F60" s="52">
        <f>IF(PRINT_SHEET!F60="","",PRINT_SHEET!F60)</f>
        <v/>
      </c>
      <c r="G60" s="54">
        <f>IF(PRINT_SHEET!G60="","",PRINT_SHEET!G60)</f>
        <v/>
      </c>
      <c r="H60" s="54">
        <f>IF(PRINT_SHEET!H60="","",PRINT_SHEET!H60)</f>
        <v/>
      </c>
      <c r="I60" s="54">
        <f>IF(PRINT_SHEET!I60="","",PRINT_SHEET!I60)</f>
        <v/>
      </c>
      <c r="J60" s="53">
        <f>IFERROR(INDEX({"ادا شدہ","جزوی","بقایا"},MATCH(PRINT_SHEET!J60,{"PAID","PARTIAL","PENDING"},0)),PRINT_SHEET!J60)</f>
        <v/>
      </c>
      <c r="K60" s="55">
        <f>IF(PRINT_SHEET!K60="","",PRINT_SHEET!K60)</f>
        <v/>
      </c>
      <c r="L60" s="53">
        <f>IF(PRINT_SHEET!L60="","",PRINT_SHEET!L60)</f>
        <v/>
      </c>
    </row>
    <row r="61" ht="20" customHeight="1">
      <c r="A61" s="52">
        <f>IF(PRINT_SHEET!A61="","",PRINT_SHEET!A61)</f>
        <v/>
      </c>
      <c r="B61" s="53">
        <f>IF(PRINT_SHEET!B61="","",PRINT_SHEET!B61)</f>
        <v/>
      </c>
      <c r="C61" s="56">
        <f>IF(PRINT_SHEET!C61="","",PRINT_SHEET!C61)</f>
        <v/>
      </c>
      <c r="D61" s="56">
        <f>IF(PRINT_SHEET!D61="","",PRINT_SHEET!D61)</f>
        <v/>
      </c>
      <c r="E61" s="53">
        <f>IF(PRINT_SHEET!E61="","",PRINT_SHEET!E61)</f>
        <v/>
      </c>
      <c r="F61" s="52">
        <f>IF(PRINT_SHEET!F61="","",PRINT_SHEET!F61)</f>
        <v/>
      </c>
      <c r="G61" s="54">
        <f>IF(PRINT_SHEET!G61="","",PRINT_SHEET!G61)</f>
        <v/>
      </c>
      <c r="H61" s="54">
        <f>IF(PRINT_SHEET!H61="","",PRINT_SHEET!H61)</f>
        <v/>
      </c>
      <c r="I61" s="54">
        <f>IF(PRINT_SHEET!I61="","",PRINT_SHEET!I61)</f>
        <v/>
      </c>
      <c r="J61" s="53">
        <f>IFERROR(INDEX({"ادا شدہ","جزوی","بقایا"},MATCH(PRINT_SHEET!J61,{"PAID","PARTIAL","PENDING"},0)),PRINT_SHEET!J61)</f>
        <v/>
      </c>
      <c r="K61" s="55">
        <f>IF(PRINT_SHEET!K61="","",PRINT_SHEET!K61)</f>
        <v/>
      </c>
      <c r="L61" s="53">
        <f>IF(PRINT_SHEET!L61="","",PRINT_SHEET!L61)</f>
        <v/>
      </c>
    </row>
    <row r="62" ht="20" customHeight="1">
      <c r="A62" s="52">
        <f>IF(PRINT_SHEET!A62="","",PRINT_SHEET!A62)</f>
        <v/>
      </c>
      <c r="B62" s="53">
        <f>IF(PRINT_SHEET!B62="","",PRINT_SHEET!B62)</f>
        <v/>
      </c>
      <c r="C62" s="56">
        <f>IF(PRINT_SHEET!C62="","",PRINT_SHEET!C62)</f>
        <v/>
      </c>
      <c r="D62" s="56">
        <f>IF(PRINT_SHEET!D62="","",PRINT_SHEET!D62)</f>
        <v/>
      </c>
      <c r="E62" s="53">
        <f>IF(PRINT_SHEET!E62="","",PRINT_SHEET!E62)</f>
        <v/>
      </c>
      <c r="F62" s="52">
        <f>IF(PRINT_SHEET!F62="","",PRINT_SHEET!F62)</f>
        <v/>
      </c>
      <c r="G62" s="54">
        <f>IF(PRINT_SHEET!G62="","",PRINT_SHEET!G62)</f>
        <v/>
      </c>
      <c r="H62" s="54">
        <f>IF(PRINT_SHEET!H62="","",PRINT_SHEET!H62)</f>
        <v/>
      </c>
      <c r="I62" s="54">
        <f>IF(PRINT_SHEET!I62="","",PRINT_SHEET!I62)</f>
        <v/>
      </c>
      <c r="J62" s="53">
        <f>IFERROR(INDEX({"ادا شدہ","جزوی","بقایا"},MATCH(PRINT_SHEET!J62,{"PAID","PARTIAL","PENDING"},0)),PRINT_SHEET!J62)</f>
        <v/>
      </c>
      <c r="K62" s="55">
        <f>IF(PRINT_SHEET!K62="","",PRINT_SHEET!K62)</f>
        <v/>
      </c>
      <c r="L62" s="53">
        <f>IF(PRINT_SHEET!L62="","",PRINT_SHEET!L62)</f>
        <v/>
      </c>
    </row>
    <row r="63" ht="20" customHeight="1">
      <c r="A63" s="52">
        <f>IF(PRINT_SHEET!A63="","",PRINT_SHEET!A63)</f>
        <v/>
      </c>
      <c r="B63" s="53">
        <f>IF(PRINT_SHEET!B63="","",PRINT_SHEET!B63)</f>
        <v/>
      </c>
      <c r="C63" s="56">
        <f>IF(PRINT_SHEET!C63="","",PRINT_SHEET!C63)</f>
        <v/>
      </c>
      <c r="D63" s="56">
        <f>IF(PRINT_SHEET!D63="","",PRINT_SHEET!D63)</f>
        <v/>
      </c>
      <c r="E63" s="53">
        <f>IF(PRINT_SHEET!E63="","",PRINT_SHEET!E63)</f>
        <v/>
      </c>
      <c r="F63" s="52">
        <f>IF(PRINT_SHEET!F63="","",PRINT_SHEET!F63)</f>
        <v/>
      </c>
      <c r="G63" s="54">
        <f>IF(PRINT_SHEET!G63="","",PRINT_SHEET!G63)</f>
        <v/>
      </c>
      <c r="H63" s="54">
        <f>IF(PRINT_SHEET!H63="","",PRINT_SHEET!H63)</f>
        <v/>
      </c>
      <c r="I63" s="54">
        <f>IF(PRINT_SHEET!I63="","",PRINT_SHEET!I63)</f>
        <v/>
      </c>
      <c r="J63" s="53">
        <f>IFERROR(INDEX({"ادا شدہ","جزوی","بقایا"},MATCH(PRINT_SHEET!J63,{"PAID","PARTIAL","PENDING"},0)),PRINT_SHEET!J63)</f>
        <v/>
      </c>
      <c r="K63" s="55">
        <f>IF(PRINT_SHEET!K63="","",PRINT_SHEET!K63)</f>
        <v/>
      </c>
      <c r="L63" s="53">
        <f>IF(PRINT_SHEET!L63="","",PRINT_SHEET!L63)</f>
        <v/>
      </c>
    </row>
    <row r="64" ht="20" customHeight="1">
      <c r="A64" s="52">
        <f>IF(PRINT_SHEET!A64="","",PRINT_SHEET!A64)</f>
        <v/>
      </c>
      <c r="B64" s="53">
        <f>IF(PRINT_SHEET!B64="","",PRINT_SHEET!B64)</f>
        <v/>
      </c>
      <c r="C64" s="56">
        <f>IF(PRINT_SHEET!C64="","",PRINT_SHEET!C64)</f>
        <v/>
      </c>
      <c r="D64" s="56">
        <f>IF(PRINT_SHEET!D64="","",PRINT_SHEET!D64)</f>
        <v/>
      </c>
      <c r="E64" s="53">
        <f>IF(PRINT_SHEET!E64="","",PRINT_SHEET!E64)</f>
        <v/>
      </c>
      <c r="F64" s="52">
        <f>IF(PRINT_SHEET!F64="","",PRINT_SHEET!F64)</f>
        <v/>
      </c>
      <c r="G64" s="54">
        <f>IF(PRINT_SHEET!G64="","",PRINT_SHEET!G64)</f>
        <v/>
      </c>
      <c r="H64" s="54">
        <f>IF(PRINT_SHEET!H64="","",PRINT_SHEET!H64)</f>
        <v/>
      </c>
      <c r="I64" s="54">
        <f>IF(PRINT_SHEET!I64="","",PRINT_SHEET!I64)</f>
        <v/>
      </c>
      <c r="J64" s="53">
        <f>IFERROR(INDEX({"ادا شدہ","جزوی","بقایا"},MATCH(PRINT_SHEET!J64,{"PAID","PARTIAL","PENDING"},0)),PRINT_SHEET!J64)</f>
        <v/>
      </c>
      <c r="K64" s="55">
        <f>IF(PRINT_SHEET!K64="","",PRINT_SHEET!K64)</f>
        <v/>
      </c>
      <c r="L64" s="53">
        <f>IF(PRINT_SHEET!L64="","",PRINT_SHEET!L64)</f>
        <v/>
      </c>
    </row>
    <row r="65" ht="20" customHeight="1">
      <c r="A65" s="52">
        <f>IF(PRINT_SHEET!A65="","",PRINT_SHEET!A65)</f>
        <v/>
      </c>
      <c r="B65" s="53">
        <f>IF(PRINT_SHEET!B65="","",PRINT_SHEET!B65)</f>
        <v/>
      </c>
      <c r="C65" s="56">
        <f>IF(PRINT_SHEET!C65="","",PRINT_SHEET!C65)</f>
        <v/>
      </c>
      <c r="D65" s="56">
        <f>IF(PRINT_SHEET!D65="","",PRINT_SHEET!D65)</f>
        <v/>
      </c>
      <c r="E65" s="53">
        <f>IF(PRINT_SHEET!E65="","",PRINT_SHEET!E65)</f>
        <v/>
      </c>
      <c r="F65" s="52">
        <f>IF(PRINT_SHEET!F65="","",PRINT_SHEET!F65)</f>
        <v/>
      </c>
      <c r="G65" s="54">
        <f>IF(PRINT_SHEET!G65="","",PRINT_SHEET!G65)</f>
        <v/>
      </c>
      <c r="H65" s="54">
        <f>IF(PRINT_SHEET!H65="","",PRINT_SHEET!H65)</f>
        <v/>
      </c>
      <c r="I65" s="54">
        <f>IF(PRINT_SHEET!I65="","",PRINT_SHEET!I65)</f>
        <v/>
      </c>
      <c r="J65" s="53">
        <f>IFERROR(INDEX({"ادا شدہ","جزوی","بقایا"},MATCH(PRINT_SHEET!J65,{"PAID","PARTIAL","PENDING"},0)),PRINT_SHEET!J65)</f>
        <v/>
      </c>
      <c r="K65" s="55">
        <f>IF(PRINT_SHEET!K65="","",PRINT_SHEET!K65)</f>
        <v/>
      </c>
      <c r="L65" s="53">
        <f>IF(PRINT_SHEET!L65="","",PRINT_SHEET!L65)</f>
        <v/>
      </c>
    </row>
    <row r="66" ht="20" customHeight="1">
      <c r="A66" s="52">
        <f>IF(PRINT_SHEET!A66="","",PRINT_SHEET!A66)</f>
        <v/>
      </c>
      <c r="B66" s="53">
        <f>IF(PRINT_SHEET!B66="","",PRINT_SHEET!B66)</f>
        <v/>
      </c>
      <c r="C66" s="56">
        <f>IF(PRINT_SHEET!C66="","",PRINT_SHEET!C66)</f>
        <v/>
      </c>
      <c r="D66" s="56">
        <f>IF(PRINT_SHEET!D66="","",PRINT_SHEET!D66)</f>
        <v/>
      </c>
      <c r="E66" s="53">
        <f>IF(PRINT_SHEET!E66="","",PRINT_SHEET!E66)</f>
        <v/>
      </c>
      <c r="F66" s="52">
        <f>IF(PRINT_SHEET!F66="","",PRINT_SHEET!F66)</f>
        <v/>
      </c>
      <c r="G66" s="54">
        <f>IF(PRINT_SHEET!G66="","",PRINT_SHEET!G66)</f>
        <v/>
      </c>
      <c r="H66" s="54">
        <f>IF(PRINT_SHEET!H66="","",PRINT_SHEET!H66)</f>
        <v/>
      </c>
      <c r="I66" s="54">
        <f>IF(PRINT_SHEET!I66="","",PRINT_SHEET!I66)</f>
        <v/>
      </c>
      <c r="J66" s="53">
        <f>IFERROR(INDEX({"ادا شدہ","جزوی","بقایا"},MATCH(PRINT_SHEET!J66,{"PAID","PARTIAL","PENDING"},0)),PRINT_SHEET!J66)</f>
        <v/>
      </c>
      <c r="K66" s="55">
        <f>IF(PRINT_SHEET!K66="","",PRINT_SHEET!K66)</f>
        <v/>
      </c>
      <c r="L66" s="53">
        <f>IF(PRINT_SHEET!L66="","",PRINT_SHEET!L66)</f>
        <v/>
      </c>
    </row>
    <row r="67" ht="20" customHeight="1">
      <c r="A67" s="52">
        <f>IF(PRINT_SHEET!A67="","",PRINT_SHEET!A67)</f>
        <v/>
      </c>
      <c r="B67" s="53">
        <f>IF(PRINT_SHEET!B67="","",PRINT_SHEET!B67)</f>
        <v/>
      </c>
      <c r="C67" s="56">
        <f>IF(PRINT_SHEET!C67="","",PRINT_SHEET!C67)</f>
        <v/>
      </c>
      <c r="D67" s="56">
        <f>IF(PRINT_SHEET!D67="","",PRINT_SHEET!D67)</f>
        <v/>
      </c>
      <c r="E67" s="53">
        <f>IF(PRINT_SHEET!E67="","",PRINT_SHEET!E67)</f>
        <v/>
      </c>
      <c r="F67" s="52">
        <f>IF(PRINT_SHEET!F67="","",PRINT_SHEET!F67)</f>
        <v/>
      </c>
      <c r="G67" s="54">
        <f>IF(PRINT_SHEET!G67="","",PRINT_SHEET!G67)</f>
        <v/>
      </c>
      <c r="H67" s="54">
        <f>IF(PRINT_SHEET!H67="","",PRINT_SHEET!H67)</f>
        <v/>
      </c>
      <c r="I67" s="54">
        <f>IF(PRINT_SHEET!I67="","",PRINT_SHEET!I67)</f>
        <v/>
      </c>
      <c r="J67" s="53">
        <f>IFERROR(INDEX({"ادا شدہ","جزوی","بقایا"},MATCH(PRINT_SHEET!J67,{"PAID","PARTIAL","PENDING"},0)),PRINT_SHEET!J67)</f>
        <v/>
      </c>
      <c r="K67" s="55">
        <f>IF(PRINT_SHEET!K67="","",PRINT_SHEET!K67)</f>
        <v/>
      </c>
      <c r="L67" s="53">
        <f>IF(PRINT_SHEET!L67="","",PRINT_SHEET!L67)</f>
        <v/>
      </c>
    </row>
    <row r="68" ht="20" customHeight="1">
      <c r="A68" s="52">
        <f>IF(PRINT_SHEET!A68="","",PRINT_SHEET!A68)</f>
        <v/>
      </c>
      <c r="B68" s="53">
        <f>IF(PRINT_SHEET!B68="","",PRINT_SHEET!B68)</f>
        <v/>
      </c>
      <c r="C68" s="56">
        <f>IF(PRINT_SHEET!C68="","",PRINT_SHEET!C68)</f>
        <v/>
      </c>
      <c r="D68" s="56">
        <f>IF(PRINT_SHEET!D68="","",PRINT_SHEET!D68)</f>
        <v/>
      </c>
      <c r="E68" s="53">
        <f>IF(PRINT_SHEET!E68="","",PRINT_SHEET!E68)</f>
        <v/>
      </c>
      <c r="F68" s="52">
        <f>IF(PRINT_SHEET!F68="","",PRINT_SHEET!F68)</f>
        <v/>
      </c>
      <c r="G68" s="54">
        <f>IF(PRINT_SHEET!G68="","",PRINT_SHEET!G68)</f>
        <v/>
      </c>
      <c r="H68" s="54">
        <f>IF(PRINT_SHEET!H68="","",PRINT_SHEET!H68)</f>
        <v/>
      </c>
      <c r="I68" s="54">
        <f>IF(PRINT_SHEET!I68="","",PRINT_SHEET!I68)</f>
        <v/>
      </c>
      <c r="J68" s="53">
        <f>IFERROR(INDEX({"ادا شدہ","جزوی","بقایا"},MATCH(PRINT_SHEET!J68,{"PAID","PARTIAL","PENDING"},0)),PRINT_SHEET!J68)</f>
        <v/>
      </c>
      <c r="K68" s="55">
        <f>IF(PRINT_SHEET!K68="","",PRINT_SHEET!K68)</f>
        <v/>
      </c>
      <c r="L68" s="53">
        <f>IF(PRINT_SHEET!L68="","",PRINT_SHEET!L68)</f>
        <v/>
      </c>
    </row>
    <row r="69" ht="20" customHeight="1">
      <c r="A69" s="52">
        <f>IF(PRINT_SHEET!A69="","",PRINT_SHEET!A69)</f>
        <v/>
      </c>
      <c r="B69" s="53">
        <f>IF(PRINT_SHEET!B69="","",PRINT_SHEET!B69)</f>
        <v/>
      </c>
      <c r="C69" s="56">
        <f>IF(PRINT_SHEET!C69="","",PRINT_SHEET!C69)</f>
        <v/>
      </c>
      <c r="D69" s="56">
        <f>IF(PRINT_SHEET!D69="","",PRINT_SHEET!D69)</f>
        <v/>
      </c>
      <c r="E69" s="53">
        <f>IF(PRINT_SHEET!E69="","",PRINT_SHEET!E69)</f>
        <v/>
      </c>
      <c r="F69" s="52">
        <f>IF(PRINT_SHEET!F69="","",PRINT_SHEET!F69)</f>
        <v/>
      </c>
      <c r="G69" s="54">
        <f>IF(PRINT_SHEET!G69="","",PRINT_SHEET!G69)</f>
        <v/>
      </c>
      <c r="H69" s="54">
        <f>IF(PRINT_SHEET!H69="","",PRINT_SHEET!H69)</f>
        <v/>
      </c>
      <c r="I69" s="54">
        <f>IF(PRINT_SHEET!I69="","",PRINT_SHEET!I69)</f>
        <v/>
      </c>
      <c r="J69" s="53">
        <f>IFERROR(INDEX({"ادا شدہ","جزوی","بقایا"},MATCH(PRINT_SHEET!J69,{"PAID","PARTIAL","PENDING"},0)),PRINT_SHEET!J69)</f>
        <v/>
      </c>
      <c r="K69" s="55">
        <f>IF(PRINT_SHEET!K69="","",PRINT_SHEET!K69)</f>
        <v/>
      </c>
      <c r="L69" s="53">
        <f>IF(PRINT_SHEET!L69="","",PRINT_SHEET!L69)</f>
        <v/>
      </c>
    </row>
    <row r="70" ht="20" customHeight="1">
      <c r="A70" s="52">
        <f>IF(PRINT_SHEET!A70="","",PRINT_SHEET!A70)</f>
        <v/>
      </c>
      <c r="B70" s="53">
        <f>IF(PRINT_SHEET!B70="","",PRINT_SHEET!B70)</f>
        <v/>
      </c>
      <c r="C70" s="56">
        <f>IF(PRINT_SHEET!C70="","",PRINT_SHEET!C70)</f>
        <v/>
      </c>
      <c r="D70" s="56">
        <f>IF(PRINT_SHEET!D70="","",PRINT_SHEET!D70)</f>
        <v/>
      </c>
      <c r="E70" s="53">
        <f>IF(PRINT_SHEET!E70="","",PRINT_SHEET!E70)</f>
        <v/>
      </c>
      <c r="F70" s="52">
        <f>IF(PRINT_SHEET!F70="","",PRINT_SHEET!F70)</f>
        <v/>
      </c>
      <c r="G70" s="54">
        <f>IF(PRINT_SHEET!G70="","",PRINT_SHEET!G70)</f>
        <v/>
      </c>
      <c r="H70" s="54">
        <f>IF(PRINT_SHEET!H70="","",PRINT_SHEET!H70)</f>
        <v/>
      </c>
      <c r="I70" s="54">
        <f>IF(PRINT_SHEET!I70="","",PRINT_SHEET!I70)</f>
        <v/>
      </c>
      <c r="J70" s="53">
        <f>IFERROR(INDEX({"ادا شدہ","جزوی","بقایا"},MATCH(PRINT_SHEET!J70,{"PAID","PARTIAL","PENDING"},0)),PRINT_SHEET!J70)</f>
        <v/>
      </c>
      <c r="K70" s="55">
        <f>IF(PRINT_SHEET!K70="","",PRINT_SHEET!K70)</f>
        <v/>
      </c>
      <c r="L70" s="53">
        <f>IF(PRINT_SHEET!L70="","",PRINT_SHEET!L70)</f>
        <v/>
      </c>
    </row>
    <row r="71" ht="20" customHeight="1">
      <c r="A71" s="52">
        <f>IF(PRINT_SHEET!A71="","",PRINT_SHEET!A71)</f>
        <v/>
      </c>
      <c r="B71" s="53">
        <f>IF(PRINT_SHEET!B71="","",PRINT_SHEET!B71)</f>
        <v/>
      </c>
      <c r="C71" s="56">
        <f>IF(PRINT_SHEET!C71="","",PRINT_SHEET!C71)</f>
        <v/>
      </c>
      <c r="D71" s="56">
        <f>IF(PRINT_SHEET!D71="","",PRINT_SHEET!D71)</f>
        <v/>
      </c>
      <c r="E71" s="53">
        <f>IF(PRINT_SHEET!E71="","",PRINT_SHEET!E71)</f>
        <v/>
      </c>
      <c r="F71" s="52">
        <f>IF(PRINT_SHEET!F71="","",PRINT_SHEET!F71)</f>
        <v/>
      </c>
      <c r="G71" s="54">
        <f>IF(PRINT_SHEET!G71="","",PRINT_SHEET!G71)</f>
        <v/>
      </c>
      <c r="H71" s="54">
        <f>IF(PRINT_SHEET!H71="","",PRINT_SHEET!H71)</f>
        <v/>
      </c>
      <c r="I71" s="54">
        <f>IF(PRINT_SHEET!I71="","",PRINT_SHEET!I71)</f>
        <v/>
      </c>
      <c r="J71" s="53">
        <f>IFERROR(INDEX({"ادا شدہ","جزوی","بقایا"},MATCH(PRINT_SHEET!J71,{"PAID","PARTIAL","PENDING"},0)),PRINT_SHEET!J71)</f>
        <v/>
      </c>
      <c r="K71" s="55">
        <f>IF(PRINT_SHEET!K71="","",PRINT_SHEET!K71)</f>
        <v/>
      </c>
      <c r="L71" s="53">
        <f>IF(PRINT_SHEET!L71="","",PRINT_SHEET!L71)</f>
        <v/>
      </c>
    </row>
    <row r="72" ht="20" customHeight="1">
      <c r="A72" s="52">
        <f>IF(PRINT_SHEET!A72="","",PRINT_SHEET!A72)</f>
        <v/>
      </c>
      <c r="B72" s="53">
        <f>IF(PRINT_SHEET!B72="","",PRINT_SHEET!B72)</f>
        <v/>
      </c>
      <c r="C72" s="56">
        <f>IF(PRINT_SHEET!C72="","",PRINT_SHEET!C72)</f>
        <v/>
      </c>
      <c r="D72" s="56">
        <f>IF(PRINT_SHEET!D72="","",PRINT_SHEET!D72)</f>
        <v/>
      </c>
      <c r="E72" s="53">
        <f>IF(PRINT_SHEET!E72="","",PRINT_SHEET!E72)</f>
        <v/>
      </c>
      <c r="F72" s="52">
        <f>IF(PRINT_SHEET!F72="","",PRINT_SHEET!F72)</f>
        <v/>
      </c>
      <c r="G72" s="54">
        <f>IF(PRINT_SHEET!G72="","",PRINT_SHEET!G72)</f>
        <v/>
      </c>
      <c r="H72" s="54">
        <f>IF(PRINT_SHEET!H72="","",PRINT_SHEET!H72)</f>
        <v/>
      </c>
      <c r="I72" s="54">
        <f>IF(PRINT_SHEET!I72="","",PRINT_SHEET!I72)</f>
        <v/>
      </c>
      <c r="J72" s="53">
        <f>IFERROR(INDEX({"ادا شدہ","جزوی","بقایا"},MATCH(PRINT_SHEET!J72,{"PAID","PARTIAL","PENDING"},0)),PRINT_SHEET!J72)</f>
        <v/>
      </c>
      <c r="K72" s="55">
        <f>IF(PRINT_SHEET!K72="","",PRINT_SHEET!K72)</f>
        <v/>
      </c>
      <c r="L72" s="53">
        <f>IF(PRINT_SHEET!L72="","",PRINT_SHEET!L72)</f>
        <v/>
      </c>
    </row>
    <row r="73" ht="20" customHeight="1">
      <c r="A73" s="52">
        <f>IF(PRINT_SHEET!A73="","",PRINT_SHEET!A73)</f>
        <v/>
      </c>
      <c r="B73" s="53">
        <f>IF(PRINT_SHEET!B73="","",PRINT_SHEET!B73)</f>
        <v/>
      </c>
      <c r="C73" s="56">
        <f>IF(PRINT_SHEET!C73="","",PRINT_SHEET!C73)</f>
        <v/>
      </c>
      <c r="D73" s="56">
        <f>IF(PRINT_SHEET!D73="","",PRINT_SHEET!D73)</f>
        <v/>
      </c>
      <c r="E73" s="53">
        <f>IF(PRINT_SHEET!E73="","",PRINT_SHEET!E73)</f>
        <v/>
      </c>
      <c r="F73" s="52">
        <f>IF(PRINT_SHEET!F73="","",PRINT_SHEET!F73)</f>
        <v/>
      </c>
      <c r="G73" s="54">
        <f>IF(PRINT_SHEET!G73="","",PRINT_SHEET!G73)</f>
        <v/>
      </c>
      <c r="H73" s="54">
        <f>IF(PRINT_SHEET!H73="","",PRINT_SHEET!H73)</f>
        <v/>
      </c>
      <c r="I73" s="54">
        <f>IF(PRINT_SHEET!I73="","",PRINT_SHEET!I73)</f>
        <v/>
      </c>
      <c r="J73" s="53">
        <f>IFERROR(INDEX({"ادا شدہ","جزوی","بقایا"},MATCH(PRINT_SHEET!J73,{"PAID","PARTIAL","PENDING"},0)),PRINT_SHEET!J73)</f>
        <v/>
      </c>
      <c r="K73" s="55">
        <f>IF(PRINT_SHEET!K73="","",PRINT_SHEET!K73)</f>
        <v/>
      </c>
      <c r="L73" s="53">
        <f>IF(PRINT_SHEET!L73="","",PRINT_SHEET!L73)</f>
        <v/>
      </c>
    </row>
    <row r="74" ht="20" customHeight="1">
      <c r="A74" s="52">
        <f>IF(PRINT_SHEET!A74="","",PRINT_SHEET!A74)</f>
        <v/>
      </c>
      <c r="B74" s="53">
        <f>IF(PRINT_SHEET!B74="","",PRINT_SHEET!B74)</f>
        <v/>
      </c>
      <c r="C74" s="56">
        <f>IF(PRINT_SHEET!C74="","",PRINT_SHEET!C74)</f>
        <v/>
      </c>
      <c r="D74" s="56">
        <f>IF(PRINT_SHEET!D74="","",PRINT_SHEET!D74)</f>
        <v/>
      </c>
      <c r="E74" s="53">
        <f>IF(PRINT_SHEET!E74="","",PRINT_SHEET!E74)</f>
        <v/>
      </c>
      <c r="F74" s="52">
        <f>IF(PRINT_SHEET!F74="","",PRINT_SHEET!F74)</f>
        <v/>
      </c>
      <c r="G74" s="54">
        <f>IF(PRINT_SHEET!G74="","",PRINT_SHEET!G74)</f>
        <v/>
      </c>
      <c r="H74" s="54">
        <f>IF(PRINT_SHEET!H74="","",PRINT_SHEET!H74)</f>
        <v/>
      </c>
      <c r="I74" s="54">
        <f>IF(PRINT_SHEET!I74="","",PRINT_SHEET!I74)</f>
        <v/>
      </c>
      <c r="J74" s="53">
        <f>IFERROR(INDEX({"ادا شدہ","جزوی","بقایا"},MATCH(PRINT_SHEET!J74,{"PAID","PARTIAL","PENDING"},0)),PRINT_SHEET!J74)</f>
        <v/>
      </c>
      <c r="K74" s="55">
        <f>IF(PRINT_SHEET!K74="","",PRINT_SHEET!K74)</f>
        <v/>
      </c>
      <c r="L74" s="53">
        <f>IF(PRINT_SHEET!L74="","",PRINT_SHEET!L74)</f>
        <v/>
      </c>
    </row>
    <row r="75" ht="20" customHeight="1">
      <c r="A75" s="52">
        <f>IF(PRINT_SHEET!A75="","",PRINT_SHEET!A75)</f>
        <v/>
      </c>
      <c r="B75" s="53">
        <f>IF(PRINT_SHEET!B75="","",PRINT_SHEET!B75)</f>
        <v/>
      </c>
      <c r="C75" s="56">
        <f>IF(PRINT_SHEET!C75="","",PRINT_SHEET!C75)</f>
        <v/>
      </c>
      <c r="D75" s="56">
        <f>IF(PRINT_SHEET!D75="","",PRINT_SHEET!D75)</f>
        <v/>
      </c>
      <c r="E75" s="53">
        <f>IF(PRINT_SHEET!E75="","",PRINT_SHEET!E75)</f>
        <v/>
      </c>
      <c r="F75" s="52">
        <f>IF(PRINT_SHEET!F75="","",PRINT_SHEET!F75)</f>
        <v/>
      </c>
      <c r="G75" s="54">
        <f>IF(PRINT_SHEET!G75="","",PRINT_SHEET!G75)</f>
        <v/>
      </c>
      <c r="H75" s="54">
        <f>IF(PRINT_SHEET!H75="","",PRINT_SHEET!H75)</f>
        <v/>
      </c>
      <c r="I75" s="54">
        <f>IF(PRINT_SHEET!I75="","",PRINT_SHEET!I75)</f>
        <v/>
      </c>
      <c r="J75" s="53">
        <f>IFERROR(INDEX({"ادا شدہ","جزوی","بقایا"},MATCH(PRINT_SHEET!J75,{"PAID","PARTIAL","PENDING"},0)),PRINT_SHEET!J75)</f>
        <v/>
      </c>
      <c r="K75" s="55">
        <f>IF(PRINT_SHEET!K75="","",PRINT_SHEET!K75)</f>
        <v/>
      </c>
      <c r="L75" s="53">
        <f>IF(PRINT_SHEET!L75="","",PRINT_SHEET!L75)</f>
        <v/>
      </c>
    </row>
    <row r="76" ht="20" customHeight="1">
      <c r="A76" s="52">
        <f>IF(PRINT_SHEET!A76="","",PRINT_SHEET!A76)</f>
        <v/>
      </c>
      <c r="B76" s="53">
        <f>IF(PRINT_SHEET!B76="","",PRINT_SHEET!B76)</f>
        <v/>
      </c>
      <c r="C76" s="56">
        <f>IF(PRINT_SHEET!C76="","",PRINT_SHEET!C76)</f>
        <v/>
      </c>
      <c r="D76" s="56">
        <f>IF(PRINT_SHEET!D76="","",PRINT_SHEET!D76)</f>
        <v/>
      </c>
      <c r="E76" s="53">
        <f>IF(PRINT_SHEET!E76="","",PRINT_SHEET!E76)</f>
        <v/>
      </c>
      <c r="F76" s="52">
        <f>IF(PRINT_SHEET!F76="","",PRINT_SHEET!F76)</f>
        <v/>
      </c>
      <c r="G76" s="54">
        <f>IF(PRINT_SHEET!G76="","",PRINT_SHEET!G76)</f>
        <v/>
      </c>
      <c r="H76" s="54">
        <f>IF(PRINT_SHEET!H76="","",PRINT_SHEET!H76)</f>
        <v/>
      </c>
      <c r="I76" s="54">
        <f>IF(PRINT_SHEET!I76="","",PRINT_SHEET!I76)</f>
        <v/>
      </c>
      <c r="J76" s="53">
        <f>IFERROR(INDEX({"ادا شدہ","جزوی","بقایا"},MATCH(PRINT_SHEET!J76,{"PAID","PARTIAL","PENDING"},0)),PRINT_SHEET!J76)</f>
        <v/>
      </c>
      <c r="K76" s="55">
        <f>IF(PRINT_SHEET!K76="","",PRINT_SHEET!K76)</f>
        <v/>
      </c>
      <c r="L76" s="53">
        <f>IF(PRINT_SHEET!L76="","",PRINT_SHEET!L76)</f>
        <v/>
      </c>
    </row>
    <row r="77" ht="20" customHeight="1">
      <c r="A77" s="52">
        <f>IF(PRINT_SHEET!A77="","",PRINT_SHEET!A77)</f>
        <v/>
      </c>
      <c r="B77" s="53">
        <f>IF(PRINT_SHEET!B77="","",PRINT_SHEET!B77)</f>
        <v/>
      </c>
      <c r="C77" s="56">
        <f>IF(PRINT_SHEET!C77="","",PRINT_SHEET!C77)</f>
        <v/>
      </c>
      <c r="D77" s="56">
        <f>IF(PRINT_SHEET!D77="","",PRINT_SHEET!D77)</f>
        <v/>
      </c>
      <c r="E77" s="53">
        <f>IF(PRINT_SHEET!E77="","",PRINT_SHEET!E77)</f>
        <v/>
      </c>
      <c r="F77" s="52">
        <f>IF(PRINT_SHEET!F77="","",PRINT_SHEET!F77)</f>
        <v/>
      </c>
      <c r="G77" s="54">
        <f>IF(PRINT_SHEET!G77="","",PRINT_SHEET!G77)</f>
        <v/>
      </c>
      <c r="H77" s="54">
        <f>IF(PRINT_SHEET!H77="","",PRINT_SHEET!H77)</f>
        <v/>
      </c>
      <c r="I77" s="54">
        <f>IF(PRINT_SHEET!I77="","",PRINT_SHEET!I77)</f>
        <v/>
      </c>
      <c r="J77" s="53">
        <f>IFERROR(INDEX({"ادا شدہ","جزوی","بقایا"},MATCH(PRINT_SHEET!J77,{"PAID","PARTIAL","PENDING"},0)),PRINT_SHEET!J77)</f>
        <v/>
      </c>
      <c r="K77" s="55">
        <f>IF(PRINT_SHEET!K77="","",PRINT_SHEET!K77)</f>
        <v/>
      </c>
      <c r="L77" s="53">
        <f>IF(PRINT_SHEET!L77="","",PRINT_SHEET!L77)</f>
        <v/>
      </c>
    </row>
    <row r="78" ht="20" customHeight="1">
      <c r="A78" s="52">
        <f>IF(PRINT_SHEET!A78="","",PRINT_SHEET!A78)</f>
        <v/>
      </c>
      <c r="B78" s="53">
        <f>IF(PRINT_SHEET!B78="","",PRINT_SHEET!B78)</f>
        <v/>
      </c>
      <c r="C78" s="56">
        <f>IF(PRINT_SHEET!C78="","",PRINT_SHEET!C78)</f>
        <v/>
      </c>
      <c r="D78" s="56">
        <f>IF(PRINT_SHEET!D78="","",PRINT_SHEET!D78)</f>
        <v/>
      </c>
      <c r="E78" s="53">
        <f>IF(PRINT_SHEET!E78="","",PRINT_SHEET!E78)</f>
        <v/>
      </c>
      <c r="F78" s="52">
        <f>IF(PRINT_SHEET!F78="","",PRINT_SHEET!F78)</f>
        <v/>
      </c>
      <c r="G78" s="54">
        <f>IF(PRINT_SHEET!G78="","",PRINT_SHEET!G78)</f>
        <v/>
      </c>
      <c r="H78" s="54">
        <f>IF(PRINT_SHEET!H78="","",PRINT_SHEET!H78)</f>
        <v/>
      </c>
      <c r="I78" s="54">
        <f>IF(PRINT_SHEET!I78="","",PRINT_SHEET!I78)</f>
        <v/>
      </c>
      <c r="J78" s="53">
        <f>IFERROR(INDEX({"ادا شدہ","جزوی","بقایا"},MATCH(PRINT_SHEET!J78,{"PAID","PARTIAL","PENDING"},0)),PRINT_SHEET!J78)</f>
        <v/>
      </c>
      <c r="K78" s="55">
        <f>IF(PRINT_SHEET!K78="","",PRINT_SHEET!K78)</f>
        <v/>
      </c>
      <c r="L78" s="53">
        <f>IF(PRINT_SHEET!L78="","",PRINT_SHEET!L78)</f>
        <v/>
      </c>
    </row>
    <row r="79" ht="20" customHeight="1">
      <c r="A79" s="52">
        <f>IF(PRINT_SHEET!A79="","",PRINT_SHEET!A79)</f>
        <v/>
      </c>
      <c r="B79" s="53">
        <f>IF(PRINT_SHEET!B79="","",PRINT_SHEET!B79)</f>
        <v/>
      </c>
      <c r="C79" s="56">
        <f>IF(PRINT_SHEET!C79="","",PRINT_SHEET!C79)</f>
        <v/>
      </c>
      <c r="D79" s="56">
        <f>IF(PRINT_SHEET!D79="","",PRINT_SHEET!D79)</f>
        <v/>
      </c>
      <c r="E79" s="53">
        <f>IF(PRINT_SHEET!E79="","",PRINT_SHEET!E79)</f>
        <v/>
      </c>
      <c r="F79" s="52">
        <f>IF(PRINT_SHEET!F79="","",PRINT_SHEET!F79)</f>
        <v/>
      </c>
      <c r="G79" s="54">
        <f>IF(PRINT_SHEET!G79="","",PRINT_SHEET!G79)</f>
        <v/>
      </c>
      <c r="H79" s="54">
        <f>IF(PRINT_SHEET!H79="","",PRINT_SHEET!H79)</f>
        <v/>
      </c>
      <c r="I79" s="54">
        <f>IF(PRINT_SHEET!I79="","",PRINT_SHEET!I79)</f>
        <v/>
      </c>
      <c r="J79" s="53">
        <f>IFERROR(INDEX({"ادا شدہ","جزوی","بقایا"},MATCH(PRINT_SHEET!J79,{"PAID","PARTIAL","PENDING"},0)),PRINT_SHEET!J79)</f>
        <v/>
      </c>
      <c r="K79" s="55">
        <f>IF(PRINT_SHEET!K79="","",PRINT_SHEET!K79)</f>
        <v/>
      </c>
      <c r="L79" s="53">
        <f>IF(PRINT_SHEET!L79="","",PRINT_SHEET!L79)</f>
        <v/>
      </c>
    </row>
    <row r="80" ht="20" customHeight="1">
      <c r="A80" s="52">
        <f>IF(PRINT_SHEET!A80="","",PRINT_SHEET!A80)</f>
        <v/>
      </c>
      <c r="B80" s="53">
        <f>IF(PRINT_SHEET!B80="","",PRINT_SHEET!B80)</f>
        <v/>
      </c>
      <c r="C80" s="56">
        <f>IF(PRINT_SHEET!C80="","",PRINT_SHEET!C80)</f>
        <v/>
      </c>
      <c r="D80" s="56">
        <f>IF(PRINT_SHEET!D80="","",PRINT_SHEET!D80)</f>
        <v/>
      </c>
      <c r="E80" s="53">
        <f>IF(PRINT_SHEET!E80="","",PRINT_SHEET!E80)</f>
        <v/>
      </c>
      <c r="F80" s="52">
        <f>IF(PRINT_SHEET!F80="","",PRINT_SHEET!F80)</f>
        <v/>
      </c>
      <c r="G80" s="54">
        <f>IF(PRINT_SHEET!G80="","",PRINT_SHEET!G80)</f>
        <v/>
      </c>
      <c r="H80" s="54">
        <f>IF(PRINT_SHEET!H80="","",PRINT_SHEET!H80)</f>
        <v/>
      </c>
      <c r="I80" s="54">
        <f>IF(PRINT_SHEET!I80="","",PRINT_SHEET!I80)</f>
        <v/>
      </c>
      <c r="J80" s="53">
        <f>IFERROR(INDEX({"ادا شدہ","جزوی","بقایا"},MATCH(PRINT_SHEET!J80,{"PAID","PARTIAL","PENDING"},0)),PRINT_SHEET!J80)</f>
        <v/>
      </c>
      <c r="K80" s="55">
        <f>IF(PRINT_SHEET!K80="","",PRINT_SHEET!K80)</f>
        <v/>
      </c>
      <c r="L80" s="53">
        <f>IF(PRINT_SHEET!L80="","",PRINT_SHEET!L80)</f>
        <v/>
      </c>
    </row>
    <row r="81" ht="20" customHeight="1">
      <c r="A81" s="52">
        <f>IF(PRINT_SHEET!A81="","",PRINT_SHEET!A81)</f>
        <v/>
      </c>
      <c r="B81" s="53">
        <f>IF(PRINT_SHEET!B81="","",PRINT_SHEET!B81)</f>
        <v/>
      </c>
      <c r="C81" s="56">
        <f>IF(PRINT_SHEET!C81="","",PRINT_SHEET!C81)</f>
        <v/>
      </c>
      <c r="D81" s="56">
        <f>IF(PRINT_SHEET!D81="","",PRINT_SHEET!D81)</f>
        <v/>
      </c>
      <c r="E81" s="53">
        <f>IF(PRINT_SHEET!E81="","",PRINT_SHEET!E81)</f>
        <v/>
      </c>
      <c r="F81" s="52">
        <f>IF(PRINT_SHEET!F81="","",PRINT_SHEET!F81)</f>
        <v/>
      </c>
      <c r="G81" s="54">
        <f>IF(PRINT_SHEET!G81="","",PRINT_SHEET!G81)</f>
        <v/>
      </c>
      <c r="H81" s="54">
        <f>IF(PRINT_SHEET!H81="","",PRINT_SHEET!H81)</f>
        <v/>
      </c>
      <c r="I81" s="54">
        <f>IF(PRINT_SHEET!I81="","",PRINT_SHEET!I81)</f>
        <v/>
      </c>
      <c r="J81" s="53">
        <f>IFERROR(INDEX({"ادا شدہ","جزوی","بقایا"},MATCH(PRINT_SHEET!J81,{"PAID","PARTIAL","PENDING"},0)),PRINT_SHEET!J81)</f>
        <v/>
      </c>
      <c r="K81" s="55">
        <f>IF(PRINT_SHEET!K81="","",PRINT_SHEET!K81)</f>
        <v/>
      </c>
      <c r="L81" s="53">
        <f>IF(PRINT_SHEET!L81="","",PRINT_SHEET!L81)</f>
        <v/>
      </c>
    </row>
    <row r="82" ht="20" customHeight="1">
      <c r="A82" s="52">
        <f>IF(PRINT_SHEET!A82="","",PRINT_SHEET!A82)</f>
        <v/>
      </c>
      <c r="B82" s="53">
        <f>IF(PRINT_SHEET!B82="","",PRINT_SHEET!B82)</f>
        <v/>
      </c>
      <c r="C82" s="56">
        <f>IF(PRINT_SHEET!C82="","",PRINT_SHEET!C82)</f>
        <v/>
      </c>
      <c r="D82" s="56">
        <f>IF(PRINT_SHEET!D82="","",PRINT_SHEET!D82)</f>
        <v/>
      </c>
      <c r="E82" s="53">
        <f>IF(PRINT_SHEET!E82="","",PRINT_SHEET!E82)</f>
        <v/>
      </c>
      <c r="F82" s="52">
        <f>IF(PRINT_SHEET!F82="","",PRINT_SHEET!F82)</f>
        <v/>
      </c>
      <c r="G82" s="54">
        <f>IF(PRINT_SHEET!G82="","",PRINT_SHEET!G82)</f>
        <v/>
      </c>
      <c r="H82" s="54">
        <f>IF(PRINT_SHEET!H82="","",PRINT_SHEET!H82)</f>
        <v/>
      </c>
      <c r="I82" s="54">
        <f>IF(PRINT_SHEET!I82="","",PRINT_SHEET!I82)</f>
        <v/>
      </c>
      <c r="J82" s="53">
        <f>IFERROR(INDEX({"ادا شدہ","جزوی","بقایا"},MATCH(PRINT_SHEET!J82,{"PAID","PARTIAL","PENDING"},0)),PRINT_SHEET!J82)</f>
        <v/>
      </c>
      <c r="K82" s="55">
        <f>IF(PRINT_SHEET!K82="","",PRINT_SHEET!K82)</f>
        <v/>
      </c>
      <c r="L82" s="53">
        <f>IF(PRINT_SHEET!L82="","",PRINT_SHEET!L82)</f>
        <v/>
      </c>
    </row>
    <row r="83" ht="20" customHeight="1">
      <c r="A83" s="52">
        <f>IF(PRINT_SHEET!A83="","",PRINT_SHEET!A83)</f>
        <v/>
      </c>
      <c r="B83" s="53">
        <f>IF(PRINT_SHEET!B83="","",PRINT_SHEET!B83)</f>
        <v/>
      </c>
      <c r="C83" s="56">
        <f>IF(PRINT_SHEET!C83="","",PRINT_SHEET!C83)</f>
        <v/>
      </c>
      <c r="D83" s="56">
        <f>IF(PRINT_SHEET!D83="","",PRINT_SHEET!D83)</f>
        <v/>
      </c>
      <c r="E83" s="53">
        <f>IF(PRINT_SHEET!E83="","",PRINT_SHEET!E83)</f>
        <v/>
      </c>
      <c r="F83" s="52">
        <f>IF(PRINT_SHEET!F83="","",PRINT_SHEET!F83)</f>
        <v/>
      </c>
      <c r="G83" s="54">
        <f>IF(PRINT_SHEET!G83="","",PRINT_SHEET!G83)</f>
        <v/>
      </c>
      <c r="H83" s="54">
        <f>IF(PRINT_SHEET!H83="","",PRINT_SHEET!H83)</f>
        <v/>
      </c>
      <c r="I83" s="54">
        <f>IF(PRINT_SHEET!I83="","",PRINT_SHEET!I83)</f>
        <v/>
      </c>
      <c r="J83" s="53">
        <f>IFERROR(INDEX({"ادا شدہ","جزوی","بقایا"},MATCH(PRINT_SHEET!J83,{"PAID","PARTIAL","PENDING"},0)),PRINT_SHEET!J83)</f>
        <v/>
      </c>
      <c r="K83" s="55">
        <f>IF(PRINT_SHEET!K83="","",PRINT_SHEET!K83)</f>
        <v/>
      </c>
      <c r="L83" s="53">
        <f>IF(PRINT_SHEET!L83="","",PRINT_SHEET!L83)</f>
        <v/>
      </c>
    </row>
    <row r="84" ht="20" customHeight="1">
      <c r="A84" s="52">
        <f>IF(PRINT_SHEET!A84="","",PRINT_SHEET!A84)</f>
        <v/>
      </c>
      <c r="B84" s="53">
        <f>IF(PRINT_SHEET!B84="","",PRINT_SHEET!B84)</f>
        <v/>
      </c>
      <c r="C84" s="56">
        <f>IF(PRINT_SHEET!C84="","",PRINT_SHEET!C84)</f>
        <v/>
      </c>
      <c r="D84" s="56">
        <f>IF(PRINT_SHEET!D84="","",PRINT_SHEET!D84)</f>
        <v/>
      </c>
      <c r="E84" s="53">
        <f>IF(PRINT_SHEET!E84="","",PRINT_SHEET!E84)</f>
        <v/>
      </c>
      <c r="F84" s="52">
        <f>IF(PRINT_SHEET!F84="","",PRINT_SHEET!F84)</f>
        <v/>
      </c>
      <c r="G84" s="54">
        <f>IF(PRINT_SHEET!G84="","",PRINT_SHEET!G84)</f>
        <v/>
      </c>
      <c r="H84" s="54">
        <f>IF(PRINT_SHEET!H84="","",PRINT_SHEET!H84)</f>
        <v/>
      </c>
      <c r="I84" s="54">
        <f>IF(PRINT_SHEET!I84="","",PRINT_SHEET!I84)</f>
        <v/>
      </c>
      <c r="J84" s="53">
        <f>IFERROR(INDEX({"ادا شدہ","جزوی","بقایا"},MATCH(PRINT_SHEET!J84,{"PAID","PARTIAL","PENDING"},0)),PRINT_SHEET!J84)</f>
        <v/>
      </c>
      <c r="K84" s="55">
        <f>IF(PRINT_SHEET!K84="","",PRINT_SHEET!K84)</f>
        <v/>
      </c>
      <c r="L84" s="53">
        <f>IF(PRINT_SHEET!L84="","",PRINT_SHEET!L84)</f>
        <v/>
      </c>
    </row>
    <row r="85" ht="20" customHeight="1">
      <c r="A85" s="52">
        <f>IF(PRINT_SHEET!A85="","",PRINT_SHEET!A85)</f>
        <v/>
      </c>
      <c r="B85" s="53">
        <f>IF(PRINT_SHEET!B85="","",PRINT_SHEET!B85)</f>
        <v/>
      </c>
      <c r="C85" s="56">
        <f>IF(PRINT_SHEET!C85="","",PRINT_SHEET!C85)</f>
        <v/>
      </c>
      <c r="D85" s="56">
        <f>IF(PRINT_SHEET!D85="","",PRINT_SHEET!D85)</f>
        <v/>
      </c>
      <c r="E85" s="53">
        <f>IF(PRINT_SHEET!E85="","",PRINT_SHEET!E85)</f>
        <v/>
      </c>
      <c r="F85" s="52">
        <f>IF(PRINT_SHEET!F85="","",PRINT_SHEET!F85)</f>
        <v/>
      </c>
      <c r="G85" s="54">
        <f>IF(PRINT_SHEET!G85="","",PRINT_SHEET!G85)</f>
        <v/>
      </c>
      <c r="H85" s="54">
        <f>IF(PRINT_SHEET!H85="","",PRINT_SHEET!H85)</f>
        <v/>
      </c>
      <c r="I85" s="54">
        <f>IF(PRINT_SHEET!I85="","",PRINT_SHEET!I85)</f>
        <v/>
      </c>
      <c r="J85" s="53">
        <f>IFERROR(INDEX({"ادا شدہ","جزوی","بقایا"},MATCH(PRINT_SHEET!J85,{"PAID","PARTIAL","PENDING"},0)),PRINT_SHEET!J85)</f>
        <v/>
      </c>
      <c r="K85" s="55">
        <f>IF(PRINT_SHEET!K85="","",PRINT_SHEET!K85)</f>
        <v/>
      </c>
      <c r="L85" s="53">
        <f>IF(PRINT_SHEET!L85="","",PRINT_SHEET!L85)</f>
        <v/>
      </c>
    </row>
    <row r="86" ht="20" customHeight="1">
      <c r="A86" s="52">
        <f>IF(PRINT_SHEET!A86="","",PRINT_SHEET!A86)</f>
        <v/>
      </c>
      <c r="B86" s="53">
        <f>IF(PRINT_SHEET!B86="","",PRINT_SHEET!B86)</f>
        <v/>
      </c>
      <c r="C86" s="56">
        <f>IF(PRINT_SHEET!C86="","",PRINT_SHEET!C86)</f>
        <v/>
      </c>
      <c r="D86" s="56">
        <f>IF(PRINT_SHEET!D86="","",PRINT_SHEET!D86)</f>
        <v/>
      </c>
      <c r="E86" s="53">
        <f>IF(PRINT_SHEET!E86="","",PRINT_SHEET!E86)</f>
        <v/>
      </c>
      <c r="F86" s="52">
        <f>IF(PRINT_SHEET!F86="","",PRINT_SHEET!F86)</f>
        <v/>
      </c>
      <c r="G86" s="54">
        <f>IF(PRINT_SHEET!G86="","",PRINT_SHEET!G86)</f>
        <v/>
      </c>
      <c r="H86" s="54">
        <f>IF(PRINT_SHEET!H86="","",PRINT_SHEET!H86)</f>
        <v/>
      </c>
      <c r="I86" s="54">
        <f>IF(PRINT_SHEET!I86="","",PRINT_SHEET!I86)</f>
        <v/>
      </c>
      <c r="J86" s="53">
        <f>IFERROR(INDEX({"ادا شدہ","جزوی","بقایا"},MATCH(PRINT_SHEET!J86,{"PAID","PARTIAL","PENDING"},0)),PRINT_SHEET!J86)</f>
        <v/>
      </c>
      <c r="K86" s="55">
        <f>IF(PRINT_SHEET!K86="","",PRINT_SHEET!K86)</f>
        <v/>
      </c>
      <c r="L86" s="53">
        <f>IF(PRINT_SHEET!L86="","",PRINT_SHEET!L86)</f>
        <v/>
      </c>
    </row>
    <row r="87" ht="20" customHeight="1">
      <c r="A87" s="52">
        <f>IF(PRINT_SHEET!A87="","",PRINT_SHEET!A87)</f>
        <v/>
      </c>
      <c r="B87" s="53">
        <f>IF(PRINT_SHEET!B87="","",PRINT_SHEET!B87)</f>
        <v/>
      </c>
      <c r="C87" s="56">
        <f>IF(PRINT_SHEET!C87="","",PRINT_SHEET!C87)</f>
        <v/>
      </c>
      <c r="D87" s="56">
        <f>IF(PRINT_SHEET!D87="","",PRINT_SHEET!D87)</f>
        <v/>
      </c>
      <c r="E87" s="53">
        <f>IF(PRINT_SHEET!E87="","",PRINT_SHEET!E87)</f>
        <v/>
      </c>
      <c r="F87" s="52">
        <f>IF(PRINT_SHEET!F87="","",PRINT_SHEET!F87)</f>
        <v/>
      </c>
      <c r="G87" s="54">
        <f>IF(PRINT_SHEET!G87="","",PRINT_SHEET!G87)</f>
        <v/>
      </c>
      <c r="H87" s="54">
        <f>IF(PRINT_SHEET!H87="","",PRINT_SHEET!H87)</f>
        <v/>
      </c>
      <c r="I87" s="54">
        <f>IF(PRINT_SHEET!I87="","",PRINT_SHEET!I87)</f>
        <v/>
      </c>
      <c r="J87" s="53">
        <f>IFERROR(INDEX({"ادا شدہ","جزوی","بقایا"},MATCH(PRINT_SHEET!J87,{"PAID","PARTIAL","PENDING"},0)),PRINT_SHEET!J87)</f>
        <v/>
      </c>
      <c r="K87" s="55">
        <f>IF(PRINT_SHEET!K87="","",PRINT_SHEET!K87)</f>
        <v/>
      </c>
      <c r="L87" s="53">
        <f>IF(PRINT_SHEET!L87="","",PRINT_SHEET!L87)</f>
        <v/>
      </c>
    </row>
    <row r="88" ht="20" customHeight="1">
      <c r="A88" s="52">
        <f>IF(PRINT_SHEET!A88="","",PRINT_SHEET!A88)</f>
        <v/>
      </c>
      <c r="B88" s="53">
        <f>IF(PRINT_SHEET!B88="","",PRINT_SHEET!B88)</f>
        <v/>
      </c>
      <c r="C88" s="56">
        <f>IF(PRINT_SHEET!C88="","",PRINT_SHEET!C88)</f>
        <v/>
      </c>
      <c r="D88" s="56">
        <f>IF(PRINT_SHEET!D88="","",PRINT_SHEET!D88)</f>
        <v/>
      </c>
      <c r="E88" s="53">
        <f>IF(PRINT_SHEET!E88="","",PRINT_SHEET!E88)</f>
        <v/>
      </c>
      <c r="F88" s="52">
        <f>IF(PRINT_SHEET!F88="","",PRINT_SHEET!F88)</f>
        <v/>
      </c>
      <c r="G88" s="54">
        <f>IF(PRINT_SHEET!G88="","",PRINT_SHEET!G88)</f>
        <v/>
      </c>
      <c r="H88" s="54">
        <f>IF(PRINT_SHEET!H88="","",PRINT_SHEET!H88)</f>
        <v/>
      </c>
      <c r="I88" s="54">
        <f>IF(PRINT_SHEET!I88="","",PRINT_SHEET!I88)</f>
        <v/>
      </c>
      <c r="J88" s="53">
        <f>IFERROR(INDEX({"ادا شدہ","جزوی","بقایا"},MATCH(PRINT_SHEET!J88,{"PAID","PARTIAL","PENDING"},0)),PRINT_SHEET!J88)</f>
        <v/>
      </c>
      <c r="K88" s="55">
        <f>IF(PRINT_SHEET!K88="","",PRINT_SHEET!K88)</f>
        <v/>
      </c>
      <c r="L88" s="53">
        <f>IF(PRINT_SHEET!L88="","",PRINT_SHEET!L88)</f>
        <v/>
      </c>
    </row>
    <row r="89" ht="20" customHeight="1">
      <c r="A89" s="52">
        <f>IF(PRINT_SHEET!A89="","",PRINT_SHEET!A89)</f>
        <v/>
      </c>
      <c r="B89" s="53">
        <f>IF(PRINT_SHEET!B89="","",PRINT_SHEET!B89)</f>
        <v/>
      </c>
      <c r="C89" s="56">
        <f>IF(PRINT_SHEET!C89="","",PRINT_SHEET!C89)</f>
        <v/>
      </c>
      <c r="D89" s="56">
        <f>IF(PRINT_SHEET!D89="","",PRINT_SHEET!D89)</f>
        <v/>
      </c>
      <c r="E89" s="53">
        <f>IF(PRINT_SHEET!E89="","",PRINT_SHEET!E89)</f>
        <v/>
      </c>
      <c r="F89" s="52">
        <f>IF(PRINT_SHEET!F89="","",PRINT_SHEET!F89)</f>
        <v/>
      </c>
      <c r="G89" s="54">
        <f>IF(PRINT_SHEET!G89="","",PRINT_SHEET!G89)</f>
        <v/>
      </c>
      <c r="H89" s="54">
        <f>IF(PRINT_SHEET!H89="","",PRINT_SHEET!H89)</f>
        <v/>
      </c>
      <c r="I89" s="54">
        <f>IF(PRINT_SHEET!I89="","",PRINT_SHEET!I89)</f>
        <v/>
      </c>
      <c r="J89" s="53">
        <f>IFERROR(INDEX({"ادا شدہ","جزوی","بقایا"},MATCH(PRINT_SHEET!J89,{"PAID","PARTIAL","PENDING"},0)),PRINT_SHEET!J89)</f>
        <v/>
      </c>
      <c r="K89" s="55">
        <f>IF(PRINT_SHEET!K89="","",PRINT_SHEET!K89)</f>
        <v/>
      </c>
      <c r="L89" s="53">
        <f>IF(PRINT_SHEET!L89="","",PRINT_SHEET!L89)</f>
        <v/>
      </c>
    </row>
    <row r="90" ht="20" customHeight="1">
      <c r="A90" s="52">
        <f>IF(PRINT_SHEET!A90="","",PRINT_SHEET!A90)</f>
        <v/>
      </c>
      <c r="B90" s="53">
        <f>IF(PRINT_SHEET!B90="","",PRINT_SHEET!B90)</f>
        <v/>
      </c>
      <c r="C90" s="56">
        <f>IF(PRINT_SHEET!C90="","",PRINT_SHEET!C90)</f>
        <v/>
      </c>
      <c r="D90" s="56">
        <f>IF(PRINT_SHEET!D90="","",PRINT_SHEET!D90)</f>
        <v/>
      </c>
      <c r="E90" s="53">
        <f>IF(PRINT_SHEET!E90="","",PRINT_SHEET!E90)</f>
        <v/>
      </c>
      <c r="F90" s="52">
        <f>IF(PRINT_SHEET!F90="","",PRINT_SHEET!F90)</f>
        <v/>
      </c>
      <c r="G90" s="54">
        <f>IF(PRINT_SHEET!G90="","",PRINT_SHEET!G90)</f>
        <v/>
      </c>
      <c r="H90" s="54">
        <f>IF(PRINT_SHEET!H90="","",PRINT_SHEET!H90)</f>
        <v/>
      </c>
      <c r="I90" s="54">
        <f>IF(PRINT_SHEET!I90="","",PRINT_SHEET!I90)</f>
        <v/>
      </c>
      <c r="J90" s="53">
        <f>IFERROR(INDEX({"ادا شدہ","جزوی","بقایا"},MATCH(PRINT_SHEET!J90,{"PAID","PARTIAL","PENDING"},0)),PRINT_SHEET!J90)</f>
        <v/>
      </c>
      <c r="K90" s="55">
        <f>IF(PRINT_SHEET!K90="","",PRINT_SHEET!K90)</f>
        <v/>
      </c>
      <c r="L90" s="53">
        <f>IF(PRINT_SHEET!L90="","",PRINT_SHEET!L90)</f>
        <v/>
      </c>
    </row>
    <row r="91" ht="20" customHeight="1">
      <c r="A91" s="52">
        <f>IF(PRINT_SHEET!A91="","",PRINT_SHEET!A91)</f>
        <v/>
      </c>
      <c r="B91" s="53">
        <f>IF(PRINT_SHEET!B91="","",PRINT_SHEET!B91)</f>
        <v/>
      </c>
      <c r="C91" s="56">
        <f>IF(PRINT_SHEET!C91="","",PRINT_SHEET!C91)</f>
        <v/>
      </c>
      <c r="D91" s="56">
        <f>IF(PRINT_SHEET!D91="","",PRINT_SHEET!D91)</f>
        <v/>
      </c>
      <c r="E91" s="53">
        <f>IF(PRINT_SHEET!E91="","",PRINT_SHEET!E91)</f>
        <v/>
      </c>
      <c r="F91" s="52">
        <f>IF(PRINT_SHEET!F91="","",PRINT_SHEET!F91)</f>
        <v/>
      </c>
      <c r="G91" s="54">
        <f>IF(PRINT_SHEET!G91="","",PRINT_SHEET!G91)</f>
        <v/>
      </c>
      <c r="H91" s="54">
        <f>IF(PRINT_SHEET!H91="","",PRINT_SHEET!H91)</f>
        <v/>
      </c>
      <c r="I91" s="54">
        <f>IF(PRINT_SHEET!I91="","",PRINT_SHEET!I91)</f>
        <v/>
      </c>
      <c r="J91" s="53">
        <f>IFERROR(INDEX({"ادا شدہ","جزوی","بقایا"},MATCH(PRINT_SHEET!J91,{"PAID","PARTIAL","PENDING"},0)),PRINT_SHEET!J91)</f>
        <v/>
      </c>
      <c r="K91" s="55">
        <f>IF(PRINT_SHEET!K91="","",PRINT_SHEET!K91)</f>
        <v/>
      </c>
      <c r="L91" s="53">
        <f>IF(PRINT_SHEET!L91="","",PRINT_SHEET!L91)</f>
        <v/>
      </c>
    </row>
    <row r="92" ht="20" customHeight="1">
      <c r="A92" s="52">
        <f>IF(PRINT_SHEET!A92="","",PRINT_SHEET!A92)</f>
        <v/>
      </c>
      <c r="B92" s="53">
        <f>IF(PRINT_SHEET!B92="","",PRINT_SHEET!B92)</f>
        <v/>
      </c>
      <c r="C92" s="56">
        <f>IF(PRINT_SHEET!C92="","",PRINT_SHEET!C92)</f>
        <v/>
      </c>
      <c r="D92" s="56">
        <f>IF(PRINT_SHEET!D92="","",PRINT_SHEET!D92)</f>
        <v/>
      </c>
      <c r="E92" s="53">
        <f>IF(PRINT_SHEET!E92="","",PRINT_SHEET!E92)</f>
        <v/>
      </c>
      <c r="F92" s="52">
        <f>IF(PRINT_SHEET!F92="","",PRINT_SHEET!F92)</f>
        <v/>
      </c>
      <c r="G92" s="54">
        <f>IF(PRINT_SHEET!G92="","",PRINT_SHEET!G92)</f>
        <v/>
      </c>
      <c r="H92" s="54">
        <f>IF(PRINT_SHEET!H92="","",PRINT_SHEET!H92)</f>
        <v/>
      </c>
      <c r="I92" s="54">
        <f>IF(PRINT_SHEET!I92="","",PRINT_SHEET!I92)</f>
        <v/>
      </c>
      <c r="J92" s="53">
        <f>IFERROR(INDEX({"ادا شدہ","جزوی","بقایا"},MATCH(PRINT_SHEET!J92,{"PAID","PARTIAL","PENDING"},0)),PRINT_SHEET!J92)</f>
        <v/>
      </c>
      <c r="K92" s="55">
        <f>IF(PRINT_SHEET!K92="","",PRINT_SHEET!K92)</f>
        <v/>
      </c>
      <c r="L92" s="53">
        <f>IF(PRINT_SHEET!L92="","",PRINT_SHEET!L92)</f>
        <v/>
      </c>
    </row>
    <row r="93" ht="20" customHeight="1">
      <c r="A93" s="52">
        <f>IF(PRINT_SHEET!A93="","",PRINT_SHEET!A93)</f>
        <v/>
      </c>
      <c r="B93" s="53">
        <f>IF(PRINT_SHEET!B93="","",PRINT_SHEET!B93)</f>
        <v/>
      </c>
      <c r="C93" s="56">
        <f>IF(PRINT_SHEET!C93="","",PRINT_SHEET!C93)</f>
        <v/>
      </c>
      <c r="D93" s="56">
        <f>IF(PRINT_SHEET!D93="","",PRINT_SHEET!D93)</f>
        <v/>
      </c>
      <c r="E93" s="53">
        <f>IF(PRINT_SHEET!E93="","",PRINT_SHEET!E93)</f>
        <v/>
      </c>
      <c r="F93" s="52">
        <f>IF(PRINT_SHEET!F93="","",PRINT_SHEET!F93)</f>
        <v/>
      </c>
      <c r="G93" s="54">
        <f>IF(PRINT_SHEET!G93="","",PRINT_SHEET!G93)</f>
        <v/>
      </c>
      <c r="H93" s="54">
        <f>IF(PRINT_SHEET!H93="","",PRINT_SHEET!H93)</f>
        <v/>
      </c>
      <c r="I93" s="54">
        <f>IF(PRINT_SHEET!I93="","",PRINT_SHEET!I93)</f>
        <v/>
      </c>
      <c r="J93" s="53">
        <f>IFERROR(INDEX({"ادا شدہ","جزوی","بقایا"},MATCH(PRINT_SHEET!J93,{"PAID","PARTIAL","PENDING"},0)),PRINT_SHEET!J93)</f>
        <v/>
      </c>
      <c r="K93" s="55">
        <f>IF(PRINT_SHEET!K93="","",PRINT_SHEET!K93)</f>
        <v/>
      </c>
      <c r="L93" s="53">
        <f>IF(PRINT_SHEET!L93="","",PRINT_SHEET!L93)</f>
        <v/>
      </c>
    </row>
    <row r="94" ht="20" customHeight="1">
      <c r="A94" s="52">
        <f>IF(PRINT_SHEET!A94="","",PRINT_SHEET!A94)</f>
        <v/>
      </c>
      <c r="B94" s="53">
        <f>IF(PRINT_SHEET!B94="","",PRINT_SHEET!B94)</f>
        <v/>
      </c>
      <c r="C94" s="56">
        <f>IF(PRINT_SHEET!C94="","",PRINT_SHEET!C94)</f>
        <v/>
      </c>
      <c r="D94" s="56">
        <f>IF(PRINT_SHEET!D94="","",PRINT_SHEET!D94)</f>
        <v/>
      </c>
      <c r="E94" s="53">
        <f>IF(PRINT_SHEET!E94="","",PRINT_SHEET!E94)</f>
        <v/>
      </c>
      <c r="F94" s="52">
        <f>IF(PRINT_SHEET!F94="","",PRINT_SHEET!F94)</f>
        <v/>
      </c>
      <c r="G94" s="54">
        <f>IF(PRINT_SHEET!G94="","",PRINT_SHEET!G94)</f>
        <v/>
      </c>
      <c r="H94" s="54">
        <f>IF(PRINT_SHEET!H94="","",PRINT_SHEET!H94)</f>
        <v/>
      </c>
      <c r="I94" s="54">
        <f>IF(PRINT_SHEET!I94="","",PRINT_SHEET!I94)</f>
        <v/>
      </c>
      <c r="J94" s="53">
        <f>IFERROR(INDEX({"ادا شدہ","جزوی","بقایا"},MATCH(PRINT_SHEET!J94,{"PAID","PARTIAL","PENDING"},0)),PRINT_SHEET!J94)</f>
        <v/>
      </c>
      <c r="K94" s="55">
        <f>IF(PRINT_SHEET!K94="","",PRINT_SHEET!K94)</f>
        <v/>
      </c>
      <c r="L94" s="53">
        <f>IF(PRINT_SHEET!L94="","",PRINT_SHEET!L94)</f>
        <v/>
      </c>
    </row>
    <row r="95" ht="20" customHeight="1">
      <c r="A95" s="52">
        <f>IF(PRINT_SHEET!A95="","",PRINT_SHEET!A95)</f>
        <v/>
      </c>
      <c r="B95" s="53">
        <f>IF(PRINT_SHEET!B95="","",PRINT_SHEET!B95)</f>
        <v/>
      </c>
      <c r="C95" s="56">
        <f>IF(PRINT_SHEET!C95="","",PRINT_SHEET!C95)</f>
        <v/>
      </c>
      <c r="D95" s="56">
        <f>IF(PRINT_SHEET!D95="","",PRINT_SHEET!D95)</f>
        <v/>
      </c>
      <c r="E95" s="53">
        <f>IF(PRINT_SHEET!E95="","",PRINT_SHEET!E95)</f>
        <v/>
      </c>
      <c r="F95" s="52">
        <f>IF(PRINT_SHEET!F95="","",PRINT_SHEET!F95)</f>
        <v/>
      </c>
      <c r="G95" s="54">
        <f>IF(PRINT_SHEET!G95="","",PRINT_SHEET!G95)</f>
        <v/>
      </c>
      <c r="H95" s="54">
        <f>IF(PRINT_SHEET!H95="","",PRINT_SHEET!H95)</f>
        <v/>
      </c>
      <c r="I95" s="54">
        <f>IF(PRINT_SHEET!I95="","",PRINT_SHEET!I95)</f>
        <v/>
      </c>
      <c r="J95" s="53">
        <f>IFERROR(INDEX({"ادا شدہ","جزوی","بقایا"},MATCH(PRINT_SHEET!J95,{"PAID","PARTIAL","PENDING"},0)),PRINT_SHEET!J95)</f>
        <v/>
      </c>
      <c r="K95" s="55">
        <f>IF(PRINT_SHEET!K95="","",PRINT_SHEET!K95)</f>
        <v/>
      </c>
      <c r="L95" s="53">
        <f>IF(PRINT_SHEET!L95="","",PRINT_SHEET!L95)</f>
        <v/>
      </c>
    </row>
    <row r="96" ht="20" customHeight="1">
      <c r="A96" s="52">
        <f>IF(PRINT_SHEET!A96="","",PRINT_SHEET!A96)</f>
        <v/>
      </c>
      <c r="B96" s="53">
        <f>IF(PRINT_SHEET!B96="","",PRINT_SHEET!B96)</f>
        <v/>
      </c>
      <c r="C96" s="56">
        <f>IF(PRINT_SHEET!C96="","",PRINT_SHEET!C96)</f>
        <v/>
      </c>
      <c r="D96" s="56">
        <f>IF(PRINT_SHEET!D96="","",PRINT_SHEET!D96)</f>
        <v/>
      </c>
      <c r="E96" s="53">
        <f>IF(PRINT_SHEET!E96="","",PRINT_SHEET!E96)</f>
        <v/>
      </c>
      <c r="F96" s="52">
        <f>IF(PRINT_SHEET!F96="","",PRINT_SHEET!F96)</f>
        <v/>
      </c>
      <c r="G96" s="54">
        <f>IF(PRINT_SHEET!G96="","",PRINT_SHEET!G96)</f>
        <v/>
      </c>
      <c r="H96" s="54">
        <f>IF(PRINT_SHEET!H96="","",PRINT_SHEET!H96)</f>
        <v/>
      </c>
      <c r="I96" s="54">
        <f>IF(PRINT_SHEET!I96="","",PRINT_SHEET!I96)</f>
        <v/>
      </c>
      <c r="J96" s="53">
        <f>IFERROR(INDEX({"ادا شدہ","جزوی","بقایا"},MATCH(PRINT_SHEET!J96,{"PAID","PARTIAL","PENDING"},0)),PRINT_SHEET!J96)</f>
        <v/>
      </c>
      <c r="K96" s="55">
        <f>IF(PRINT_SHEET!K96="","",PRINT_SHEET!K96)</f>
        <v/>
      </c>
      <c r="L96" s="53">
        <f>IF(PRINT_SHEET!L96="","",PRINT_SHEET!L96)</f>
        <v/>
      </c>
    </row>
    <row r="97" ht="20" customHeight="1">
      <c r="A97" s="52">
        <f>IF(PRINT_SHEET!A97="","",PRINT_SHEET!A97)</f>
        <v/>
      </c>
      <c r="B97" s="53">
        <f>IF(PRINT_SHEET!B97="","",PRINT_SHEET!B97)</f>
        <v/>
      </c>
      <c r="C97" s="56">
        <f>IF(PRINT_SHEET!C97="","",PRINT_SHEET!C97)</f>
        <v/>
      </c>
      <c r="D97" s="56">
        <f>IF(PRINT_SHEET!D97="","",PRINT_SHEET!D97)</f>
        <v/>
      </c>
      <c r="E97" s="53">
        <f>IF(PRINT_SHEET!E97="","",PRINT_SHEET!E97)</f>
        <v/>
      </c>
      <c r="F97" s="52">
        <f>IF(PRINT_SHEET!F97="","",PRINT_SHEET!F97)</f>
        <v/>
      </c>
      <c r="G97" s="54">
        <f>IF(PRINT_SHEET!G97="","",PRINT_SHEET!G97)</f>
        <v/>
      </c>
      <c r="H97" s="54">
        <f>IF(PRINT_SHEET!H97="","",PRINT_SHEET!H97)</f>
        <v/>
      </c>
      <c r="I97" s="54">
        <f>IF(PRINT_SHEET!I97="","",PRINT_SHEET!I97)</f>
        <v/>
      </c>
      <c r="J97" s="53">
        <f>IFERROR(INDEX({"ادا شدہ","جزوی","بقایا"},MATCH(PRINT_SHEET!J97,{"PAID","PARTIAL","PENDING"},0)),PRINT_SHEET!J97)</f>
        <v/>
      </c>
      <c r="K97" s="55">
        <f>IF(PRINT_SHEET!K97="","",PRINT_SHEET!K97)</f>
        <v/>
      </c>
      <c r="L97" s="53">
        <f>IF(PRINT_SHEET!L97="","",PRINT_SHEET!L97)</f>
        <v/>
      </c>
    </row>
    <row r="98" ht="20" customHeight="1">
      <c r="A98" s="52">
        <f>IF(PRINT_SHEET!A98="","",PRINT_SHEET!A98)</f>
        <v/>
      </c>
      <c r="B98" s="53">
        <f>IF(PRINT_SHEET!B98="","",PRINT_SHEET!B98)</f>
        <v/>
      </c>
      <c r="C98" s="56">
        <f>IF(PRINT_SHEET!C98="","",PRINT_SHEET!C98)</f>
        <v/>
      </c>
      <c r="D98" s="56">
        <f>IF(PRINT_SHEET!D98="","",PRINT_SHEET!D98)</f>
        <v/>
      </c>
      <c r="E98" s="53">
        <f>IF(PRINT_SHEET!E98="","",PRINT_SHEET!E98)</f>
        <v/>
      </c>
      <c r="F98" s="52">
        <f>IF(PRINT_SHEET!F98="","",PRINT_SHEET!F98)</f>
        <v/>
      </c>
      <c r="G98" s="54">
        <f>IF(PRINT_SHEET!G98="","",PRINT_SHEET!G98)</f>
        <v/>
      </c>
      <c r="H98" s="54">
        <f>IF(PRINT_SHEET!H98="","",PRINT_SHEET!H98)</f>
        <v/>
      </c>
      <c r="I98" s="54">
        <f>IF(PRINT_SHEET!I98="","",PRINT_SHEET!I98)</f>
        <v/>
      </c>
      <c r="J98" s="53">
        <f>IFERROR(INDEX({"ادا شدہ","جزوی","بقایا"},MATCH(PRINT_SHEET!J98,{"PAID","PARTIAL","PENDING"},0)),PRINT_SHEET!J98)</f>
        <v/>
      </c>
      <c r="K98" s="55">
        <f>IF(PRINT_SHEET!K98="","",PRINT_SHEET!K98)</f>
        <v/>
      </c>
      <c r="L98" s="53">
        <f>IF(PRINT_SHEET!L98="","",PRINT_SHEET!L98)</f>
        <v/>
      </c>
    </row>
    <row r="99" ht="20" customHeight="1">
      <c r="A99" s="52">
        <f>IF(PRINT_SHEET!A99="","",PRINT_SHEET!A99)</f>
        <v/>
      </c>
      <c r="B99" s="53">
        <f>IF(PRINT_SHEET!B99="","",PRINT_SHEET!B99)</f>
        <v/>
      </c>
      <c r="C99" s="56">
        <f>IF(PRINT_SHEET!C99="","",PRINT_SHEET!C99)</f>
        <v/>
      </c>
      <c r="D99" s="56">
        <f>IF(PRINT_SHEET!D99="","",PRINT_SHEET!D99)</f>
        <v/>
      </c>
      <c r="E99" s="53">
        <f>IF(PRINT_SHEET!E99="","",PRINT_SHEET!E99)</f>
        <v/>
      </c>
      <c r="F99" s="52">
        <f>IF(PRINT_SHEET!F99="","",PRINT_SHEET!F99)</f>
        <v/>
      </c>
      <c r="G99" s="54">
        <f>IF(PRINT_SHEET!G99="","",PRINT_SHEET!G99)</f>
        <v/>
      </c>
      <c r="H99" s="54">
        <f>IF(PRINT_SHEET!H99="","",PRINT_SHEET!H99)</f>
        <v/>
      </c>
      <c r="I99" s="54">
        <f>IF(PRINT_SHEET!I99="","",PRINT_SHEET!I99)</f>
        <v/>
      </c>
      <c r="J99" s="53">
        <f>IFERROR(INDEX({"ادا شدہ","جزوی","بقایا"},MATCH(PRINT_SHEET!J99,{"PAID","PARTIAL","PENDING"},0)),PRINT_SHEET!J99)</f>
        <v/>
      </c>
      <c r="K99" s="55">
        <f>IF(PRINT_SHEET!K99="","",PRINT_SHEET!K99)</f>
        <v/>
      </c>
      <c r="L99" s="53">
        <f>IF(PRINT_SHEET!L99="","",PRINT_SHEET!L99)</f>
        <v/>
      </c>
    </row>
    <row r="100" ht="20" customHeight="1">
      <c r="A100" s="52">
        <f>IF(PRINT_SHEET!A100="","",PRINT_SHEET!A100)</f>
        <v/>
      </c>
      <c r="B100" s="53">
        <f>IF(PRINT_SHEET!B100="","",PRINT_SHEET!B100)</f>
        <v/>
      </c>
      <c r="C100" s="56">
        <f>IF(PRINT_SHEET!C100="","",PRINT_SHEET!C100)</f>
        <v/>
      </c>
      <c r="D100" s="56">
        <f>IF(PRINT_SHEET!D100="","",PRINT_SHEET!D100)</f>
        <v/>
      </c>
      <c r="E100" s="53">
        <f>IF(PRINT_SHEET!E100="","",PRINT_SHEET!E100)</f>
        <v/>
      </c>
      <c r="F100" s="52">
        <f>IF(PRINT_SHEET!F100="","",PRINT_SHEET!F100)</f>
        <v/>
      </c>
      <c r="G100" s="54">
        <f>IF(PRINT_SHEET!G100="","",PRINT_SHEET!G100)</f>
        <v/>
      </c>
      <c r="H100" s="54">
        <f>IF(PRINT_SHEET!H100="","",PRINT_SHEET!H100)</f>
        <v/>
      </c>
      <c r="I100" s="54">
        <f>IF(PRINT_SHEET!I100="","",PRINT_SHEET!I100)</f>
        <v/>
      </c>
      <c r="J100" s="53">
        <f>IFERROR(INDEX({"ادا شدہ","جزوی","بقایا"},MATCH(PRINT_SHEET!J100,{"PAID","PARTIAL","PENDING"},0)),PRINT_SHEET!J100)</f>
        <v/>
      </c>
      <c r="K100" s="55">
        <f>IF(PRINT_SHEET!K100="","",PRINT_SHEET!K100)</f>
        <v/>
      </c>
      <c r="L100" s="53">
        <f>IF(PRINT_SHEET!L100="","",PRINT_SHEET!L100)</f>
        <v/>
      </c>
    </row>
    <row r="101" ht="20" customHeight="1">
      <c r="A101" s="52">
        <f>IF(PRINT_SHEET!A101="","",PRINT_SHEET!A101)</f>
        <v/>
      </c>
      <c r="B101" s="53">
        <f>IF(PRINT_SHEET!B101="","",PRINT_SHEET!B101)</f>
        <v/>
      </c>
      <c r="C101" s="56">
        <f>IF(PRINT_SHEET!C101="","",PRINT_SHEET!C101)</f>
        <v/>
      </c>
      <c r="D101" s="56">
        <f>IF(PRINT_SHEET!D101="","",PRINT_SHEET!D101)</f>
        <v/>
      </c>
      <c r="E101" s="53">
        <f>IF(PRINT_SHEET!E101="","",PRINT_SHEET!E101)</f>
        <v/>
      </c>
      <c r="F101" s="52">
        <f>IF(PRINT_SHEET!F101="","",PRINT_SHEET!F101)</f>
        <v/>
      </c>
      <c r="G101" s="54">
        <f>IF(PRINT_SHEET!G101="","",PRINT_SHEET!G101)</f>
        <v/>
      </c>
      <c r="H101" s="54">
        <f>IF(PRINT_SHEET!H101="","",PRINT_SHEET!H101)</f>
        <v/>
      </c>
      <c r="I101" s="54">
        <f>IF(PRINT_SHEET!I101="","",PRINT_SHEET!I101)</f>
        <v/>
      </c>
      <c r="J101" s="53">
        <f>IFERROR(INDEX({"ادا شدہ","جزوی","بقایا"},MATCH(PRINT_SHEET!J101,{"PAID","PARTIAL","PENDING"},0)),PRINT_SHEET!J101)</f>
        <v/>
      </c>
      <c r="K101" s="55">
        <f>IF(PRINT_SHEET!K101="","",PRINT_SHEET!K101)</f>
        <v/>
      </c>
      <c r="L101" s="53">
        <f>IF(PRINT_SHEET!L101="","",PRINT_SHEET!L101)</f>
        <v/>
      </c>
    </row>
    <row r="102" ht="20" customHeight="1">
      <c r="A102" s="52">
        <f>IF(PRINT_SHEET!A102="","",PRINT_SHEET!A102)</f>
        <v/>
      </c>
      <c r="B102" s="53">
        <f>IF(PRINT_SHEET!B102="","",PRINT_SHEET!B102)</f>
        <v/>
      </c>
      <c r="C102" s="56">
        <f>IF(PRINT_SHEET!C102="","",PRINT_SHEET!C102)</f>
        <v/>
      </c>
      <c r="D102" s="56">
        <f>IF(PRINT_SHEET!D102="","",PRINT_SHEET!D102)</f>
        <v/>
      </c>
      <c r="E102" s="53">
        <f>IF(PRINT_SHEET!E102="","",PRINT_SHEET!E102)</f>
        <v/>
      </c>
      <c r="F102" s="52">
        <f>IF(PRINT_SHEET!F102="","",PRINT_SHEET!F102)</f>
        <v/>
      </c>
      <c r="G102" s="54">
        <f>IF(PRINT_SHEET!G102="","",PRINT_SHEET!G102)</f>
        <v/>
      </c>
      <c r="H102" s="54">
        <f>IF(PRINT_SHEET!H102="","",PRINT_SHEET!H102)</f>
        <v/>
      </c>
      <c r="I102" s="54">
        <f>IF(PRINT_SHEET!I102="","",PRINT_SHEET!I102)</f>
        <v/>
      </c>
      <c r="J102" s="53">
        <f>IFERROR(INDEX({"ادا شدہ","جزوی","بقایا"},MATCH(PRINT_SHEET!J102,{"PAID","PARTIAL","PENDING"},0)),PRINT_SHEET!J102)</f>
        <v/>
      </c>
      <c r="K102" s="55">
        <f>IF(PRINT_SHEET!K102="","",PRINT_SHEET!K102)</f>
        <v/>
      </c>
      <c r="L102" s="53">
        <f>IF(PRINT_SHEET!L102="","",PRINT_SHEET!L102)</f>
        <v/>
      </c>
    </row>
    <row r="103" ht="20" customHeight="1">
      <c r="A103" s="52">
        <f>IF(PRINT_SHEET!A103="","",PRINT_SHEET!A103)</f>
        <v/>
      </c>
      <c r="B103" s="53">
        <f>IF(PRINT_SHEET!B103="","",PRINT_SHEET!B103)</f>
        <v/>
      </c>
      <c r="C103" s="56">
        <f>IF(PRINT_SHEET!C103="","",PRINT_SHEET!C103)</f>
        <v/>
      </c>
      <c r="D103" s="56">
        <f>IF(PRINT_SHEET!D103="","",PRINT_SHEET!D103)</f>
        <v/>
      </c>
      <c r="E103" s="53">
        <f>IF(PRINT_SHEET!E103="","",PRINT_SHEET!E103)</f>
        <v/>
      </c>
      <c r="F103" s="52">
        <f>IF(PRINT_SHEET!F103="","",PRINT_SHEET!F103)</f>
        <v/>
      </c>
      <c r="G103" s="54">
        <f>IF(PRINT_SHEET!G103="","",PRINT_SHEET!G103)</f>
        <v/>
      </c>
      <c r="H103" s="54">
        <f>IF(PRINT_SHEET!H103="","",PRINT_SHEET!H103)</f>
        <v/>
      </c>
      <c r="I103" s="54">
        <f>IF(PRINT_SHEET!I103="","",PRINT_SHEET!I103)</f>
        <v/>
      </c>
      <c r="J103" s="53">
        <f>IFERROR(INDEX({"ادا شدہ","جزوی","بقایا"},MATCH(PRINT_SHEET!J103,{"PAID","PARTIAL","PENDING"},0)),PRINT_SHEET!J103)</f>
        <v/>
      </c>
      <c r="K103" s="55">
        <f>IF(PRINT_SHEET!K103="","",PRINT_SHEET!K103)</f>
        <v/>
      </c>
      <c r="L103" s="53">
        <f>IF(PRINT_SHEET!L103="","",PRINT_SHEET!L103)</f>
        <v/>
      </c>
    </row>
    <row r="104" ht="20" customHeight="1">
      <c r="A104" s="52">
        <f>IF(PRINT_SHEET!A104="","",PRINT_SHEET!A104)</f>
        <v/>
      </c>
      <c r="B104" s="53">
        <f>IF(PRINT_SHEET!B104="","",PRINT_SHEET!B104)</f>
        <v/>
      </c>
      <c r="C104" s="56">
        <f>IF(PRINT_SHEET!C104="","",PRINT_SHEET!C104)</f>
        <v/>
      </c>
      <c r="D104" s="56">
        <f>IF(PRINT_SHEET!D104="","",PRINT_SHEET!D104)</f>
        <v/>
      </c>
      <c r="E104" s="53">
        <f>IF(PRINT_SHEET!E104="","",PRINT_SHEET!E104)</f>
        <v/>
      </c>
      <c r="F104" s="52">
        <f>IF(PRINT_SHEET!F104="","",PRINT_SHEET!F104)</f>
        <v/>
      </c>
      <c r="G104" s="54">
        <f>IF(PRINT_SHEET!G104="","",PRINT_SHEET!G104)</f>
        <v/>
      </c>
      <c r="H104" s="54">
        <f>IF(PRINT_SHEET!H104="","",PRINT_SHEET!H104)</f>
        <v/>
      </c>
      <c r="I104" s="54">
        <f>IF(PRINT_SHEET!I104="","",PRINT_SHEET!I104)</f>
        <v/>
      </c>
      <c r="J104" s="53">
        <f>IFERROR(INDEX({"ادا شدہ","جزوی","بقایا"},MATCH(PRINT_SHEET!J104,{"PAID","PARTIAL","PENDING"},0)),PRINT_SHEET!J104)</f>
        <v/>
      </c>
      <c r="K104" s="55">
        <f>IF(PRINT_SHEET!K104="","",PRINT_SHEET!K104)</f>
        <v/>
      </c>
      <c r="L104" s="53">
        <f>IF(PRINT_SHEET!L104="","",PRINT_SHEET!L104)</f>
        <v/>
      </c>
    </row>
    <row r="105" ht="20" customHeight="1">
      <c r="A105" s="52">
        <f>IF(PRINT_SHEET!A105="","",PRINT_SHEET!A105)</f>
        <v/>
      </c>
      <c r="B105" s="53">
        <f>IF(PRINT_SHEET!B105="","",PRINT_SHEET!B105)</f>
        <v/>
      </c>
      <c r="C105" s="56">
        <f>IF(PRINT_SHEET!C105="","",PRINT_SHEET!C105)</f>
        <v/>
      </c>
      <c r="D105" s="56">
        <f>IF(PRINT_SHEET!D105="","",PRINT_SHEET!D105)</f>
        <v/>
      </c>
      <c r="E105" s="53">
        <f>IF(PRINT_SHEET!E105="","",PRINT_SHEET!E105)</f>
        <v/>
      </c>
      <c r="F105" s="52">
        <f>IF(PRINT_SHEET!F105="","",PRINT_SHEET!F105)</f>
        <v/>
      </c>
      <c r="G105" s="54">
        <f>IF(PRINT_SHEET!G105="","",PRINT_SHEET!G105)</f>
        <v/>
      </c>
      <c r="H105" s="54">
        <f>IF(PRINT_SHEET!H105="","",PRINT_SHEET!H105)</f>
        <v/>
      </c>
      <c r="I105" s="54">
        <f>IF(PRINT_SHEET!I105="","",PRINT_SHEET!I105)</f>
        <v/>
      </c>
      <c r="J105" s="53">
        <f>IFERROR(INDEX({"ادا شدہ","جزوی","بقایا"},MATCH(PRINT_SHEET!J105,{"PAID","PARTIAL","PENDING"},0)),PRINT_SHEET!J105)</f>
        <v/>
      </c>
      <c r="K105" s="55">
        <f>IF(PRINT_SHEET!K105="","",PRINT_SHEET!K105)</f>
        <v/>
      </c>
      <c r="L105" s="53">
        <f>IF(PRINT_SHEET!L105="","",PRINT_SHEET!L105)</f>
        <v/>
      </c>
    </row>
    <row r="106" ht="20" customHeight="1">
      <c r="A106" s="52">
        <f>IF(PRINT_SHEET!A106="","",PRINT_SHEET!A106)</f>
        <v/>
      </c>
      <c r="B106" s="53">
        <f>IF(PRINT_SHEET!B106="","",PRINT_SHEET!B106)</f>
        <v/>
      </c>
      <c r="C106" s="56">
        <f>IF(PRINT_SHEET!C106="","",PRINT_SHEET!C106)</f>
        <v/>
      </c>
      <c r="D106" s="56">
        <f>IF(PRINT_SHEET!D106="","",PRINT_SHEET!D106)</f>
        <v/>
      </c>
      <c r="E106" s="53">
        <f>IF(PRINT_SHEET!E106="","",PRINT_SHEET!E106)</f>
        <v/>
      </c>
      <c r="F106" s="52">
        <f>IF(PRINT_SHEET!F106="","",PRINT_SHEET!F106)</f>
        <v/>
      </c>
      <c r="G106" s="54">
        <f>IF(PRINT_SHEET!G106="","",PRINT_SHEET!G106)</f>
        <v/>
      </c>
      <c r="H106" s="54">
        <f>IF(PRINT_SHEET!H106="","",PRINT_SHEET!H106)</f>
        <v/>
      </c>
      <c r="I106" s="54">
        <f>IF(PRINT_SHEET!I106="","",PRINT_SHEET!I106)</f>
        <v/>
      </c>
      <c r="J106" s="53">
        <f>IFERROR(INDEX({"ادا شدہ","جزوی","بقایا"},MATCH(PRINT_SHEET!J106,{"PAID","PARTIAL","PENDING"},0)),PRINT_SHEET!J106)</f>
        <v/>
      </c>
      <c r="K106" s="55">
        <f>IF(PRINT_SHEET!K106="","",PRINT_SHEET!K106)</f>
        <v/>
      </c>
      <c r="L106" s="53">
        <f>IF(PRINT_SHEET!L106="","",PRINT_SHEET!L106)</f>
        <v/>
      </c>
    </row>
    <row r="107" ht="20" customHeight="1">
      <c r="A107" s="52">
        <f>IF(PRINT_SHEET!A107="","",PRINT_SHEET!A107)</f>
        <v/>
      </c>
      <c r="B107" s="53">
        <f>IF(PRINT_SHEET!B107="","",PRINT_SHEET!B107)</f>
        <v/>
      </c>
      <c r="C107" s="56">
        <f>IF(PRINT_SHEET!C107="","",PRINT_SHEET!C107)</f>
        <v/>
      </c>
      <c r="D107" s="56">
        <f>IF(PRINT_SHEET!D107="","",PRINT_SHEET!D107)</f>
        <v/>
      </c>
      <c r="E107" s="53">
        <f>IF(PRINT_SHEET!E107="","",PRINT_SHEET!E107)</f>
        <v/>
      </c>
      <c r="F107" s="52">
        <f>IF(PRINT_SHEET!F107="","",PRINT_SHEET!F107)</f>
        <v/>
      </c>
      <c r="G107" s="54">
        <f>IF(PRINT_SHEET!G107="","",PRINT_SHEET!G107)</f>
        <v/>
      </c>
      <c r="H107" s="54">
        <f>IF(PRINT_SHEET!H107="","",PRINT_SHEET!H107)</f>
        <v/>
      </c>
      <c r="I107" s="54">
        <f>IF(PRINT_SHEET!I107="","",PRINT_SHEET!I107)</f>
        <v/>
      </c>
      <c r="J107" s="53">
        <f>IFERROR(INDEX({"ادا شدہ","جزوی","بقایا"},MATCH(PRINT_SHEET!J107,{"PAID","PARTIAL","PENDING"},0)),PRINT_SHEET!J107)</f>
        <v/>
      </c>
      <c r="K107" s="55">
        <f>IF(PRINT_SHEET!K107="","",PRINT_SHEET!K107)</f>
        <v/>
      </c>
      <c r="L107" s="53">
        <f>IF(PRINT_SHEET!L107="","",PRINT_SHEET!L107)</f>
        <v/>
      </c>
    </row>
    <row r="108" ht="20" customHeight="1">
      <c r="A108" s="52">
        <f>IF(PRINT_SHEET!A108="","",PRINT_SHEET!A108)</f>
        <v/>
      </c>
      <c r="B108" s="53">
        <f>IF(PRINT_SHEET!B108="","",PRINT_SHEET!B108)</f>
        <v/>
      </c>
      <c r="C108" s="56">
        <f>IF(PRINT_SHEET!C108="","",PRINT_SHEET!C108)</f>
        <v/>
      </c>
      <c r="D108" s="56">
        <f>IF(PRINT_SHEET!D108="","",PRINT_SHEET!D108)</f>
        <v/>
      </c>
      <c r="E108" s="53">
        <f>IF(PRINT_SHEET!E108="","",PRINT_SHEET!E108)</f>
        <v/>
      </c>
      <c r="F108" s="52">
        <f>IF(PRINT_SHEET!F108="","",PRINT_SHEET!F108)</f>
        <v/>
      </c>
      <c r="G108" s="54">
        <f>IF(PRINT_SHEET!G108="","",PRINT_SHEET!G108)</f>
        <v/>
      </c>
      <c r="H108" s="54">
        <f>IF(PRINT_SHEET!H108="","",PRINT_SHEET!H108)</f>
        <v/>
      </c>
      <c r="I108" s="54">
        <f>IF(PRINT_SHEET!I108="","",PRINT_SHEET!I108)</f>
        <v/>
      </c>
      <c r="J108" s="53">
        <f>IFERROR(INDEX({"ادا شدہ","جزوی","بقایا"},MATCH(PRINT_SHEET!J108,{"PAID","PARTIAL","PENDING"},0)),PRINT_SHEET!J108)</f>
        <v/>
      </c>
      <c r="K108" s="55">
        <f>IF(PRINT_SHEET!K108="","",PRINT_SHEET!K108)</f>
        <v/>
      </c>
      <c r="L108" s="53">
        <f>IF(PRINT_SHEET!L108="","",PRINT_SHEET!L108)</f>
        <v/>
      </c>
    </row>
    <row r="109" ht="20" customHeight="1">
      <c r="A109" s="52">
        <f>IF(PRINT_SHEET!A109="","",PRINT_SHEET!A109)</f>
        <v/>
      </c>
      <c r="B109" s="53">
        <f>IF(PRINT_SHEET!B109="","",PRINT_SHEET!B109)</f>
        <v/>
      </c>
      <c r="C109" s="56">
        <f>IF(PRINT_SHEET!C109="","",PRINT_SHEET!C109)</f>
        <v/>
      </c>
      <c r="D109" s="56">
        <f>IF(PRINT_SHEET!D109="","",PRINT_SHEET!D109)</f>
        <v/>
      </c>
      <c r="E109" s="53">
        <f>IF(PRINT_SHEET!E109="","",PRINT_SHEET!E109)</f>
        <v/>
      </c>
      <c r="F109" s="52">
        <f>IF(PRINT_SHEET!F109="","",PRINT_SHEET!F109)</f>
        <v/>
      </c>
      <c r="G109" s="54">
        <f>IF(PRINT_SHEET!G109="","",PRINT_SHEET!G109)</f>
        <v/>
      </c>
      <c r="H109" s="54">
        <f>IF(PRINT_SHEET!H109="","",PRINT_SHEET!H109)</f>
        <v/>
      </c>
      <c r="I109" s="54">
        <f>IF(PRINT_SHEET!I109="","",PRINT_SHEET!I109)</f>
        <v/>
      </c>
      <c r="J109" s="53">
        <f>IFERROR(INDEX({"ادا شدہ","جزوی","بقایا"},MATCH(PRINT_SHEET!J109,{"PAID","PARTIAL","PENDING"},0)),PRINT_SHEET!J109)</f>
        <v/>
      </c>
      <c r="K109" s="55">
        <f>IF(PRINT_SHEET!K109="","",PRINT_SHEET!K109)</f>
        <v/>
      </c>
      <c r="L109" s="53">
        <f>IF(PRINT_SHEET!L109="","",PRINT_SHEET!L109)</f>
        <v/>
      </c>
    </row>
    <row r="110" ht="20" customHeight="1">
      <c r="A110" s="52">
        <f>IF(PRINT_SHEET!A110="","",PRINT_SHEET!A110)</f>
        <v/>
      </c>
      <c r="B110" s="53">
        <f>IF(PRINT_SHEET!B110="","",PRINT_SHEET!B110)</f>
        <v/>
      </c>
      <c r="C110" s="56">
        <f>IF(PRINT_SHEET!C110="","",PRINT_SHEET!C110)</f>
        <v/>
      </c>
      <c r="D110" s="56">
        <f>IF(PRINT_SHEET!D110="","",PRINT_SHEET!D110)</f>
        <v/>
      </c>
      <c r="E110" s="53">
        <f>IF(PRINT_SHEET!E110="","",PRINT_SHEET!E110)</f>
        <v/>
      </c>
      <c r="F110" s="52">
        <f>IF(PRINT_SHEET!F110="","",PRINT_SHEET!F110)</f>
        <v/>
      </c>
      <c r="G110" s="54">
        <f>IF(PRINT_SHEET!G110="","",PRINT_SHEET!G110)</f>
        <v/>
      </c>
      <c r="H110" s="54">
        <f>IF(PRINT_SHEET!H110="","",PRINT_SHEET!H110)</f>
        <v/>
      </c>
      <c r="I110" s="54">
        <f>IF(PRINT_SHEET!I110="","",PRINT_SHEET!I110)</f>
        <v/>
      </c>
      <c r="J110" s="53">
        <f>IFERROR(INDEX({"ادا شدہ","جزوی","بقایا"},MATCH(PRINT_SHEET!J110,{"PAID","PARTIAL","PENDING"},0)),PRINT_SHEET!J110)</f>
        <v/>
      </c>
      <c r="K110" s="55">
        <f>IF(PRINT_SHEET!K110="","",PRINT_SHEET!K110)</f>
        <v/>
      </c>
      <c r="L110" s="53">
        <f>IF(PRINT_SHEET!L110="","",PRINT_SHEET!L110)</f>
        <v/>
      </c>
    </row>
    <row r="111" ht="20" customHeight="1">
      <c r="A111" s="52">
        <f>IF(PRINT_SHEET!A111="","",PRINT_SHEET!A111)</f>
        <v/>
      </c>
      <c r="B111" s="53">
        <f>IF(PRINT_SHEET!B111="","",PRINT_SHEET!B111)</f>
        <v/>
      </c>
      <c r="C111" s="56">
        <f>IF(PRINT_SHEET!C111="","",PRINT_SHEET!C111)</f>
        <v/>
      </c>
      <c r="D111" s="56">
        <f>IF(PRINT_SHEET!D111="","",PRINT_SHEET!D111)</f>
        <v/>
      </c>
      <c r="E111" s="53">
        <f>IF(PRINT_SHEET!E111="","",PRINT_SHEET!E111)</f>
        <v/>
      </c>
      <c r="F111" s="52">
        <f>IF(PRINT_SHEET!F111="","",PRINT_SHEET!F111)</f>
        <v/>
      </c>
      <c r="G111" s="54">
        <f>IF(PRINT_SHEET!G111="","",PRINT_SHEET!G111)</f>
        <v/>
      </c>
      <c r="H111" s="54">
        <f>IF(PRINT_SHEET!H111="","",PRINT_SHEET!H111)</f>
        <v/>
      </c>
      <c r="I111" s="54">
        <f>IF(PRINT_SHEET!I111="","",PRINT_SHEET!I111)</f>
        <v/>
      </c>
      <c r="J111" s="53">
        <f>IFERROR(INDEX({"ادا شدہ","جزوی","بقایا"},MATCH(PRINT_SHEET!J111,{"PAID","PARTIAL","PENDING"},0)),PRINT_SHEET!J111)</f>
        <v/>
      </c>
      <c r="K111" s="55">
        <f>IF(PRINT_SHEET!K111="","",PRINT_SHEET!K111)</f>
        <v/>
      </c>
      <c r="L111" s="53">
        <f>IF(PRINT_SHEET!L111="","",PRINT_SHEET!L111)</f>
        <v/>
      </c>
    </row>
    <row r="112" ht="20" customHeight="1">
      <c r="A112" s="52">
        <f>IF(PRINT_SHEET!A112="","",PRINT_SHEET!A112)</f>
        <v/>
      </c>
      <c r="B112" s="53">
        <f>IF(PRINT_SHEET!B112="","",PRINT_SHEET!B112)</f>
        <v/>
      </c>
      <c r="C112" s="56">
        <f>IF(PRINT_SHEET!C112="","",PRINT_SHEET!C112)</f>
        <v/>
      </c>
      <c r="D112" s="56">
        <f>IF(PRINT_SHEET!D112="","",PRINT_SHEET!D112)</f>
        <v/>
      </c>
      <c r="E112" s="53">
        <f>IF(PRINT_SHEET!E112="","",PRINT_SHEET!E112)</f>
        <v/>
      </c>
      <c r="F112" s="52">
        <f>IF(PRINT_SHEET!F112="","",PRINT_SHEET!F112)</f>
        <v/>
      </c>
      <c r="G112" s="54">
        <f>IF(PRINT_SHEET!G112="","",PRINT_SHEET!G112)</f>
        <v/>
      </c>
      <c r="H112" s="54">
        <f>IF(PRINT_SHEET!H112="","",PRINT_SHEET!H112)</f>
        <v/>
      </c>
      <c r="I112" s="54">
        <f>IF(PRINT_SHEET!I112="","",PRINT_SHEET!I112)</f>
        <v/>
      </c>
      <c r="J112" s="53">
        <f>IFERROR(INDEX({"ادا شدہ","جزوی","بقایا"},MATCH(PRINT_SHEET!J112,{"PAID","PARTIAL","PENDING"},0)),PRINT_SHEET!J112)</f>
        <v/>
      </c>
      <c r="K112" s="55">
        <f>IF(PRINT_SHEET!K112="","",PRINT_SHEET!K112)</f>
        <v/>
      </c>
      <c r="L112" s="53">
        <f>IF(PRINT_SHEET!L112="","",PRINT_SHEET!L112)</f>
        <v/>
      </c>
    </row>
    <row r="113" ht="20" customHeight="1">
      <c r="A113" s="52">
        <f>IF(PRINT_SHEET!A113="","",PRINT_SHEET!A113)</f>
        <v/>
      </c>
      <c r="B113" s="53">
        <f>IF(PRINT_SHEET!B113="","",PRINT_SHEET!B113)</f>
        <v/>
      </c>
      <c r="C113" s="56">
        <f>IF(PRINT_SHEET!C113="","",PRINT_SHEET!C113)</f>
        <v/>
      </c>
      <c r="D113" s="56">
        <f>IF(PRINT_SHEET!D113="","",PRINT_SHEET!D113)</f>
        <v/>
      </c>
      <c r="E113" s="53">
        <f>IF(PRINT_SHEET!E113="","",PRINT_SHEET!E113)</f>
        <v/>
      </c>
      <c r="F113" s="52">
        <f>IF(PRINT_SHEET!F113="","",PRINT_SHEET!F113)</f>
        <v/>
      </c>
      <c r="G113" s="54">
        <f>IF(PRINT_SHEET!G113="","",PRINT_SHEET!G113)</f>
        <v/>
      </c>
      <c r="H113" s="54">
        <f>IF(PRINT_SHEET!H113="","",PRINT_SHEET!H113)</f>
        <v/>
      </c>
      <c r="I113" s="54">
        <f>IF(PRINT_SHEET!I113="","",PRINT_SHEET!I113)</f>
        <v/>
      </c>
      <c r="J113" s="53">
        <f>IFERROR(INDEX({"ادا شدہ","جزوی","بقایا"},MATCH(PRINT_SHEET!J113,{"PAID","PARTIAL","PENDING"},0)),PRINT_SHEET!J113)</f>
        <v/>
      </c>
      <c r="K113" s="55">
        <f>IF(PRINT_SHEET!K113="","",PRINT_SHEET!K113)</f>
        <v/>
      </c>
      <c r="L113" s="53">
        <f>IF(PRINT_SHEET!L113="","",PRINT_SHEET!L113)</f>
        <v/>
      </c>
    </row>
    <row r="114" ht="20" customHeight="1">
      <c r="A114" s="52">
        <f>IF(PRINT_SHEET!A114="","",PRINT_SHEET!A114)</f>
        <v/>
      </c>
      <c r="B114" s="53">
        <f>IF(PRINT_SHEET!B114="","",PRINT_SHEET!B114)</f>
        <v/>
      </c>
      <c r="C114" s="56">
        <f>IF(PRINT_SHEET!C114="","",PRINT_SHEET!C114)</f>
        <v/>
      </c>
      <c r="D114" s="56">
        <f>IF(PRINT_SHEET!D114="","",PRINT_SHEET!D114)</f>
        <v/>
      </c>
      <c r="E114" s="53">
        <f>IF(PRINT_SHEET!E114="","",PRINT_SHEET!E114)</f>
        <v/>
      </c>
      <c r="F114" s="52">
        <f>IF(PRINT_SHEET!F114="","",PRINT_SHEET!F114)</f>
        <v/>
      </c>
      <c r="G114" s="54">
        <f>IF(PRINT_SHEET!G114="","",PRINT_SHEET!G114)</f>
        <v/>
      </c>
      <c r="H114" s="54">
        <f>IF(PRINT_SHEET!H114="","",PRINT_SHEET!H114)</f>
        <v/>
      </c>
      <c r="I114" s="54">
        <f>IF(PRINT_SHEET!I114="","",PRINT_SHEET!I114)</f>
        <v/>
      </c>
      <c r="J114" s="53">
        <f>IFERROR(INDEX({"ادا شدہ","جزوی","بقایا"},MATCH(PRINT_SHEET!J114,{"PAID","PARTIAL","PENDING"},0)),PRINT_SHEET!J114)</f>
        <v/>
      </c>
      <c r="K114" s="55">
        <f>IF(PRINT_SHEET!K114="","",PRINT_SHEET!K114)</f>
        <v/>
      </c>
      <c r="L114" s="53">
        <f>IF(PRINT_SHEET!L114="","",PRINT_SHEET!L114)</f>
        <v/>
      </c>
    </row>
    <row r="115" ht="20" customHeight="1">
      <c r="A115" s="52">
        <f>IF(PRINT_SHEET!A115="","",PRINT_SHEET!A115)</f>
        <v/>
      </c>
      <c r="B115" s="53">
        <f>IF(PRINT_SHEET!B115="","",PRINT_SHEET!B115)</f>
        <v/>
      </c>
      <c r="C115" s="56">
        <f>IF(PRINT_SHEET!C115="","",PRINT_SHEET!C115)</f>
        <v/>
      </c>
      <c r="D115" s="56">
        <f>IF(PRINT_SHEET!D115="","",PRINT_SHEET!D115)</f>
        <v/>
      </c>
      <c r="E115" s="53">
        <f>IF(PRINT_SHEET!E115="","",PRINT_SHEET!E115)</f>
        <v/>
      </c>
      <c r="F115" s="52">
        <f>IF(PRINT_SHEET!F115="","",PRINT_SHEET!F115)</f>
        <v/>
      </c>
      <c r="G115" s="54">
        <f>IF(PRINT_SHEET!G115="","",PRINT_SHEET!G115)</f>
        <v/>
      </c>
      <c r="H115" s="54">
        <f>IF(PRINT_SHEET!H115="","",PRINT_SHEET!H115)</f>
        <v/>
      </c>
      <c r="I115" s="54">
        <f>IF(PRINT_SHEET!I115="","",PRINT_SHEET!I115)</f>
        <v/>
      </c>
      <c r="J115" s="53">
        <f>IFERROR(INDEX({"ادا شدہ","جزوی","بقایا"},MATCH(PRINT_SHEET!J115,{"PAID","PARTIAL","PENDING"},0)),PRINT_SHEET!J115)</f>
        <v/>
      </c>
      <c r="K115" s="55">
        <f>IF(PRINT_SHEET!K115="","",PRINT_SHEET!K115)</f>
        <v/>
      </c>
      <c r="L115" s="53">
        <f>IF(PRINT_SHEET!L115="","",PRINT_SHEET!L115)</f>
        <v/>
      </c>
    </row>
    <row r="116" ht="20" customHeight="1">
      <c r="A116" s="52">
        <f>IF(PRINT_SHEET!A116="","",PRINT_SHEET!A116)</f>
        <v/>
      </c>
      <c r="B116" s="53">
        <f>IF(PRINT_SHEET!B116="","",PRINT_SHEET!B116)</f>
        <v/>
      </c>
      <c r="C116" s="56">
        <f>IF(PRINT_SHEET!C116="","",PRINT_SHEET!C116)</f>
        <v/>
      </c>
      <c r="D116" s="56">
        <f>IF(PRINT_SHEET!D116="","",PRINT_SHEET!D116)</f>
        <v/>
      </c>
      <c r="E116" s="53">
        <f>IF(PRINT_SHEET!E116="","",PRINT_SHEET!E116)</f>
        <v/>
      </c>
      <c r="F116" s="52">
        <f>IF(PRINT_SHEET!F116="","",PRINT_SHEET!F116)</f>
        <v/>
      </c>
      <c r="G116" s="54">
        <f>IF(PRINT_SHEET!G116="","",PRINT_SHEET!G116)</f>
        <v/>
      </c>
      <c r="H116" s="54">
        <f>IF(PRINT_SHEET!H116="","",PRINT_SHEET!H116)</f>
        <v/>
      </c>
      <c r="I116" s="54">
        <f>IF(PRINT_SHEET!I116="","",PRINT_SHEET!I116)</f>
        <v/>
      </c>
      <c r="J116" s="53">
        <f>IFERROR(INDEX({"ادا شدہ","جزوی","بقایا"},MATCH(PRINT_SHEET!J116,{"PAID","PARTIAL","PENDING"},0)),PRINT_SHEET!J116)</f>
        <v/>
      </c>
      <c r="K116" s="55">
        <f>IF(PRINT_SHEET!K116="","",PRINT_SHEET!K116)</f>
        <v/>
      </c>
      <c r="L116" s="53">
        <f>IF(PRINT_SHEET!L116="","",PRINT_SHEET!L116)</f>
        <v/>
      </c>
    </row>
    <row r="117" ht="20" customHeight="1">
      <c r="A117" s="52">
        <f>IF(PRINT_SHEET!A117="","",PRINT_SHEET!A117)</f>
        <v/>
      </c>
      <c r="B117" s="53">
        <f>IF(PRINT_SHEET!B117="","",PRINT_SHEET!B117)</f>
        <v/>
      </c>
      <c r="C117" s="56">
        <f>IF(PRINT_SHEET!C117="","",PRINT_SHEET!C117)</f>
        <v/>
      </c>
      <c r="D117" s="56">
        <f>IF(PRINT_SHEET!D117="","",PRINT_SHEET!D117)</f>
        <v/>
      </c>
      <c r="E117" s="53">
        <f>IF(PRINT_SHEET!E117="","",PRINT_SHEET!E117)</f>
        <v/>
      </c>
      <c r="F117" s="52">
        <f>IF(PRINT_SHEET!F117="","",PRINT_SHEET!F117)</f>
        <v/>
      </c>
      <c r="G117" s="54">
        <f>IF(PRINT_SHEET!G117="","",PRINT_SHEET!G117)</f>
        <v/>
      </c>
      <c r="H117" s="54">
        <f>IF(PRINT_SHEET!H117="","",PRINT_SHEET!H117)</f>
        <v/>
      </c>
      <c r="I117" s="54">
        <f>IF(PRINT_SHEET!I117="","",PRINT_SHEET!I117)</f>
        <v/>
      </c>
      <c r="J117" s="53">
        <f>IFERROR(INDEX({"ادا شدہ","جزوی","بقایا"},MATCH(PRINT_SHEET!J117,{"PAID","PARTIAL","PENDING"},0)),PRINT_SHEET!J117)</f>
        <v/>
      </c>
      <c r="K117" s="55">
        <f>IF(PRINT_SHEET!K117="","",PRINT_SHEET!K117)</f>
        <v/>
      </c>
      <c r="L117" s="53">
        <f>IF(PRINT_SHEET!L117="","",PRINT_SHEET!L117)</f>
        <v/>
      </c>
    </row>
    <row r="118" ht="20" customHeight="1">
      <c r="A118" s="52">
        <f>IF(PRINT_SHEET!A118="","",PRINT_SHEET!A118)</f>
        <v/>
      </c>
      <c r="B118" s="53">
        <f>IF(PRINT_SHEET!B118="","",PRINT_SHEET!B118)</f>
        <v/>
      </c>
      <c r="C118" s="56">
        <f>IF(PRINT_SHEET!C118="","",PRINT_SHEET!C118)</f>
        <v/>
      </c>
      <c r="D118" s="56">
        <f>IF(PRINT_SHEET!D118="","",PRINT_SHEET!D118)</f>
        <v/>
      </c>
      <c r="E118" s="53">
        <f>IF(PRINT_SHEET!E118="","",PRINT_SHEET!E118)</f>
        <v/>
      </c>
      <c r="F118" s="52">
        <f>IF(PRINT_SHEET!F118="","",PRINT_SHEET!F118)</f>
        <v/>
      </c>
      <c r="G118" s="54">
        <f>IF(PRINT_SHEET!G118="","",PRINT_SHEET!G118)</f>
        <v/>
      </c>
      <c r="H118" s="54">
        <f>IF(PRINT_SHEET!H118="","",PRINT_SHEET!H118)</f>
        <v/>
      </c>
      <c r="I118" s="54">
        <f>IF(PRINT_SHEET!I118="","",PRINT_SHEET!I118)</f>
        <v/>
      </c>
      <c r="J118" s="53">
        <f>IFERROR(INDEX({"ادا شدہ","جزوی","بقایا"},MATCH(PRINT_SHEET!J118,{"PAID","PARTIAL","PENDING"},0)),PRINT_SHEET!J118)</f>
        <v/>
      </c>
      <c r="K118" s="55">
        <f>IF(PRINT_SHEET!K118="","",PRINT_SHEET!K118)</f>
        <v/>
      </c>
      <c r="L118" s="53">
        <f>IF(PRINT_SHEET!L118="","",PRINT_SHEET!L118)</f>
        <v/>
      </c>
    </row>
    <row r="119" ht="20" customHeight="1">
      <c r="A119" s="52">
        <f>IF(PRINT_SHEET!A119="","",PRINT_SHEET!A119)</f>
        <v/>
      </c>
      <c r="B119" s="53">
        <f>IF(PRINT_SHEET!B119="","",PRINT_SHEET!B119)</f>
        <v/>
      </c>
      <c r="C119" s="56">
        <f>IF(PRINT_SHEET!C119="","",PRINT_SHEET!C119)</f>
        <v/>
      </c>
      <c r="D119" s="56">
        <f>IF(PRINT_SHEET!D119="","",PRINT_SHEET!D119)</f>
        <v/>
      </c>
      <c r="E119" s="53">
        <f>IF(PRINT_SHEET!E119="","",PRINT_SHEET!E119)</f>
        <v/>
      </c>
      <c r="F119" s="52">
        <f>IF(PRINT_SHEET!F119="","",PRINT_SHEET!F119)</f>
        <v/>
      </c>
      <c r="G119" s="54">
        <f>IF(PRINT_SHEET!G119="","",PRINT_SHEET!G119)</f>
        <v/>
      </c>
      <c r="H119" s="54">
        <f>IF(PRINT_SHEET!H119="","",PRINT_SHEET!H119)</f>
        <v/>
      </c>
      <c r="I119" s="54">
        <f>IF(PRINT_SHEET!I119="","",PRINT_SHEET!I119)</f>
        <v/>
      </c>
      <c r="J119" s="53">
        <f>IFERROR(INDEX({"ادا شدہ","جزوی","بقایا"},MATCH(PRINT_SHEET!J119,{"PAID","PARTIAL","PENDING"},0)),PRINT_SHEET!J119)</f>
        <v/>
      </c>
      <c r="K119" s="55">
        <f>IF(PRINT_SHEET!K119="","",PRINT_SHEET!K119)</f>
        <v/>
      </c>
      <c r="L119" s="53">
        <f>IF(PRINT_SHEET!L119="","",PRINT_SHEET!L119)</f>
        <v/>
      </c>
    </row>
    <row r="120" ht="20" customHeight="1">
      <c r="A120" s="52">
        <f>IF(PRINT_SHEET!A120="","",PRINT_SHEET!A120)</f>
        <v/>
      </c>
      <c r="B120" s="53">
        <f>IF(PRINT_SHEET!B120="","",PRINT_SHEET!B120)</f>
        <v/>
      </c>
      <c r="C120" s="56">
        <f>IF(PRINT_SHEET!C120="","",PRINT_SHEET!C120)</f>
        <v/>
      </c>
      <c r="D120" s="56">
        <f>IF(PRINT_SHEET!D120="","",PRINT_SHEET!D120)</f>
        <v/>
      </c>
      <c r="E120" s="53">
        <f>IF(PRINT_SHEET!E120="","",PRINT_SHEET!E120)</f>
        <v/>
      </c>
      <c r="F120" s="52">
        <f>IF(PRINT_SHEET!F120="","",PRINT_SHEET!F120)</f>
        <v/>
      </c>
      <c r="G120" s="54">
        <f>IF(PRINT_SHEET!G120="","",PRINT_SHEET!G120)</f>
        <v/>
      </c>
      <c r="H120" s="54">
        <f>IF(PRINT_SHEET!H120="","",PRINT_SHEET!H120)</f>
        <v/>
      </c>
      <c r="I120" s="54">
        <f>IF(PRINT_SHEET!I120="","",PRINT_SHEET!I120)</f>
        <v/>
      </c>
      <c r="J120" s="53">
        <f>IFERROR(INDEX({"ادا شدہ","جزوی","بقایا"},MATCH(PRINT_SHEET!J120,{"PAID","PARTIAL","PENDING"},0)),PRINT_SHEET!J120)</f>
        <v/>
      </c>
      <c r="K120" s="55">
        <f>IF(PRINT_SHEET!K120="","",PRINT_SHEET!K120)</f>
        <v/>
      </c>
      <c r="L120" s="53">
        <f>IF(PRINT_SHEET!L120="","",PRINT_SHEET!L120)</f>
        <v/>
      </c>
    </row>
    <row r="121" ht="20" customHeight="1">
      <c r="A121" s="52">
        <f>IF(PRINT_SHEET!A121="","",PRINT_SHEET!A121)</f>
        <v/>
      </c>
      <c r="B121" s="53">
        <f>IF(PRINT_SHEET!B121="","",PRINT_SHEET!B121)</f>
        <v/>
      </c>
      <c r="C121" s="56">
        <f>IF(PRINT_SHEET!C121="","",PRINT_SHEET!C121)</f>
        <v/>
      </c>
      <c r="D121" s="56">
        <f>IF(PRINT_SHEET!D121="","",PRINT_SHEET!D121)</f>
        <v/>
      </c>
      <c r="E121" s="53">
        <f>IF(PRINT_SHEET!E121="","",PRINT_SHEET!E121)</f>
        <v/>
      </c>
      <c r="F121" s="52">
        <f>IF(PRINT_SHEET!F121="","",PRINT_SHEET!F121)</f>
        <v/>
      </c>
      <c r="G121" s="54">
        <f>IF(PRINT_SHEET!G121="","",PRINT_SHEET!G121)</f>
        <v/>
      </c>
      <c r="H121" s="54">
        <f>IF(PRINT_SHEET!H121="","",PRINT_SHEET!H121)</f>
        <v/>
      </c>
      <c r="I121" s="54">
        <f>IF(PRINT_SHEET!I121="","",PRINT_SHEET!I121)</f>
        <v/>
      </c>
      <c r="J121" s="53">
        <f>IFERROR(INDEX({"ادا شدہ","جزوی","بقایا"},MATCH(PRINT_SHEET!J121,{"PAID","PARTIAL","PENDING"},0)),PRINT_SHEET!J121)</f>
        <v/>
      </c>
      <c r="K121" s="55">
        <f>IF(PRINT_SHEET!K121="","",PRINT_SHEET!K121)</f>
        <v/>
      </c>
      <c r="L121" s="53">
        <f>IF(PRINT_SHEET!L121="","",PRINT_SHEET!L121)</f>
        <v/>
      </c>
    </row>
    <row r="122" ht="20" customHeight="1">
      <c r="A122" s="52">
        <f>IF(PRINT_SHEET!A122="","",PRINT_SHEET!A122)</f>
        <v/>
      </c>
      <c r="B122" s="53">
        <f>IF(PRINT_SHEET!B122="","",PRINT_SHEET!B122)</f>
        <v/>
      </c>
      <c r="C122" s="56">
        <f>IF(PRINT_SHEET!C122="","",PRINT_SHEET!C122)</f>
        <v/>
      </c>
      <c r="D122" s="56">
        <f>IF(PRINT_SHEET!D122="","",PRINT_SHEET!D122)</f>
        <v/>
      </c>
      <c r="E122" s="53">
        <f>IF(PRINT_SHEET!E122="","",PRINT_SHEET!E122)</f>
        <v/>
      </c>
      <c r="F122" s="52">
        <f>IF(PRINT_SHEET!F122="","",PRINT_SHEET!F122)</f>
        <v/>
      </c>
      <c r="G122" s="54">
        <f>IF(PRINT_SHEET!G122="","",PRINT_SHEET!G122)</f>
        <v/>
      </c>
      <c r="H122" s="54">
        <f>IF(PRINT_SHEET!H122="","",PRINT_SHEET!H122)</f>
        <v/>
      </c>
      <c r="I122" s="54">
        <f>IF(PRINT_SHEET!I122="","",PRINT_SHEET!I122)</f>
        <v/>
      </c>
      <c r="J122" s="53">
        <f>IFERROR(INDEX({"ادا شدہ","جزوی","بقایا"},MATCH(PRINT_SHEET!J122,{"PAID","PARTIAL","PENDING"},0)),PRINT_SHEET!J122)</f>
        <v/>
      </c>
      <c r="K122" s="55">
        <f>IF(PRINT_SHEET!K122="","",PRINT_SHEET!K122)</f>
        <v/>
      </c>
      <c r="L122" s="53">
        <f>IF(PRINT_SHEET!L122="","",PRINT_SHEET!L122)</f>
        <v/>
      </c>
    </row>
    <row r="123" ht="20" customHeight="1">
      <c r="A123" s="52">
        <f>IF(PRINT_SHEET!A123="","",PRINT_SHEET!A123)</f>
        <v/>
      </c>
      <c r="B123" s="53">
        <f>IF(PRINT_SHEET!B123="","",PRINT_SHEET!B123)</f>
        <v/>
      </c>
      <c r="C123" s="56">
        <f>IF(PRINT_SHEET!C123="","",PRINT_SHEET!C123)</f>
        <v/>
      </c>
      <c r="D123" s="56">
        <f>IF(PRINT_SHEET!D123="","",PRINT_SHEET!D123)</f>
        <v/>
      </c>
      <c r="E123" s="53">
        <f>IF(PRINT_SHEET!E123="","",PRINT_SHEET!E123)</f>
        <v/>
      </c>
      <c r="F123" s="52">
        <f>IF(PRINT_SHEET!F123="","",PRINT_SHEET!F123)</f>
        <v/>
      </c>
      <c r="G123" s="54">
        <f>IF(PRINT_SHEET!G123="","",PRINT_SHEET!G123)</f>
        <v/>
      </c>
      <c r="H123" s="54">
        <f>IF(PRINT_SHEET!H123="","",PRINT_SHEET!H123)</f>
        <v/>
      </c>
      <c r="I123" s="54">
        <f>IF(PRINT_SHEET!I123="","",PRINT_SHEET!I123)</f>
        <v/>
      </c>
      <c r="J123" s="53">
        <f>IFERROR(INDEX({"ادا شدہ","جزوی","بقایا"},MATCH(PRINT_SHEET!J123,{"PAID","PARTIAL","PENDING"},0)),PRINT_SHEET!J123)</f>
        <v/>
      </c>
      <c r="K123" s="55">
        <f>IF(PRINT_SHEET!K123="","",PRINT_SHEET!K123)</f>
        <v/>
      </c>
      <c r="L123" s="53">
        <f>IF(PRINT_SHEET!L123="","",PRINT_SHEET!L123)</f>
        <v/>
      </c>
    </row>
    <row r="124" ht="20" customHeight="1">
      <c r="A124" s="52">
        <f>IF(PRINT_SHEET!A124="","",PRINT_SHEET!A124)</f>
        <v/>
      </c>
      <c r="B124" s="53">
        <f>IF(PRINT_SHEET!B124="","",PRINT_SHEET!B124)</f>
        <v/>
      </c>
      <c r="C124" s="56">
        <f>IF(PRINT_SHEET!C124="","",PRINT_SHEET!C124)</f>
        <v/>
      </c>
      <c r="D124" s="56">
        <f>IF(PRINT_SHEET!D124="","",PRINT_SHEET!D124)</f>
        <v/>
      </c>
      <c r="E124" s="53">
        <f>IF(PRINT_SHEET!E124="","",PRINT_SHEET!E124)</f>
        <v/>
      </c>
      <c r="F124" s="52">
        <f>IF(PRINT_SHEET!F124="","",PRINT_SHEET!F124)</f>
        <v/>
      </c>
      <c r="G124" s="54">
        <f>IF(PRINT_SHEET!G124="","",PRINT_SHEET!G124)</f>
        <v/>
      </c>
      <c r="H124" s="54">
        <f>IF(PRINT_SHEET!H124="","",PRINT_SHEET!H124)</f>
        <v/>
      </c>
      <c r="I124" s="54">
        <f>IF(PRINT_SHEET!I124="","",PRINT_SHEET!I124)</f>
        <v/>
      </c>
      <c r="J124" s="53">
        <f>IFERROR(INDEX({"ادا شدہ","جزوی","بقایا"},MATCH(PRINT_SHEET!J124,{"PAID","PARTIAL","PENDING"},0)),PRINT_SHEET!J124)</f>
        <v/>
      </c>
      <c r="K124" s="55">
        <f>IF(PRINT_SHEET!K124="","",PRINT_SHEET!K124)</f>
        <v/>
      </c>
      <c r="L124" s="53">
        <f>IF(PRINT_SHEET!L124="","",PRINT_SHEET!L124)</f>
        <v/>
      </c>
    </row>
    <row r="125" ht="20" customHeight="1">
      <c r="A125" s="52">
        <f>IF(PRINT_SHEET!A125="","",PRINT_SHEET!A125)</f>
        <v/>
      </c>
      <c r="B125" s="53">
        <f>IF(PRINT_SHEET!B125="","",PRINT_SHEET!B125)</f>
        <v/>
      </c>
      <c r="C125" s="56">
        <f>IF(PRINT_SHEET!C125="","",PRINT_SHEET!C125)</f>
        <v/>
      </c>
      <c r="D125" s="56">
        <f>IF(PRINT_SHEET!D125="","",PRINT_SHEET!D125)</f>
        <v/>
      </c>
      <c r="E125" s="53">
        <f>IF(PRINT_SHEET!E125="","",PRINT_SHEET!E125)</f>
        <v/>
      </c>
      <c r="F125" s="52">
        <f>IF(PRINT_SHEET!F125="","",PRINT_SHEET!F125)</f>
        <v/>
      </c>
      <c r="G125" s="54">
        <f>IF(PRINT_SHEET!G125="","",PRINT_SHEET!G125)</f>
        <v/>
      </c>
      <c r="H125" s="54">
        <f>IF(PRINT_SHEET!H125="","",PRINT_SHEET!H125)</f>
        <v/>
      </c>
      <c r="I125" s="54">
        <f>IF(PRINT_SHEET!I125="","",PRINT_SHEET!I125)</f>
        <v/>
      </c>
      <c r="J125" s="53">
        <f>IFERROR(INDEX({"ادا شدہ","جزوی","بقایا"},MATCH(PRINT_SHEET!J125,{"PAID","PARTIAL","PENDING"},0)),PRINT_SHEET!J125)</f>
        <v/>
      </c>
      <c r="K125" s="55">
        <f>IF(PRINT_SHEET!K125="","",PRINT_SHEET!K125)</f>
        <v/>
      </c>
      <c r="L125" s="53">
        <f>IF(PRINT_SHEET!L125="","",PRINT_SHEET!L125)</f>
        <v/>
      </c>
    </row>
    <row r="126" ht="20" customHeight="1">
      <c r="A126" s="52">
        <f>IF(PRINT_SHEET!A126="","",PRINT_SHEET!A126)</f>
        <v/>
      </c>
      <c r="B126" s="53">
        <f>IF(PRINT_SHEET!B126="","",PRINT_SHEET!B126)</f>
        <v/>
      </c>
      <c r="C126" s="56">
        <f>IF(PRINT_SHEET!C126="","",PRINT_SHEET!C126)</f>
        <v/>
      </c>
      <c r="D126" s="56">
        <f>IF(PRINT_SHEET!D126="","",PRINT_SHEET!D126)</f>
        <v/>
      </c>
      <c r="E126" s="53">
        <f>IF(PRINT_SHEET!E126="","",PRINT_SHEET!E126)</f>
        <v/>
      </c>
      <c r="F126" s="52">
        <f>IF(PRINT_SHEET!F126="","",PRINT_SHEET!F126)</f>
        <v/>
      </c>
      <c r="G126" s="54">
        <f>IF(PRINT_SHEET!G126="","",PRINT_SHEET!G126)</f>
        <v/>
      </c>
      <c r="H126" s="54">
        <f>IF(PRINT_SHEET!H126="","",PRINT_SHEET!H126)</f>
        <v/>
      </c>
      <c r="I126" s="54">
        <f>IF(PRINT_SHEET!I126="","",PRINT_SHEET!I126)</f>
        <v/>
      </c>
      <c r="J126" s="53">
        <f>IFERROR(INDEX({"ادا شدہ","جزوی","بقایا"},MATCH(PRINT_SHEET!J126,{"PAID","PARTIAL","PENDING"},0)),PRINT_SHEET!J126)</f>
        <v/>
      </c>
      <c r="K126" s="55">
        <f>IF(PRINT_SHEET!K126="","",PRINT_SHEET!K126)</f>
        <v/>
      </c>
      <c r="L126" s="53">
        <f>IF(PRINT_SHEET!L126="","",PRINT_SHEET!L126)</f>
        <v/>
      </c>
    </row>
    <row r="127" ht="20" customHeight="1">
      <c r="A127" s="52">
        <f>IF(PRINT_SHEET!A127="","",PRINT_SHEET!A127)</f>
        <v/>
      </c>
      <c r="B127" s="53">
        <f>IF(PRINT_SHEET!B127="","",PRINT_SHEET!B127)</f>
        <v/>
      </c>
      <c r="C127" s="56">
        <f>IF(PRINT_SHEET!C127="","",PRINT_SHEET!C127)</f>
        <v/>
      </c>
      <c r="D127" s="56">
        <f>IF(PRINT_SHEET!D127="","",PRINT_SHEET!D127)</f>
        <v/>
      </c>
      <c r="E127" s="53">
        <f>IF(PRINT_SHEET!E127="","",PRINT_SHEET!E127)</f>
        <v/>
      </c>
      <c r="F127" s="52">
        <f>IF(PRINT_SHEET!F127="","",PRINT_SHEET!F127)</f>
        <v/>
      </c>
      <c r="G127" s="54">
        <f>IF(PRINT_SHEET!G127="","",PRINT_SHEET!G127)</f>
        <v/>
      </c>
      <c r="H127" s="54">
        <f>IF(PRINT_SHEET!H127="","",PRINT_SHEET!H127)</f>
        <v/>
      </c>
      <c r="I127" s="54">
        <f>IF(PRINT_SHEET!I127="","",PRINT_SHEET!I127)</f>
        <v/>
      </c>
      <c r="J127" s="53">
        <f>IFERROR(INDEX({"ادا شدہ","جزوی","بقایا"},MATCH(PRINT_SHEET!J127,{"PAID","PARTIAL","PENDING"},0)),PRINT_SHEET!J127)</f>
        <v/>
      </c>
      <c r="K127" s="55">
        <f>IF(PRINT_SHEET!K127="","",PRINT_SHEET!K127)</f>
        <v/>
      </c>
      <c r="L127" s="53">
        <f>IF(PRINT_SHEET!L127="","",PRINT_SHEET!L127)</f>
        <v/>
      </c>
    </row>
    <row r="128" ht="20" customHeight="1">
      <c r="A128" s="52">
        <f>IF(PRINT_SHEET!A128="","",PRINT_SHEET!A128)</f>
        <v/>
      </c>
      <c r="B128" s="53">
        <f>IF(PRINT_SHEET!B128="","",PRINT_SHEET!B128)</f>
        <v/>
      </c>
      <c r="C128" s="56">
        <f>IF(PRINT_SHEET!C128="","",PRINT_SHEET!C128)</f>
        <v/>
      </c>
      <c r="D128" s="56">
        <f>IF(PRINT_SHEET!D128="","",PRINT_SHEET!D128)</f>
        <v/>
      </c>
      <c r="E128" s="53">
        <f>IF(PRINT_SHEET!E128="","",PRINT_SHEET!E128)</f>
        <v/>
      </c>
      <c r="F128" s="52">
        <f>IF(PRINT_SHEET!F128="","",PRINT_SHEET!F128)</f>
        <v/>
      </c>
      <c r="G128" s="54">
        <f>IF(PRINT_SHEET!G128="","",PRINT_SHEET!G128)</f>
        <v/>
      </c>
      <c r="H128" s="54">
        <f>IF(PRINT_SHEET!H128="","",PRINT_SHEET!H128)</f>
        <v/>
      </c>
      <c r="I128" s="54">
        <f>IF(PRINT_SHEET!I128="","",PRINT_SHEET!I128)</f>
        <v/>
      </c>
      <c r="J128" s="53">
        <f>IFERROR(INDEX({"ادا شدہ","جزوی","بقایا"},MATCH(PRINT_SHEET!J128,{"PAID","PARTIAL","PENDING"},0)),PRINT_SHEET!J128)</f>
        <v/>
      </c>
      <c r="K128" s="55">
        <f>IF(PRINT_SHEET!K128="","",PRINT_SHEET!K128)</f>
        <v/>
      </c>
      <c r="L128" s="53">
        <f>IF(PRINT_SHEET!L128="","",PRINT_SHEET!L128)</f>
        <v/>
      </c>
    </row>
    <row r="129" ht="20" customHeight="1">
      <c r="A129" s="52">
        <f>IF(PRINT_SHEET!A129="","",PRINT_SHEET!A129)</f>
        <v/>
      </c>
      <c r="B129" s="53">
        <f>IF(PRINT_SHEET!B129="","",PRINT_SHEET!B129)</f>
        <v/>
      </c>
      <c r="C129" s="56">
        <f>IF(PRINT_SHEET!C129="","",PRINT_SHEET!C129)</f>
        <v/>
      </c>
      <c r="D129" s="56">
        <f>IF(PRINT_SHEET!D129="","",PRINT_SHEET!D129)</f>
        <v/>
      </c>
      <c r="E129" s="53">
        <f>IF(PRINT_SHEET!E129="","",PRINT_SHEET!E129)</f>
        <v/>
      </c>
      <c r="F129" s="52">
        <f>IF(PRINT_SHEET!F129="","",PRINT_SHEET!F129)</f>
        <v/>
      </c>
      <c r="G129" s="54">
        <f>IF(PRINT_SHEET!G129="","",PRINT_SHEET!G129)</f>
        <v/>
      </c>
      <c r="H129" s="54">
        <f>IF(PRINT_SHEET!H129="","",PRINT_SHEET!H129)</f>
        <v/>
      </c>
      <c r="I129" s="54">
        <f>IF(PRINT_SHEET!I129="","",PRINT_SHEET!I129)</f>
        <v/>
      </c>
      <c r="J129" s="53">
        <f>IFERROR(INDEX({"ادا شدہ","جزوی","بقایا"},MATCH(PRINT_SHEET!J129,{"PAID","PARTIAL","PENDING"},0)),PRINT_SHEET!J129)</f>
        <v/>
      </c>
      <c r="K129" s="55">
        <f>IF(PRINT_SHEET!K129="","",PRINT_SHEET!K129)</f>
        <v/>
      </c>
      <c r="L129" s="53">
        <f>IF(PRINT_SHEET!L129="","",PRINT_SHEET!L129)</f>
        <v/>
      </c>
    </row>
    <row r="130" ht="20" customHeight="1">
      <c r="A130" s="52">
        <f>IF(PRINT_SHEET!A130="","",PRINT_SHEET!A130)</f>
        <v/>
      </c>
      <c r="B130" s="53">
        <f>IF(PRINT_SHEET!B130="","",PRINT_SHEET!B130)</f>
        <v/>
      </c>
      <c r="C130" s="56">
        <f>IF(PRINT_SHEET!C130="","",PRINT_SHEET!C130)</f>
        <v/>
      </c>
      <c r="D130" s="56">
        <f>IF(PRINT_SHEET!D130="","",PRINT_SHEET!D130)</f>
        <v/>
      </c>
      <c r="E130" s="53">
        <f>IF(PRINT_SHEET!E130="","",PRINT_SHEET!E130)</f>
        <v/>
      </c>
      <c r="F130" s="52">
        <f>IF(PRINT_SHEET!F130="","",PRINT_SHEET!F130)</f>
        <v/>
      </c>
      <c r="G130" s="54">
        <f>IF(PRINT_SHEET!G130="","",PRINT_SHEET!G130)</f>
        <v/>
      </c>
      <c r="H130" s="54">
        <f>IF(PRINT_SHEET!H130="","",PRINT_SHEET!H130)</f>
        <v/>
      </c>
      <c r="I130" s="54">
        <f>IF(PRINT_SHEET!I130="","",PRINT_SHEET!I130)</f>
        <v/>
      </c>
      <c r="J130" s="53">
        <f>IFERROR(INDEX({"ادا شدہ","جزوی","بقایا"},MATCH(PRINT_SHEET!J130,{"PAID","PARTIAL","PENDING"},0)),PRINT_SHEET!J130)</f>
        <v/>
      </c>
      <c r="K130" s="55">
        <f>IF(PRINT_SHEET!K130="","",PRINT_SHEET!K130)</f>
        <v/>
      </c>
      <c r="L130" s="53">
        <f>IF(PRINT_SHEET!L130="","",PRINT_SHEET!L130)</f>
        <v/>
      </c>
    </row>
    <row r="131" ht="20" customHeight="1">
      <c r="A131" s="52">
        <f>IF(PRINT_SHEET!A131="","",PRINT_SHEET!A131)</f>
        <v/>
      </c>
      <c r="B131" s="53">
        <f>IF(PRINT_SHEET!B131="","",PRINT_SHEET!B131)</f>
        <v/>
      </c>
      <c r="C131" s="56">
        <f>IF(PRINT_SHEET!C131="","",PRINT_SHEET!C131)</f>
        <v/>
      </c>
      <c r="D131" s="56">
        <f>IF(PRINT_SHEET!D131="","",PRINT_SHEET!D131)</f>
        <v/>
      </c>
      <c r="E131" s="53">
        <f>IF(PRINT_SHEET!E131="","",PRINT_SHEET!E131)</f>
        <v/>
      </c>
      <c r="F131" s="52">
        <f>IF(PRINT_SHEET!F131="","",PRINT_SHEET!F131)</f>
        <v/>
      </c>
      <c r="G131" s="54">
        <f>IF(PRINT_SHEET!G131="","",PRINT_SHEET!G131)</f>
        <v/>
      </c>
      <c r="H131" s="54">
        <f>IF(PRINT_SHEET!H131="","",PRINT_SHEET!H131)</f>
        <v/>
      </c>
      <c r="I131" s="54">
        <f>IF(PRINT_SHEET!I131="","",PRINT_SHEET!I131)</f>
        <v/>
      </c>
      <c r="J131" s="53">
        <f>IFERROR(INDEX({"ادا شدہ","جزوی","بقایا"},MATCH(PRINT_SHEET!J131,{"PAID","PARTIAL","PENDING"},0)),PRINT_SHEET!J131)</f>
        <v/>
      </c>
      <c r="K131" s="55">
        <f>IF(PRINT_SHEET!K131="","",PRINT_SHEET!K131)</f>
        <v/>
      </c>
      <c r="L131" s="53">
        <f>IF(PRINT_SHEET!L131="","",PRINT_SHEET!L131)</f>
        <v/>
      </c>
    </row>
    <row r="132" ht="20" customHeight="1">
      <c r="A132" s="52">
        <f>IF(PRINT_SHEET!A132="","",PRINT_SHEET!A132)</f>
        <v/>
      </c>
      <c r="B132" s="53">
        <f>IF(PRINT_SHEET!B132="","",PRINT_SHEET!B132)</f>
        <v/>
      </c>
      <c r="C132" s="56">
        <f>IF(PRINT_SHEET!C132="","",PRINT_SHEET!C132)</f>
        <v/>
      </c>
      <c r="D132" s="56">
        <f>IF(PRINT_SHEET!D132="","",PRINT_SHEET!D132)</f>
        <v/>
      </c>
      <c r="E132" s="53">
        <f>IF(PRINT_SHEET!E132="","",PRINT_SHEET!E132)</f>
        <v/>
      </c>
      <c r="F132" s="52">
        <f>IF(PRINT_SHEET!F132="","",PRINT_SHEET!F132)</f>
        <v/>
      </c>
      <c r="G132" s="54">
        <f>IF(PRINT_SHEET!G132="","",PRINT_SHEET!G132)</f>
        <v/>
      </c>
      <c r="H132" s="54">
        <f>IF(PRINT_SHEET!H132="","",PRINT_SHEET!H132)</f>
        <v/>
      </c>
      <c r="I132" s="54">
        <f>IF(PRINT_SHEET!I132="","",PRINT_SHEET!I132)</f>
        <v/>
      </c>
      <c r="J132" s="53">
        <f>IFERROR(INDEX({"ادا شدہ","جزوی","بقایا"},MATCH(PRINT_SHEET!J132,{"PAID","PARTIAL","PENDING"},0)),PRINT_SHEET!J132)</f>
        <v/>
      </c>
      <c r="K132" s="55">
        <f>IF(PRINT_SHEET!K132="","",PRINT_SHEET!K132)</f>
        <v/>
      </c>
      <c r="L132" s="53">
        <f>IF(PRINT_SHEET!L132="","",PRINT_SHEET!L132)</f>
        <v/>
      </c>
    </row>
    <row r="133" ht="20" customHeight="1">
      <c r="A133" s="52">
        <f>IF(PRINT_SHEET!A133="","",PRINT_SHEET!A133)</f>
        <v/>
      </c>
      <c r="B133" s="53">
        <f>IF(PRINT_SHEET!B133="","",PRINT_SHEET!B133)</f>
        <v/>
      </c>
      <c r="C133" s="56">
        <f>IF(PRINT_SHEET!C133="","",PRINT_SHEET!C133)</f>
        <v/>
      </c>
      <c r="D133" s="56">
        <f>IF(PRINT_SHEET!D133="","",PRINT_SHEET!D133)</f>
        <v/>
      </c>
      <c r="E133" s="53">
        <f>IF(PRINT_SHEET!E133="","",PRINT_SHEET!E133)</f>
        <v/>
      </c>
      <c r="F133" s="52">
        <f>IF(PRINT_SHEET!F133="","",PRINT_SHEET!F133)</f>
        <v/>
      </c>
      <c r="G133" s="54">
        <f>IF(PRINT_SHEET!G133="","",PRINT_SHEET!G133)</f>
        <v/>
      </c>
      <c r="H133" s="54">
        <f>IF(PRINT_SHEET!H133="","",PRINT_SHEET!H133)</f>
        <v/>
      </c>
      <c r="I133" s="54">
        <f>IF(PRINT_SHEET!I133="","",PRINT_SHEET!I133)</f>
        <v/>
      </c>
      <c r="J133" s="53">
        <f>IFERROR(INDEX({"ادا شدہ","جزوی","بقایا"},MATCH(PRINT_SHEET!J133,{"PAID","PARTIAL","PENDING"},0)),PRINT_SHEET!J133)</f>
        <v/>
      </c>
      <c r="K133" s="55">
        <f>IF(PRINT_SHEET!K133="","",PRINT_SHEET!K133)</f>
        <v/>
      </c>
      <c r="L133" s="53">
        <f>IF(PRINT_SHEET!L133="","",PRINT_SHEET!L133)</f>
        <v/>
      </c>
    </row>
    <row r="134" ht="20" customHeight="1">
      <c r="A134" s="52">
        <f>IF(PRINT_SHEET!A134="","",PRINT_SHEET!A134)</f>
        <v/>
      </c>
      <c r="B134" s="53">
        <f>IF(PRINT_SHEET!B134="","",PRINT_SHEET!B134)</f>
        <v/>
      </c>
      <c r="C134" s="56">
        <f>IF(PRINT_SHEET!C134="","",PRINT_SHEET!C134)</f>
        <v/>
      </c>
      <c r="D134" s="56">
        <f>IF(PRINT_SHEET!D134="","",PRINT_SHEET!D134)</f>
        <v/>
      </c>
      <c r="E134" s="53">
        <f>IF(PRINT_SHEET!E134="","",PRINT_SHEET!E134)</f>
        <v/>
      </c>
      <c r="F134" s="52">
        <f>IF(PRINT_SHEET!F134="","",PRINT_SHEET!F134)</f>
        <v/>
      </c>
      <c r="G134" s="54">
        <f>IF(PRINT_SHEET!G134="","",PRINT_SHEET!G134)</f>
        <v/>
      </c>
      <c r="H134" s="54">
        <f>IF(PRINT_SHEET!H134="","",PRINT_SHEET!H134)</f>
        <v/>
      </c>
      <c r="I134" s="54">
        <f>IF(PRINT_SHEET!I134="","",PRINT_SHEET!I134)</f>
        <v/>
      </c>
      <c r="J134" s="53">
        <f>IFERROR(INDEX({"ادا شدہ","جزوی","بقایا"},MATCH(PRINT_SHEET!J134,{"PAID","PARTIAL","PENDING"},0)),PRINT_SHEET!J134)</f>
        <v/>
      </c>
      <c r="K134" s="55">
        <f>IF(PRINT_SHEET!K134="","",PRINT_SHEET!K134)</f>
        <v/>
      </c>
      <c r="L134" s="53">
        <f>IF(PRINT_SHEET!L134="","",PRINT_SHEET!L134)</f>
        <v/>
      </c>
    </row>
    <row r="135" ht="20" customHeight="1">
      <c r="A135" s="52">
        <f>IF(PRINT_SHEET!A135="","",PRINT_SHEET!A135)</f>
        <v/>
      </c>
      <c r="B135" s="53">
        <f>IF(PRINT_SHEET!B135="","",PRINT_SHEET!B135)</f>
        <v/>
      </c>
      <c r="C135" s="56">
        <f>IF(PRINT_SHEET!C135="","",PRINT_SHEET!C135)</f>
        <v/>
      </c>
      <c r="D135" s="56">
        <f>IF(PRINT_SHEET!D135="","",PRINT_SHEET!D135)</f>
        <v/>
      </c>
      <c r="E135" s="53">
        <f>IF(PRINT_SHEET!E135="","",PRINT_SHEET!E135)</f>
        <v/>
      </c>
      <c r="F135" s="52">
        <f>IF(PRINT_SHEET!F135="","",PRINT_SHEET!F135)</f>
        <v/>
      </c>
      <c r="G135" s="54">
        <f>IF(PRINT_SHEET!G135="","",PRINT_SHEET!G135)</f>
        <v/>
      </c>
      <c r="H135" s="54">
        <f>IF(PRINT_SHEET!H135="","",PRINT_SHEET!H135)</f>
        <v/>
      </c>
      <c r="I135" s="54">
        <f>IF(PRINT_SHEET!I135="","",PRINT_SHEET!I135)</f>
        <v/>
      </c>
      <c r="J135" s="53">
        <f>IFERROR(INDEX({"ادا شدہ","جزوی","بقایا"},MATCH(PRINT_SHEET!J135,{"PAID","PARTIAL","PENDING"},0)),PRINT_SHEET!J135)</f>
        <v/>
      </c>
      <c r="K135" s="55">
        <f>IF(PRINT_SHEET!K135="","",PRINT_SHEET!K135)</f>
        <v/>
      </c>
      <c r="L135" s="53">
        <f>IF(PRINT_SHEET!L135="","",PRINT_SHEET!L135)</f>
        <v/>
      </c>
    </row>
    <row r="136" ht="20" customHeight="1">
      <c r="A136" s="52">
        <f>IF(PRINT_SHEET!A136="","",PRINT_SHEET!A136)</f>
        <v/>
      </c>
      <c r="B136" s="53">
        <f>IF(PRINT_SHEET!B136="","",PRINT_SHEET!B136)</f>
        <v/>
      </c>
      <c r="C136" s="56">
        <f>IF(PRINT_SHEET!C136="","",PRINT_SHEET!C136)</f>
        <v/>
      </c>
      <c r="D136" s="56">
        <f>IF(PRINT_SHEET!D136="","",PRINT_SHEET!D136)</f>
        <v/>
      </c>
      <c r="E136" s="53">
        <f>IF(PRINT_SHEET!E136="","",PRINT_SHEET!E136)</f>
        <v/>
      </c>
      <c r="F136" s="52">
        <f>IF(PRINT_SHEET!F136="","",PRINT_SHEET!F136)</f>
        <v/>
      </c>
      <c r="G136" s="54">
        <f>IF(PRINT_SHEET!G136="","",PRINT_SHEET!G136)</f>
        <v/>
      </c>
      <c r="H136" s="54">
        <f>IF(PRINT_SHEET!H136="","",PRINT_SHEET!H136)</f>
        <v/>
      </c>
      <c r="I136" s="54">
        <f>IF(PRINT_SHEET!I136="","",PRINT_SHEET!I136)</f>
        <v/>
      </c>
      <c r="J136" s="53">
        <f>IFERROR(INDEX({"ادا شدہ","جزوی","بقایا"},MATCH(PRINT_SHEET!J136,{"PAID","PARTIAL","PENDING"},0)),PRINT_SHEET!J136)</f>
        <v/>
      </c>
      <c r="K136" s="55">
        <f>IF(PRINT_SHEET!K136="","",PRINT_SHEET!K136)</f>
        <v/>
      </c>
      <c r="L136" s="53">
        <f>IF(PRINT_SHEET!L136="","",PRINT_SHEET!L136)</f>
        <v/>
      </c>
    </row>
    <row r="137" ht="20" customHeight="1">
      <c r="A137" s="52">
        <f>IF(PRINT_SHEET!A137="","",PRINT_SHEET!A137)</f>
        <v/>
      </c>
      <c r="B137" s="53">
        <f>IF(PRINT_SHEET!B137="","",PRINT_SHEET!B137)</f>
        <v/>
      </c>
      <c r="C137" s="56">
        <f>IF(PRINT_SHEET!C137="","",PRINT_SHEET!C137)</f>
        <v/>
      </c>
      <c r="D137" s="56">
        <f>IF(PRINT_SHEET!D137="","",PRINT_SHEET!D137)</f>
        <v/>
      </c>
      <c r="E137" s="53">
        <f>IF(PRINT_SHEET!E137="","",PRINT_SHEET!E137)</f>
        <v/>
      </c>
      <c r="F137" s="52">
        <f>IF(PRINT_SHEET!F137="","",PRINT_SHEET!F137)</f>
        <v/>
      </c>
      <c r="G137" s="54">
        <f>IF(PRINT_SHEET!G137="","",PRINT_SHEET!G137)</f>
        <v/>
      </c>
      <c r="H137" s="54">
        <f>IF(PRINT_SHEET!H137="","",PRINT_SHEET!H137)</f>
        <v/>
      </c>
      <c r="I137" s="54">
        <f>IF(PRINT_SHEET!I137="","",PRINT_SHEET!I137)</f>
        <v/>
      </c>
      <c r="J137" s="53">
        <f>IFERROR(INDEX({"ادا شدہ","جزوی","بقایا"},MATCH(PRINT_SHEET!J137,{"PAID","PARTIAL","PENDING"},0)),PRINT_SHEET!J137)</f>
        <v/>
      </c>
      <c r="K137" s="55">
        <f>IF(PRINT_SHEET!K137="","",PRINT_SHEET!K137)</f>
        <v/>
      </c>
      <c r="L137" s="53">
        <f>IF(PRINT_SHEET!L137="","",PRINT_SHEET!L137)</f>
        <v/>
      </c>
    </row>
    <row r="138" ht="20" customHeight="1">
      <c r="A138" s="52">
        <f>IF(PRINT_SHEET!A138="","",PRINT_SHEET!A138)</f>
        <v/>
      </c>
      <c r="B138" s="53">
        <f>IF(PRINT_SHEET!B138="","",PRINT_SHEET!B138)</f>
        <v/>
      </c>
      <c r="C138" s="56">
        <f>IF(PRINT_SHEET!C138="","",PRINT_SHEET!C138)</f>
        <v/>
      </c>
      <c r="D138" s="56">
        <f>IF(PRINT_SHEET!D138="","",PRINT_SHEET!D138)</f>
        <v/>
      </c>
      <c r="E138" s="53">
        <f>IF(PRINT_SHEET!E138="","",PRINT_SHEET!E138)</f>
        <v/>
      </c>
      <c r="F138" s="52">
        <f>IF(PRINT_SHEET!F138="","",PRINT_SHEET!F138)</f>
        <v/>
      </c>
      <c r="G138" s="54">
        <f>IF(PRINT_SHEET!G138="","",PRINT_SHEET!G138)</f>
        <v/>
      </c>
      <c r="H138" s="54">
        <f>IF(PRINT_SHEET!H138="","",PRINT_SHEET!H138)</f>
        <v/>
      </c>
      <c r="I138" s="54">
        <f>IF(PRINT_SHEET!I138="","",PRINT_SHEET!I138)</f>
        <v/>
      </c>
      <c r="J138" s="53">
        <f>IFERROR(INDEX({"ادا شدہ","جزوی","بقایا"},MATCH(PRINT_SHEET!J138,{"PAID","PARTIAL","PENDING"},0)),PRINT_SHEET!J138)</f>
        <v/>
      </c>
      <c r="K138" s="55">
        <f>IF(PRINT_SHEET!K138="","",PRINT_SHEET!K138)</f>
        <v/>
      </c>
      <c r="L138" s="53">
        <f>IF(PRINT_SHEET!L138="","",PRINT_SHEET!L138)</f>
        <v/>
      </c>
    </row>
    <row r="139" ht="20" customHeight="1">
      <c r="A139" s="52">
        <f>IF(PRINT_SHEET!A139="","",PRINT_SHEET!A139)</f>
        <v/>
      </c>
      <c r="B139" s="53">
        <f>IF(PRINT_SHEET!B139="","",PRINT_SHEET!B139)</f>
        <v/>
      </c>
      <c r="C139" s="56">
        <f>IF(PRINT_SHEET!C139="","",PRINT_SHEET!C139)</f>
        <v/>
      </c>
      <c r="D139" s="56">
        <f>IF(PRINT_SHEET!D139="","",PRINT_SHEET!D139)</f>
        <v/>
      </c>
      <c r="E139" s="53">
        <f>IF(PRINT_SHEET!E139="","",PRINT_SHEET!E139)</f>
        <v/>
      </c>
      <c r="F139" s="52">
        <f>IF(PRINT_SHEET!F139="","",PRINT_SHEET!F139)</f>
        <v/>
      </c>
      <c r="G139" s="54">
        <f>IF(PRINT_SHEET!G139="","",PRINT_SHEET!G139)</f>
        <v/>
      </c>
      <c r="H139" s="54">
        <f>IF(PRINT_SHEET!H139="","",PRINT_SHEET!H139)</f>
        <v/>
      </c>
      <c r="I139" s="54">
        <f>IF(PRINT_SHEET!I139="","",PRINT_SHEET!I139)</f>
        <v/>
      </c>
      <c r="J139" s="53">
        <f>IFERROR(INDEX({"ادا شدہ","جزوی","بقایا"},MATCH(PRINT_SHEET!J139,{"PAID","PARTIAL","PENDING"},0)),PRINT_SHEET!J139)</f>
        <v/>
      </c>
      <c r="K139" s="55">
        <f>IF(PRINT_SHEET!K139="","",PRINT_SHEET!K139)</f>
        <v/>
      </c>
      <c r="L139" s="53">
        <f>IF(PRINT_SHEET!L139="","",PRINT_SHEET!L139)</f>
        <v/>
      </c>
    </row>
    <row r="140" ht="20" customHeight="1">
      <c r="A140" s="52">
        <f>IF(PRINT_SHEET!A140="","",PRINT_SHEET!A140)</f>
        <v/>
      </c>
      <c r="B140" s="53">
        <f>IF(PRINT_SHEET!B140="","",PRINT_SHEET!B140)</f>
        <v/>
      </c>
      <c r="C140" s="56">
        <f>IF(PRINT_SHEET!C140="","",PRINT_SHEET!C140)</f>
        <v/>
      </c>
      <c r="D140" s="56">
        <f>IF(PRINT_SHEET!D140="","",PRINT_SHEET!D140)</f>
        <v/>
      </c>
      <c r="E140" s="53">
        <f>IF(PRINT_SHEET!E140="","",PRINT_SHEET!E140)</f>
        <v/>
      </c>
      <c r="F140" s="52">
        <f>IF(PRINT_SHEET!F140="","",PRINT_SHEET!F140)</f>
        <v/>
      </c>
      <c r="G140" s="54">
        <f>IF(PRINT_SHEET!G140="","",PRINT_SHEET!G140)</f>
        <v/>
      </c>
      <c r="H140" s="54">
        <f>IF(PRINT_SHEET!H140="","",PRINT_SHEET!H140)</f>
        <v/>
      </c>
      <c r="I140" s="54">
        <f>IF(PRINT_SHEET!I140="","",PRINT_SHEET!I140)</f>
        <v/>
      </c>
      <c r="J140" s="53">
        <f>IFERROR(INDEX({"ادا شدہ","جزوی","بقایا"},MATCH(PRINT_SHEET!J140,{"PAID","PARTIAL","PENDING"},0)),PRINT_SHEET!J140)</f>
        <v/>
      </c>
      <c r="K140" s="55">
        <f>IF(PRINT_SHEET!K140="","",PRINT_SHEET!K140)</f>
        <v/>
      </c>
      <c r="L140" s="53">
        <f>IF(PRINT_SHEET!L140="","",PRINT_SHEET!L140)</f>
        <v/>
      </c>
    </row>
    <row r="141" ht="20" customHeight="1">
      <c r="A141" s="52">
        <f>IF(PRINT_SHEET!A141="","",PRINT_SHEET!A141)</f>
        <v/>
      </c>
      <c r="B141" s="53">
        <f>IF(PRINT_SHEET!B141="","",PRINT_SHEET!B141)</f>
        <v/>
      </c>
      <c r="C141" s="56">
        <f>IF(PRINT_SHEET!C141="","",PRINT_SHEET!C141)</f>
        <v/>
      </c>
      <c r="D141" s="56">
        <f>IF(PRINT_SHEET!D141="","",PRINT_SHEET!D141)</f>
        <v/>
      </c>
      <c r="E141" s="53">
        <f>IF(PRINT_SHEET!E141="","",PRINT_SHEET!E141)</f>
        <v/>
      </c>
      <c r="F141" s="52">
        <f>IF(PRINT_SHEET!F141="","",PRINT_SHEET!F141)</f>
        <v/>
      </c>
      <c r="G141" s="54">
        <f>IF(PRINT_SHEET!G141="","",PRINT_SHEET!G141)</f>
        <v/>
      </c>
      <c r="H141" s="54">
        <f>IF(PRINT_SHEET!H141="","",PRINT_SHEET!H141)</f>
        <v/>
      </c>
      <c r="I141" s="54">
        <f>IF(PRINT_SHEET!I141="","",PRINT_SHEET!I141)</f>
        <v/>
      </c>
      <c r="J141" s="53">
        <f>IFERROR(INDEX({"ادا شدہ","جزوی","بقایا"},MATCH(PRINT_SHEET!J141,{"PAID","PARTIAL","PENDING"},0)),PRINT_SHEET!J141)</f>
        <v/>
      </c>
      <c r="K141" s="55">
        <f>IF(PRINT_SHEET!K141="","",PRINT_SHEET!K141)</f>
        <v/>
      </c>
      <c r="L141" s="53">
        <f>IF(PRINT_SHEET!L141="","",PRINT_SHEET!L141)</f>
        <v/>
      </c>
    </row>
    <row r="142" ht="20" customHeight="1">
      <c r="A142" s="52">
        <f>IF(PRINT_SHEET!A142="","",PRINT_SHEET!A142)</f>
        <v/>
      </c>
      <c r="B142" s="53">
        <f>IF(PRINT_SHEET!B142="","",PRINT_SHEET!B142)</f>
        <v/>
      </c>
      <c r="C142" s="56">
        <f>IF(PRINT_SHEET!C142="","",PRINT_SHEET!C142)</f>
        <v/>
      </c>
      <c r="D142" s="56">
        <f>IF(PRINT_SHEET!D142="","",PRINT_SHEET!D142)</f>
        <v/>
      </c>
      <c r="E142" s="53">
        <f>IF(PRINT_SHEET!E142="","",PRINT_SHEET!E142)</f>
        <v/>
      </c>
      <c r="F142" s="52">
        <f>IF(PRINT_SHEET!F142="","",PRINT_SHEET!F142)</f>
        <v/>
      </c>
      <c r="G142" s="54">
        <f>IF(PRINT_SHEET!G142="","",PRINT_SHEET!G142)</f>
        <v/>
      </c>
      <c r="H142" s="54">
        <f>IF(PRINT_SHEET!H142="","",PRINT_SHEET!H142)</f>
        <v/>
      </c>
      <c r="I142" s="54">
        <f>IF(PRINT_SHEET!I142="","",PRINT_SHEET!I142)</f>
        <v/>
      </c>
      <c r="J142" s="53">
        <f>IFERROR(INDEX({"ادا شدہ","جزوی","بقایا"},MATCH(PRINT_SHEET!J142,{"PAID","PARTIAL","PENDING"},0)),PRINT_SHEET!J142)</f>
        <v/>
      </c>
      <c r="K142" s="55">
        <f>IF(PRINT_SHEET!K142="","",PRINT_SHEET!K142)</f>
        <v/>
      </c>
      <c r="L142" s="53">
        <f>IF(PRINT_SHEET!L142="","",PRINT_SHEET!L142)</f>
        <v/>
      </c>
    </row>
    <row r="143" ht="20" customHeight="1">
      <c r="A143" s="52">
        <f>IF(PRINT_SHEET!A143="","",PRINT_SHEET!A143)</f>
        <v/>
      </c>
      <c r="B143" s="53">
        <f>IF(PRINT_SHEET!B143="","",PRINT_SHEET!B143)</f>
        <v/>
      </c>
      <c r="C143" s="56">
        <f>IF(PRINT_SHEET!C143="","",PRINT_SHEET!C143)</f>
        <v/>
      </c>
      <c r="D143" s="56">
        <f>IF(PRINT_SHEET!D143="","",PRINT_SHEET!D143)</f>
        <v/>
      </c>
      <c r="E143" s="53">
        <f>IF(PRINT_SHEET!E143="","",PRINT_SHEET!E143)</f>
        <v/>
      </c>
      <c r="F143" s="52">
        <f>IF(PRINT_SHEET!F143="","",PRINT_SHEET!F143)</f>
        <v/>
      </c>
      <c r="G143" s="54">
        <f>IF(PRINT_SHEET!G143="","",PRINT_SHEET!G143)</f>
        <v/>
      </c>
      <c r="H143" s="54">
        <f>IF(PRINT_SHEET!H143="","",PRINT_SHEET!H143)</f>
        <v/>
      </c>
      <c r="I143" s="54">
        <f>IF(PRINT_SHEET!I143="","",PRINT_SHEET!I143)</f>
        <v/>
      </c>
      <c r="J143" s="53">
        <f>IFERROR(INDEX({"ادا شدہ","جزوی","بقایا"},MATCH(PRINT_SHEET!J143,{"PAID","PARTIAL","PENDING"},0)),PRINT_SHEET!J143)</f>
        <v/>
      </c>
      <c r="K143" s="55">
        <f>IF(PRINT_SHEET!K143="","",PRINT_SHEET!K143)</f>
        <v/>
      </c>
      <c r="L143" s="53">
        <f>IF(PRINT_SHEET!L143="","",PRINT_SHEET!L143)</f>
        <v/>
      </c>
    </row>
    <row r="144" ht="20" customHeight="1">
      <c r="A144" s="52">
        <f>IF(PRINT_SHEET!A144="","",PRINT_SHEET!A144)</f>
        <v/>
      </c>
      <c r="B144" s="53">
        <f>IF(PRINT_SHEET!B144="","",PRINT_SHEET!B144)</f>
        <v/>
      </c>
      <c r="C144" s="56">
        <f>IF(PRINT_SHEET!C144="","",PRINT_SHEET!C144)</f>
        <v/>
      </c>
      <c r="D144" s="56">
        <f>IF(PRINT_SHEET!D144="","",PRINT_SHEET!D144)</f>
        <v/>
      </c>
      <c r="E144" s="53">
        <f>IF(PRINT_SHEET!E144="","",PRINT_SHEET!E144)</f>
        <v/>
      </c>
      <c r="F144" s="52">
        <f>IF(PRINT_SHEET!F144="","",PRINT_SHEET!F144)</f>
        <v/>
      </c>
      <c r="G144" s="54">
        <f>IF(PRINT_SHEET!G144="","",PRINT_SHEET!G144)</f>
        <v/>
      </c>
      <c r="H144" s="54">
        <f>IF(PRINT_SHEET!H144="","",PRINT_SHEET!H144)</f>
        <v/>
      </c>
      <c r="I144" s="54">
        <f>IF(PRINT_SHEET!I144="","",PRINT_SHEET!I144)</f>
        <v/>
      </c>
      <c r="J144" s="53">
        <f>IFERROR(INDEX({"ادا شدہ","جزوی","بقایا"},MATCH(PRINT_SHEET!J144,{"PAID","PARTIAL","PENDING"},0)),PRINT_SHEET!J144)</f>
        <v/>
      </c>
      <c r="K144" s="55">
        <f>IF(PRINT_SHEET!K144="","",PRINT_SHEET!K144)</f>
        <v/>
      </c>
      <c r="L144" s="53">
        <f>IF(PRINT_SHEET!L144="","",PRINT_SHEET!L144)</f>
        <v/>
      </c>
    </row>
    <row r="145" ht="20" customHeight="1">
      <c r="A145" s="52">
        <f>IF(PRINT_SHEET!A145="","",PRINT_SHEET!A145)</f>
        <v/>
      </c>
      <c r="B145" s="53">
        <f>IF(PRINT_SHEET!B145="","",PRINT_SHEET!B145)</f>
        <v/>
      </c>
      <c r="C145" s="56">
        <f>IF(PRINT_SHEET!C145="","",PRINT_SHEET!C145)</f>
        <v/>
      </c>
      <c r="D145" s="56">
        <f>IF(PRINT_SHEET!D145="","",PRINT_SHEET!D145)</f>
        <v/>
      </c>
      <c r="E145" s="53">
        <f>IF(PRINT_SHEET!E145="","",PRINT_SHEET!E145)</f>
        <v/>
      </c>
      <c r="F145" s="52">
        <f>IF(PRINT_SHEET!F145="","",PRINT_SHEET!F145)</f>
        <v/>
      </c>
      <c r="G145" s="54">
        <f>IF(PRINT_SHEET!G145="","",PRINT_SHEET!G145)</f>
        <v/>
      </c>
      <c r="H145" s="54">
        <f>IF(PRINT_SHEET!H145="","",PRINT_SHEET!H145)</f>
        <v/>
      </c>
      <c r="I145" s="54">
        <f>IF(PRINT_SHEET!I145="","",PRINT_SHEET!I145)</f>
        <v/>
      </c>
      <c r="J145" s="53">
        <f>IFERROR(INDEX({"ادا شدہ","جزوی","بقایا"},MATCH(PRINT_SHEET!J145,{"PAID","PARTIAL","PENDING"},0)),PRINT_SHEET!J145)</f>
        <v/>
      </c>
      <c r="K145" s="55">
        <f>IF(PRINT_SHEET!K145="","",PRINT_SHEET!K145)</f>
        <v/>
      </c>
      <c r="L145" s="53">
        <f>IF(PRINT_SHEET!L145="","",PRINT_SHEET!L145)</f>
        <v/>
      </c>
    </row>
    <row r="146" ht="20" customHeight="1">
      <c r="A146" s="52">
        <f>IF(PRINT_SHEET!A146="","",PRINT_SHEET!A146)</f>
        <v/>
      </c>
      <c r="B146" s="53">
        <f>IF(PRINT_SHEET!B146="","",PRINT_SHEET!B146)</f>
        <v/>
      </c>
      <c r="C146" s="56">
        <f>IF(PRINT_SHEET!C146="","",PRINT_SHEET!C146)</f>
        <v/>
      </c>
      <c r="D146" s="56">
        <f>IF(PRINT_SHEET!D146="","",PRINT_SHEET!D146)</f>
        <v/>
      </c>
      <c r="E146" s="53">
        <f>IF(PRINT_SHEET!E146="","",PRINT_SHEET!E146)</f>
        <v/>
      </c>
      <c r="F146" s="52">
        <f>IF(PRINT_SHEET!F146="","",PRINT_SHEET!F146)</f>
        <v/>
      </c>
      <c r="G146" s="54">
        <f>IF(PRINT_SHEET!G146="","",PRINT_SHEET!G146)</f>
        <v/>
      </c>
      <c r="H146" s="54">
        <f>IF(PRINT_SHEET!H146="","",PRINT_SHEET!H146)</f>
        <v/>
      </c>
      <c r="I146" s="54">
        <f>IF(PRINT_SHEET!I146="","",PRINT_SHEET!I146)</f>
        <v/>
      </c>
      <c r="J146" s="53">
        <f>IFERROR(INDEX({"ادا شدہ","جزوی","بقایا"},MATCH(PRINT_SHEET!J146,{"PAID","PARTIAL","PENDING"},0)),PRINT_SHEET!J146)</f>
        <v/>
      </c>
      <c r="K146" s="55">
        <f>IF(PRINT_SHEET!K146="","",PRINT_SHEET!K146)</f>
        <v/>
      </c>
      <c r="L146" s="53">
        <f>IF(PRINT_SHEET!L146="","",PRINT_SHEET!L146)</f>
        <v/>
      </c>
    </row>
    <row r="147" ht="20" customHeight="1">
      <c r="A147" s="52">
        <f>IF(PRINT_SHEET!A147="","",PRINT_SHEET!A147)</f>
        <v/>
      </c>
      <c r="B147" s="53">
        <f>IF(PRINT_SHEET!B147="","",PRINT_SHEET!B147)</f>
        <v/>
      </c>
      <c r="C147" s="56">
        <f>IF(PRINT_SHEET!C147="","",PRINT_SHEET!C147)</f>
        <v/>
      </c>
      <c r="D147" s="56">
        <f>IF(PRINT_SHEET!D147="","",PRINT_SHEET!D147)</f>
        <v/>
      </c>
      <c r="E147" s="53">
        <f>IF(PRINT_SHEET!E147="","",PRINT_SHEET!E147)</f>
        <v/>
      </c>
      <c r="F147" s="52">
        <f>IF(PRINT_SHEET!F147="","",PRINT_SHEET!F147)</f>
        <v/>
      </c>
      <c r="G147" s="54">
        <f>IF(PRINT_SHEET!G147="","",PRINT_SHEET!G147)</f>
        <v/>
      </c>
      <c r="H147" s="54">
        <f>IF(PRINT_SHEET!H147="","",PRINT_SHEET!H147)</f>
        <v/>
      </c>
      <c r="I147" s="54">
        <f>IF(PRINT_SHEET!I147="","",PRINT_SHEET!I147)</f>
        <v/>
      </c>
      <c r="J147" s="53">
        <f>IFERROR(INDEX({"ادا شدہ","جزوی","بقایا"},MATCH(PRINT_SHEET!J147,{"PAID","PARTIAL","PENDING"},0)),PRINT_SHEET!J147)</f>
        <v/>
      </c>
      <c r="K147" s="55">
        <f>IF(PRINT_SHEET!K147="","",PRINT_SHEET!K147)</f>
        <v/>
      </c>
      <c r="L147" s="53">
        <f>IF(PRINT_SHEET!L147="","",PRINT_SHEET!L147)</f>
        <v/>
      </c>
    </row>
    <row r="148" ht="20" customHeight="1">
      <c r="A148" s="52">
        <f>IF(PRINT_SHEET!A148="","",PRINT_SHEET!A148)</f>
        <v/>
      </c>
      <c r="B148" s="53">
        <f>IF(PRINT_SHEET!B148="","",PRINT_SHEET!B148)</f>
        <v/>
      </c>
      <c r="C148" s="56">
        <f>IF(PRINT_SHEET!C148="","",PRINT_SHEET!C148)</f>
        <v/>
      </c>
      <c r="D148" s="56">
        <f>IF(PRINT_SHEET!D148="","",PRINT_SHEET!D148)</f>
        <v/>
      </c>
      <c r="E148" s="53">
        <f>IF(PRINT_SHEET!E148="","",PRINT_SHEET!E148)</f>
        <v/>
      </c>
      <c r="F148" s="52">
        <f>IF(PRINT_SHEET!F148="","",PRINT_SHEET!F148)</f>
        <v/>
      </c>
      <c r="G148" s="54">
        <f>IF(PRINT_SHEET!G148="","",PRINT_SHEET!G148)</f>
        <v/>
      </c>
      <c r="H148" s="54">
        <f>IF(PRINT_SHEET!H148="","",PRINT_SHEET!H148)</f>
        <v/>
      </c>
      <c r="I148" s="54">
        <f>IF(PRINT_SHEET!I148="","",PRINT_SHEET!I148)</f>
        <v/>
      </c>
      <c r="J148" s="53">
        <f>IFERROR(INDEX({"ادا شدہ","جزوی","بقایا"},MATCH(PRINT_SHEET!J148,{"PAID","PARTIAL","PENDING"},0)),PRINT_SHEET!J148)</f>
        <v/>
      </c>
      <c r="K148" s="55">
        <f>IF(PRINT_SHEET!K148="","",PRINT_SHEET!K148)</f>
        <v/>
      </c>
      <c r="L148" s="53">
        <f>IF(PRINT_SHEET!L148="","",PRINT_SHEET!L148)</f>
        <v/>
      </c>
    </row>
    <row r="149" ht="20" customHeight="1">
      <c r="A149" s="52">
        <f>IF(PRINT_SHEET!A149="","",PRINT_SHEET!A149)</f>
        <v/>
      </c>
      <c r="B149" s="53">
        <f>IF(PRINT_SHEET!B149="","",PRINT_SHEET!B149)</f>
        <v/>
      </c>
      <c r="C149" s="56">
        <f>IF(PRINT_SHEET!C149="","",PRINT_SHEET!C149)</f>
        <v/>
      </c>
      <c r="D149" s="56">
        <f>IF(PRINT_SHEET!D149="","",PRINT_SHEET!D149)</f>
        <v/>
      </c>
      <c r="E149" s="53">
        <f>IF(PRINT_SHEET!E149="","",PRINT_SHEET!E149)</f>
        <v/>
      </c>
      <c r="F149" s="52">
        <f>IF(PRINT_SHEET!F149="","",PRINT_SHEET!F149)</f>
        <v/>
      </c>
      <c r="G149" s="54">
        <f>IF(PRINT_SHEET!G149="","",PRINT_SHEET!G149)</f>
        <v/>
      </c>
      <c r="H149" s="54">
        <f>IF(PRINT_SHEET!H149="","",PRINT_SHEET!H149)</f>
        <v/>
      </c>
      <c r="I149" s="54">
        <f>IF(PRINT_SHEET!I149="","",PRINT_SHEET!I149)</f>
        <v/>
      </c>
      <c r="J149" s="53">
        <f>IFERROR(INDEX({"ادا شدہ","جزوی","بقایا"},MATCH(PRINT_SHEET!J149,{"PAID","PARTIAL","PENDING"},0)),PRINT_SHEET!J149)</f>
        <v/>
      </c>
      <c r="K149" s="55">
        <f>IF(PRINT_SHEET!K149="","",PRINT_SHEET!K149)</f>
        <v/>
      </c>
      <c r="L149" s="53">
        <f>IF(PRINT_SHEET!L149="","",PRINT_SHEET!L149)</f>
        <v/>
      </c>
    </row>
    <row r="150" ht="20" customHeight="1">
      <c r="A150" s="52">
        <f>IF(PRINT_SHEET!A150="","",PRINT_SHEET!A150)</f>
        <v/>
      </c>
      <c r="B150" s="53">
        <f>IF(PRINT_SHEET!B150="","",PRINT_SHEET!B150)</f>
        <v/>
      </c>
      <c r="C150" s="56">
        <f>IF(PRINT_SHEET!C150="","",PRINT_SHEET!C150)</f>
        <v/>
      </c>
      <c r="D150" s="56">
        <f>IF(PRINT_SHEET!D150="","",PRINT_SHEET!D150)</f>
        <v/>
      </c>
      <c r="E150" s="53">
        <f>IF(PRINT_SHEET!E150="","",PRINT_SHEET!E150)</f>
        <v/>
      </c>
      <c r="F150" s="52">
        <f>IF(PRINT_SHEET!F150="","",PRINT_SHEET!F150)</f>
        <v/>
      </c>
      <c r="G150" s="54">
        <f>IF(PRINT_SHEET!G150="","",PRINT_SHEET!G150)</f>
        <v/>
      </c>
      <c r="H150" s="54">
        <f>IF(PRINT_SHEET!H150="","",PRINT_SHEET!H150)</f>
        <v/>
      </c>
      <c r="I150" s="54">
        <f>IF(PRINT_SHEET!I150="","",PRINT_SHEET!I150)</f>
        <v/>
      </c>
      <c r="J150" s="53">
        <f>IFERROR(INDEX({"ادا شدہ","جزوی","بقایا"},MATCH(PRINT_SHEET!J150,{"PAID","PARTIAL","PENDING"},0)),PRINT_SHEET!J150)</f>
        <v/>
      </c>
      <c r="K150" s="55">
        <f>IF(PRINT_SHEET!K150="","",PRINT_SHEET!K150)</f>
        <v/>
      </c>
      <c r="L150" s="53">
        <f>IF(PRINT_SHEET!L150="","",PRINT_SHEET!L150)</f>
        <v/>
      </c>
    </row>
    <row r="151" ht="20" customHeight="1">
      <c r="A151" s="52">
        <f>IF(PRINT_SHEET!A151="","",PRINT_SHEET!A151)</f>
        <v/>
      </c>
      <c r="B151" s="53">
        <f>IF(PRINT_SHEET!B151="","",PRINT_SHEET!B151)</f>
        <v/>
      </c>
      <c r="C151" s="56">
        <f>IF(PRINT_SHEET!C151="","",PRINT_SHEET!C151)</f>
        <v/>
      </c>
      <c r="D151" s="56">
        <f>IF(PRINT_SHEET!D151="","",PRINT_SHEET!D151)</f>
        <v/>
      </c>
      <c r="E151" s="53">
        <f>IF(PRINT_SHEET!E151="","",PRINT_SHEET!E151)</f>
        <v/>
      </c>
      <c r="F151" s="52">
        <f>IF(PRINT_SHEET!F151="","",PRINT_SHEET!F151)</f>
        <v/>
      </c>
      <c r="G151" s="54">
        <f>IF(PRINT_SHEET!G151="","",PRINT_SHEET!G151)</f>
        <v/>
      </c>
      <c r="H151" s="54">
        <f>IF(PRINT_SHEET!H151="","",PRINT_SHEET!H151)</f>
        <v/>
      </c>
      <c r="I151" s="54">
        <f>IF(PRINT_SHEET!I151="","",PRINT_SHEET!I151)</f>
        <v/>
      </c>
      <c r="J151" s="53">
        <f>IFERROR(INDEX({"ادا شدہ","جزوی","بقایا"},MATCH(PRINT_SHEET!J151,{"PAID","PARTIAL","PENDING"},0)),PRINT_SHEET!J151)</f>
        <v/>
      </c>
      <c r="K151" s="55">
        <f>IF(PRINT_SHEET!K151="","",PRINT_SHEET!K151)</f>
        <v/>
      </c>
      <c r="L151" s="53">
        <f>IF(PRINT_SHEET!L151="","",PRINT_SHEET!L151)</f>
        <v/>
      </c>
    </row>
    <row r="152" ht="20" customHeight="1">
      <c r="A152" s="52">
        <f>IF(PRINT_SHEET!A152="","",PRINT_SHEET!A152)</f>
        <v/>
      </c>
      <c r="B152" s="53">
        <f>IF(PRINT_SHEET!B152="","",PRINT_SHEET!B152)</f>
        <v/>
      </c>
      <c r="C152" s="56">
        <f>IF(PRINT_SHEET!C152="","",PRINT_SHEET!C152)</f>
        <v/>
      </c>
      <c r="D152" s="56">
        <f>IF(PRINT_SHEET!D152="","",PRINT_SHEET!D152)</f>
        <v/>
      </c>
      <c r="E152" s="53">
        <f>IF(PRINT_SHEET!E152="","",PRINT_SHEET!E152)</f>
        <v/>
      </c>
      <c r="F152" s="52">
        <f>IF(PRINT_SHEET!F152="","",PRINT_SHEET!F152)</f>
        <v/>
      </c>
      <c r="G152" s="54">
        <f>IF(PRINT_SHEET!G152="","",PRINT_SHEET!G152)</f>
        <v/>
      </c>
      <c r="H152" s="54">
        <f>IF(PRINT_SHEET!H152="","",PRINT_SHEET!H152)</f>
        <v/>
      </c>
      <c r="I152" s="54">
        <f>IF(PRINT_SHEET!I152="","",PRINT_SHEET!I152)</f>
        <v/>
      </c>
      <c r="J152" s="53">
        <f>IFERROR(INDEX({"ادا شدہ","جزوی","بقایا"},MATCH(PRINT_SHEET!J152,{"PAID","PARTIAL","PENDING"},0)),PRINT_SHEET!J152)</f>
        <v/>
      </c>
      <c r="K152" s="55">
        <f>IF(PRINT_SHEET!K152="","",PRINT_SHEET!K152)</f>
        <v/>
      </c>
      <c r="L152" s="53">
        <f>IF(PRINT_SHEET!L152="","",PRINT_SHEET!L152)</f>
        <v/>
      </c>
    </row>
    <row r="153" ht="20" customHeight="1">
      <c r="A153" s="52">
        <f>IF(PRINT_SHEET!A153="","",PRINT_SHEET!A153)</f>
        <v/>
      </c>
      <c r="B153" s="53">
        <f>IF(PRINT_SHEET!B153="","",PRINT_SHEET!B153)</f>
        <v/>
      </c>
      <c r="C153" s="56">
        <f>IF(PRINT_SHEET!C153="","",PRINT_SHEET!C153)</f>
        <v/>
      </c>
      <c r="D153" s="56">
        <f>IF(PRINT_SHEET!D153="","",PRINT_SHEET!D153)</f>
        <v/>
      </c>
      <c r="E153" s="53">
        <f>IF(PRINT_SHEET!E153="","",PRINT_SHEET!E153)</f>
        <v/>
      </c>
      <c r="F153" s="52">
        <f>IF(PRINT_SHEET!F153="","",PRINT_SHEET!F153)</f>
        <v/>
      </c>
      <c r="G153" s="54">
        <f>IF(PRINT_SHEET!G153="","",PRINT_SHEET!G153)</f>
        <v/>
      </c>
      <c r="H153" s="54">
        <f>IF(PRINT_SHEET!H153="","",PRINT_SHEET!H153)</f>
        <v/>
      </c>
      <c r="I153" s="54">
        <f>IF(PRINT_SHEET!I153="","",PRINT_SHEET!I153)</f>
        <v/>
      </c>
      <c r="J153" s="53">
        <f>IFERROR(INDEX({"ادا شدہ","جزوی","بقایا"},MATCH(PRINT_SHEET!J153,{"PAID","PARTIAL","PENDING"},0)),PRINT_SHEET!J153)</f>
        <v/>
      </c>
      <c r="K153" s="55">
        <f>IF(PRINT_SHEET!K153="","",PRINT_SHEET!K153)</f>
        <v/>
      </c>
      <c r="L153" s="53">
        <f>IF(PRINT_SHEET!L153="","",PRINT_SHEET!L153)</f>
        <v/>
      </c>
    </row>
    <row r="154" ht="20" customHeight="1">
      <c r="A154" s="52">
        <f>IF(PRINT_SHEET!A154="","",PRINT_SHEET!A154)</f>
        <v/>
      </c>
      <c r="B154" s="53">
        <f>IF(PRINT_SHEET!B154="","",PRINT_SHEET!B154)</f>
        <v/>
      </c>
      <c r="C154" s="56">
        <f>IF(PRINT_SHEET!C154="","",PRINT_SHEET!C154)</f>
        <v/>
      </c>
      <c r="D154" s="56">
        <f>IF(PRINT_SHEET!D154="","",PRINT_SHEET!D154)</f>
        <v/>
      </c>
      <c r="E154" s="53">
        <f>IF(PRINT_SHEET!E154="","",PRINT_SHEET!E154)</f>
        <v/>
      </c>
      <c r="F154" s="52">
        <f>IF(PRINT_SHEET!F154="","",PRINT_SHEET!F154)</f>
        <v/>
      </c>
      <c r="G154" s="54">
        <f>IF(PRINT_SHEET!G154="","",PRINT_SHEET!G154)</f>
        <v/>
      </c>
      <c r="H154" s="54">
        <f>IF(PRINT_SHEET!H154="","",PRINT_SHEET!H154)</f>
        <v/>
      </c>
      <c r="I154" s="54">
        <f>IF(PRINT_SHEET!I154="","",PRINT_SHEET!I154)</f>
        <v/>
      </c>
      <c r="J154" s="53">
        <f>IFERROR(INDEX({"ادا شدہ","جزوی","بقایا"},MATCH(PRINT_SHEET!J154,{"PAID","PARTIAL","PENDING"},0)),PRINT_SHEET!J154)</f>
        <v/>
      </c>
      <c r="K154" s="55">
        <f>IF(PRINT_SHEET!K154="","",PRINT_SHEET!K154)</f>
        <v/>
      </c>
      <c r="L154" s="53">
        <f>IF(PRINT_SHEET!L154="","",PRINT_SHEET!L154)</f>
        <v/>
      </c>
    </row>
    <row r="155" ht="20" customHeight="1">
      <c r="A155" s="52">
        <f>IF(PRINT_SHEET!A155="","",PRINT_SHEET!A155)</f>
        <v/>
      </c>
      <c r="B155" s="53">
        <f>IF(PRINT_SHEET!B155="","",PRINT_SHEET!B155)</f>
        <v/>
      </c>
      <c r="C155" s="56">
        <f>IF(PRINT_SHEET!C155="","",PRINT_SHEET!C155)</f>
        <v/>
      </c>
      <c r="D155" s="56">
        <f>IF(PRINT_SHEET!D155="","",PRINT_SHEET!D155)</f>
        <v/>
      </c>
      <c r="E155" s="53">
        <f>IF(PRINT_SHEET!E155="","",PRINT_SHEET!E155)</f>
        <v/>
      </c>
      <c r="F155" s="52">
        <f>IF(PRINT_SHEET!F155="","",PRINT_SHEET!F155)</f>
        <v/>
      </c>
      <c r="G155" s="54">
        <f>IF(PRINT_SHEET!G155="","",PRINT_SHEET!G155)</f>
        <v/>
      </c>
      <c r="H155" s="54">
        <f>IF(PRINT_SHEET!H155="","",PRINT_SHEET!H155)</f>
        <v/>
      </c>
      <c r="I155" s="54">
        <f>IF(PRINT_SHEET!I155="","",PRINT_SHEET!I155)</f>
        <v/>
      </c>
      <c r="J155" s="53">
        <f>IFERROR(INDEX({"ادا شدہ","جزوی","بقایا"},MATCH(PRINT_SHEET!J155,{"PAID","PARTIAL","PENDING"},0)),PRINT_SHEET!J155)</f>
        <v/>
      </c>
      <c r="K155" s="55">
        <f>IF(PRINT_SHEET!K155="","",PRINT_SHEET!K155)</f>
        <v/>
      </c>
      <c r="L155" s="53">
        <f>IF(PRINT_SHEET!L155="","",PRINT_SHEET!L155)</f>
        <v/>
      </c>
    </row>
    <row r="156" ht="20" customHeight="1">
      <c r="A156" s="52">
        <f>IF(PRINT_SHEET!A156="","",PRINT_SHEET!A156)</f>
        <v/>
      </c>
      <c r="B156" s="53">
        <f>IF(PRINT_SHEET!B156="","",PRINT_SHEET!B156)</f>
        <v/>
      </c>
      <c r="C156" s="56">
        <f>IF(PRINT_SHEET!C156="","",PRINT_SHEET!C156)</f>
        <v/>
      </c>
      <c r="D156" s="56">
        <f>IF(PRINT_SHEET!D156="","",PRINT_SHEET!D156)</f>
        <v/>
      </c>
      <c r="E156" s="53">
        <f>IF(PRINT_SHEET!E156="","",PRINT_SHEET!E156)</f>
        <v/>
      </c>
      <c r="F156" s="52">
        <f>IF(PRINT_SHEET!F156="","",PRINT_SHEET!F156)</f>
        <v/>
      </c>
      <c r="G156" s="54">
        <f>IF(PRINT_SHEET!G156="","",PRINT_SHEET!G156)</f>
        <v/>
      </c>
      <c r="H156" s="54">
        <f>IF(PRINT_SHEET!H156="","",PRINT_SHEET!H156)</f>
        <v/>
      </c>
      <c r="I156" s="54">
        <f>IF(PRINT_SHEET!I156="","",PRINT_SHEET!I156)</f>
        <v/>
      </c>
      <c r="J156" s="53">
        <f>IFERROR(INDEX({"ادا شدہ","جزوی","بقایا"},MATCH(PRINT_SHEET!J156,{"PAID","PARTIAL","PENDING"},0)),PRINT_SHEET!J156)</f>
        <v/>
      </c>
      <c r="K156" s="55">
        <f>IF(PRINT_SHEET!K156="","",PRINT_SHEET!K156)</f>
        <v/>
      </c>
      <c r="L156" s="53">
        <f>IF(PRINT_SHEET!L156="","",PRINT_SHEET!L156)</f>
        <v/>
      </c>
    </row>
    <row r="157" ht="20" customHeight="1">
      <c r="A157" s="52">
        <f>IF(PRINT_SHEET!A157="","",PRINT_SHEET!A157)</f>
        <v/>
      </c>
      <c r="B157" s="53">
        <f>IF(PRINT_SHEET!B157="","",PRINT_SHEET!B157)</f>
        <v/>
      </c>
      <c r="C157" s="56">
        <f>IF(PRINT_SHEET!C157="","",PRINT_SHEET!C157)</f>
        <v/>
      </c>
      <c r="D157" s="56">
        <f>IF(PRINT_SHEET!D157="","",PRINT_SHEET!D157)</f>
        <v/>
      </c>
      <c r="E157" s="53">
        <f>IF(PRINT_SHEET!E157="","",PRINT_SHEET!E157)</f>
        <v/>
      </c>
      <c r="F157" s="52">
        <f>IF(PRINT_SHEET!F157="","",PRINT_SHEET!F157)</f>
        <v/>
      </c>
      <c r="G157" s="54">
        <f>IF(PRINT_SHEET!G157="","",PRINT_SHEET!G157)</f>
        <v/>
      </c>
      <c r="H157" s="54">
        <f>IF(PRINT_SHEET!H157="","",PRINT_SHEET!H157)</f>
        <v/>
      </c>
      <c r="I157" s="54">
        <f>IF(PRINT_SHEET!I157="","",PRINT_SHEET!I157)</f>
        <v/>
      </c>
      <c r="J157" s="53">
        <f>IFERROR(INDEX({"ادا شدہ","جزوی","بقایا"},MATCH(PRINT_SHEET!J157,{"PAID","PARTIAL","PENDING"},0)),PRINT_SHEET!J157)</f>
        <v/>
      </c>
      <c r="K157" s="55">
        <f>IF(PRINT_SHEET!K157="","",PRINT_SHEET!K157)</f>
        <v/>
      </c>
      <c r="L157" s="53">
        <f>IF(PRINT_SHEET!L157="","",PRINT_SHEET!L157)</f>
        <v/>
      </c>
    </row>
    <row r="158" ht="20" customHeight="1">
      <c r="A158" s="52">
        <f>IF(PRINT_SHEET!A158="","",PRINT_SHEET!A158)</f>
        <v/>
      </c>
      <c r="B158" s="53">
        <f>IF(PRINT_SHEET!B158="","",PRINT_SHEET!B158)</f>
        <v/>
      </c>
      <c r="C158" s="56">
        <f>IF(PRINT_SHEET!C158="","",PRINT_SHEET!C158)</f>
        <v/>
      </c>
      <c r="D158" s="56">
        <f>IF(PRINT_SHEET!D158="","",PRINT_SHEET!D158)</f>
        <v/>
      </c>
      <c r="E158" s="53">
        <f>IF(PRINT_SHEET!E158="","",PRINT_SHEET!E158)</f>
        <v/>
      </c>
      <c r="F158" s="52">
        <f>IF(PRINT_SHEET!F158="","",PRINT_SHEET!F158)</f>
        <v/>
      </c>
      <c r="G158" s="54">
        <f>IF(PRINT_SHEET!G158="","",PRINT_SHEET!G158)</f>
        <v/>
      </c>
      <c r="H158" s="54">
        <f>IF(PRINT_SHEET!H158="","",PRINT_SHEET!H158)</f>
        <v/>
      </c>
      <c r="I158" s="54">
        <f>IF(PRINT_SHEET!I158="","",PRINT_SHEET!I158)</f>
        <v/>
      </c>
      <c r="J158" s="53">
        <f>IFERROR(INDEX({"ادا شدہ","جزوی","بقایا"},MATCH(PRINT_SHEET!J158,{"PAID","PARTIAL","PENDING"},0)),PRINT_SHEET!J158)</f>
        <v/>
      </c>
      <c r="K158" s="55">
        <f>IF(PRINT_SHEET!K158="","",PRINT_SHEET!K158)</f>
        <v/>
      </c>
      <c r="L158" s="53">
        <f>IF(PRINT_SHEET!L158="","",PRINT_SHEET!L158)</f>
        <v/>
      </c>
    </row>
    <row r="159" ht="20" customHeight="1">
      <c r="A159" s="52">
        <f>IF(PRINT_SHEET!A159="","",PRINT_SHEET!A159)</f>
        <v/>
      </c>
      <c r="B159" s="53">
        <f>IF(PRINT_SHEET!B159="","",PRINT_SHEET!B159)</f>
        <v/>
      </c>
      <c r="C159" s="56">
        <f>IF(PRINT_SHEET!C159="","",PRINT_SHEET!C159)</f>
        <v/>
      </c>
      <c r="D159" s="56">
        <f>IF(PRINT_SHEET!D159="","",PRINT_SHEET!D159)</f>
        <v/>
      </c>
      <c r="E159" s="53">
        <f>IF(PRINT_SHEET!E159="","",PRINT_SHEET!E159)</f>
        <v/>
      </c>
      <c r="F159" s="52">
        <f>IF(PRINT_SHEET!F159="","",PRINT_SHEET!F159)</f>
        <v/>
      </c>
      <c r="G159" s="54">
        <f>IF(PRINT_SHEET!G159="","",PRINT_SHEET!G159)</f>
        <v/>
      </c>
      <c r="H159" s="54">
        <f>IF(PRINT_SHEET!H159="","",PRINT_SHEET!H159)</f>
        <v/>
      </c>
      <c r="I159" s="54">
        <f>IF(PRINT_SHEET!I159="","",PRINT_SHEET!I159)</f>
        <v/>
      </c>
      <c r="J159" s="53">
        <f>IFERROR(INDEX({"ادا شدہ","جزوی","بقایا"},MATCH(PRINT_SHEET!J159,{"PAID","PARTIAL","PENDING"},0)),PRINT_SHEET!J159)</f>
        <v/>
      </c>
      <c r="K159" s="55">
        <f>IF(PRINT_SHEET!K159="","",PRINT_SHEET!K159)</f>
        <v/>
      </c>
      <c r="L159" s="53">
        <f>IF(PRINT_SHEET!L159="","",PRINT_SHEET!L159)</f>
        <v/>
      </c>
    </row>
    <row r="160" ht="20" customHeight="1">
      <c r="A160" s="52">
        <f>IF(PRINT_SHEET!A160="","",PRINT_SHEET!A160)</f>
        <v/>
      </c>
      <c r="B160" s="53">
        <f>IF(PRINT_SHEET!B160="","",PRINT_SHEET!B160)</f>
        <v/>
      </c>
      <c r="C160" s="56">
        <f>IF(PRINT_SHEET!C160="","",PRINT_SHEET!C160)</f>
        <v/>
      </c>
      <c r="D160" s="56">
        <f>IF(PRINT_SHEET!D160="","",PRINT_SHEET!D160)</f>
        <v/>
      </c>
      <c r="E160" s="53">
        <f>IF(PRINT_SHEET!E160="","",PRINT_SHEET!E160)</f>
        <v/>
      </c>
      <c r="F160" s="52">
        <f>IF(PRINT_SHEET!F160="","",PRINT_SHEET!F160)</f>
        <v/>
      </c>
      <c r="G160" s="54">
        <f>IF(PRINT_SHEET!G160="","",PRINT_SHEET!G160)</f>
        <v/>
      </c>
      <c r="H160" s="54">
        <f>IF(PRINT_SHEET!H160="","",PRINT_SHEET!H160)</f>
        <v/>
      </c>
      <c r="I160" s="54">
        <f>IF(PRINT_SHEET!I160="","",PRINT_SHEET!I160)</f>
        <v/>
      </c>
      <c r="J160" s="53">
        <f>IFERROR(INDEX({"ادا شدہ","جزوی","بقایا"},MATCH(PRINT_SHEET!J160,{"PAID","PARTIAL","PENDING"},0)),PRINT_SHEET!J160)</f>
        <v/>
      </c>
      <c r="K160" s="55">
        <f>IF(PRINT_SHEET!K160="","",PRINT_SHEET!K160)</f>
        <v/>
      </c>
      <c r="L160" s="53">
        <f>IF(PRINT_SHEET!L160="","",PRINT_SHEET!L160)</f>
        <v/>
      </c>
    </row>
    <row r="161" ht="20" customHeight="1">
      <c r="A161" s="52">
        <f>IF(PRINT_SHEET!A161="","",PRINT_SHEET!A161)</f>
        <v/>
      </c>
      <c r="B161" s="53">
        <f>IF(PRINT_SHEET!B161="","",PRINT_SHEET!B161)</f>
        <v/>
      </c>
      <c r="C161" s="56">
        <f>IF(PRINT_SHEET!C161="","",PRINT_SHEET!C161)</f>
        <v/>
      </c>
      <c r="D161" s="56">
        <f>IF(PRINT_SHEET!D161="","",PRINT_SHEET!D161)</f>
        <v/>
      </c>
      <c r="E161" s="53">
        <f>IF(PRINT_SHEET!E161="","",PRINT_SHEET!E161)</f>
        <v/>
      </c>
      <c r="F161" s="52">
        <f>IF(PRINT_SHEET!F161="","",PRINT_SHEET!F161)</f>
        <v/>
      </c>
      <c r="G161" s="54">
        <f>IF(PRINT_SHEET!G161="","",PRINT_SHEET!G161)</f>
        <v/>
      </c>
      <c r="H161" s="54">
        <f>IF(PRINT_SHEET!H161="","",PRINT_SHEET!H161)</f>
        <v/>
      </c>
      <c r="I161" s="54">
        <f>IF(PRINT_SHEET!I161="","",PRINT_SHEET!I161)</f>
        <v/>
      </c>
      <c r="J161" s="53">
        <f>IFERROR(INDEX({"ادا شدہ","جزوی","بقایا"},MATCH(PRINT_SHEET!J161,{"PAID","PARTIAL","PENDING"},0)),PRINT_SHEET!J161)</f>
        <v/>
      </c>
      <c r="K161" s="55">
        <f>IF(PRINT_SHEET!K161="","",PRINT_SHEET!K161)</f>
        <v/>
      </c>
      <c r="L161" s="53">
        <f>IF(PRINT_SHEET!L161="","",PRINT_SHEET!L161)</f>
        <v/>
      </c>
    </row>
    <row r="162" ht="20" customHeight="1">
      <c r="A162" s="52">
        <f>IF(PRINT_SHEET!A162="","",PRINT_SHEET!A162)</f>
        <v/>
      </c>
      <c r="B162" s="53">
        <f>IF(PRINT_SHEET!B162="","",PRINT_SHEET!B162)</f>
        <v/>
      </c>
      <c r="C162" s="56">
        <f>IF(PRINT_SHEET!C162="","",PRINT_SHEET!C162)</f>
        <v/>
      </c>
      <c r="D162" s="56">
        <f>IF(PRINT_SHEET!D162="","",PRINT_SHEET!D162)</f>
        <v/>
      </c>
      <c r="E162" s="53">
        <f>IF(PRINT_SHEET!E162="","",PRINT_SHEET!E162)</f>
        <v/>
      </c>
      <c r="F162" s="52">
        <f>IF(PRINT_SHEET!F162="","",PRINT_SHEET!F162)</f>
        <v/>
      </c>
      <c r="G162" s="54">
        <f>IF(PRINT_SHEET!G162="","",PRINT_SHEET!G162)</f>
        <v/>
      </c>
      <c r="H162" s="54">
        <f>IF(PRINT_SHEET!H162="","",PRINT_SHEET!H162)</f>
        <v/>
      </c>
      <c r="I162" s="54">
        <f>IF(PRINT_SHEET!I162="","",PRINT_SHEET!I162)</f>
        <v/>
      </c>
      <c r="J162" s="53">
        <f>IFERROR(INDEX({"ادا شدہ","جزوی","بقایا"},MATCH(PRINT_SHEET!J162,{"PAID","PARTIAL","PENDING"},0)),PRINT_SHEET!J162)</f>
        <v/>
      </c>
      <c r="K162" s="55">
        <f>IF(PRINT_SHEET!K162="","",PRINT_SHEET!K162)</f>
        <v/>
      </c>
      <c r="L162" s="53">
        <f>IF(PRINT_SHEET!L162="","",PRINT_SHEET!L162)</f>
        <v/>
      </c>
    </row>
    <row r="163" ht="20" customHeight="1">
      <c r="A163" s="52">
        <f>IF(PRINT_SHEET!A163="","",PRINT_SHEET!A163)</f>
        <v/>
      </c>
      <c r="B163" s="53">
        <f>IF(PRINT_SHEET!B163="","",PRINT_SHEET!B163)</f>
        <v/>
      </c>
      <c r="C163" s="56">
        <f>IF(PRINT_SHEET!C163="","",PRINT_SHEET!C163)</f>
        <v/>
      </c>
      <c r="D163" s="56">
        <f>IF(PRINT_SHEET!D163="","",PRINT_SHEET!D163)</f>
        <v/>
      </c>
      <c r="E163" s="53">
        <f>IF(PRINT_SHEET!E163="","",PRINT_SHEET!E163)</f>
        <v/>
      </c>
      <c r="F163" s="52">
        <f>IF(PRINT_SHEET!F163="","",PRINT_SHEET!F163)</f>
        <v/>
      </c>
      <c r="G163" s="54">
        <f>IF(PRINT_SHEET!G163="","",PRINT_SHEET!G163)</f>
        <v/>
      </c>
      <c r="H163" s="54">
        <f>IF(PRINT_SHEET!H163="","",PRINT_SHEET!H163)</f>
        <v/>
      </c>
      <c r="I163" s="54">
        <f>IF(PRINT_SHEET!I163="","",PRINT_SHEET!I163)</f>
        <v/>
      </c>
      <c r="J163" s="53">
        <f>IFERROR(INDEX({"ادا شدہ","جزوی","بقایا"},MATCH(PRINT_SHEET!J163,{"PAID","PARTIAL","PENDING"},0)),PRINT_SHEET!J163)</f>
        <v/>
      </c>
      <c r="K163" s="55">
        <f>IF(PRINT_SHEET!K163="","",PRINT_SHEET!K163)</f>
        <v/>
      </c>
      <c r="L163" s="53">
        <f>IF(PRINT_SHEET!L163="","",PRINT_SHEET!L163)</f>
        <v/>
      </c>
    </row>
    <row r="164" ht="20" customHeight="1">
      <c r="A164" s="52">
        <f>IF(PRINT_SHEET!A164="","",PRINT_SHEET!A164)</f>
        <v/>
      </c>
      <c r="B164" s="53">
        <f>IF(PRINT_SHEET!B164="","",PRINT_SHEET!B164)</f>
        <v/>
      </c>
      <c r="C164" s="56">
        <f>IF(PRINT_SHEET!C164="","",PRINT_SHEET!C164)</f>
        <v/>
      </c>
      <c r="D164" s="56">
        <f>IF(PRINT_SHEET!D164="","",PRINT_SHEET!D164)</f>
        <v/>
      </c>
      <c r="E164" s="53">
        <f>IF(PRINT_SHEET!E164="","",PRINT_SHEET!E164)</f>
        <v/>
      </c>
      <c r="F164" s="52">
        <f>IF(PRINT_SHEET!F164="","",PRINT_SHEET!F164)</f>
        <v/>
      </c>
      <c r="G164" s="54">
        <f>IF(PRINT_SHEET!G164="","",PRINT_SHEET!G164)</f>
        <v/>
      </c>
      <c r="H164" s="54">
        <f>IF(PRINT_SHEET!H164="","",PRINT_SHEET!H164)</f>
        <v/>
      </c>
      <c r="I164" s="54">
        <f>IF(PRINT_SHEET!I164="","",PRINT_SHEET!I164)</f>
        <v/>
      </c>
      <c r="J164" s="53">
        <f>IFERROR(INDEX({"ادا شدہ","جزوی","بقایا"},MATCH(PRINT_SHEET!J164,{"PAID","PARTIAL","PENDING"},0)),PRINT_SHEET!J164)</f>
        <v/>
      </c>
      <c r="K164" s="55">
        <f>IF(PRINT_SHEET!K164="","",PRINT_SHEET!K164)</f>
        <v/>
      </c>
      <c r="L164" s="53">
        <f>IF(PRINT_SHEET!L164="","",PRINT_SHEET!L164)</f>
        <v/>
      </c>
    </row>
    <row r="165" ht="20" customHeight="1">
      <c r="A165" s="52">
        <f>IF(PRINT_SHEET!A165="","",PRINT_SHEET!A165)</f>
        <v/>
      </c>
      <c r="B165" s="53">
        <f>IF(PRINT_SHEET!B165="","",PRINT_SHEET!B165)</f>
        <v/>
      </c>
      <c r="C165" s="56">
        <f>IF(PRINT_SHEET!C165="","",PRINT_SHEET!C165)</f>
        <v/>
      </c>
      <c r="D165" s="56">
        <f>IF(PRINT_SHEET!D165="","",PRINT_SHEET!D165)</f>
        <v/>
      </c>
      <c r="E165" s="53">
        <f>IF(PRINT_SHEET!E165="","",PRINT_SHEET!E165)</f>
        <v/>
      </c>
      <c r="F165" s="52">
        <f>IF(PRINT_SHEET!F165="","",PRINT_SHEET!F165)</f>
        <v/>
      </c>
      <c r="G165" s="54">
        <f>IF(PRINT_SHEET!G165="","",PRINT_SHEET!G165)</f>
        <v/>
      </c>
      <c r="H165" s="54">
        <f>IF(PRINT_SHEET!H165="","",PRINT_SHEET!H165)</f>
        <v/>
      </c>
      <c r="I165" s="54">
        <f>IF(PRINT_SHEET!I165="","",PRINT_SHEET!I165)</f>
        <v/>
      </c>
      <c r="J165" s="53">
        <f>IFERROR(INDEX({"ادا شدہ","جزوی","بقایا"},MATCH(PRINT_SHEET!J165,{"PAID","PARTIAL","PENDING"},0)),PRINT_SHEET!J165)</f>
        <v/>
      </c>
      <c r="K165" s="55">
        <f>IF(PRINT_SHEET!K165="","",PRINT_SHEET!K165)</f>
        <v/>
      </c>
      <c r="L165" s="53">
        <f>IF(PRINT_SHEET!L165="","",PRINT_SHEET!L165)</f>
        <v/>
      </c>
    </row>
    <row r="166" ht="20" customHeight="1">
      <c r="A166" s="52">
        <f>IF(PRINT_SHEET!A166="","",PRINT_SHEET!A166)</f>
        <v/>
      </c>
      <c r="B166" s="53">
        <f>IF(PRINT_SHEET!B166="","",PRINT_SHEET!B166)</f>
        <v/>
      </c>
      <c r="C166" s="56">
        <f>IF(PRINT_SHEET!C166="","",PRINT_SHEET!C166)</f>
        <v/>
      </c>
      <c r="D166" s="56">
        <f>IF(PRINT_SHEET!D166="","",PRINT_SHEET!D166)</f>
        <v/>
      </c>
      <c r="E166" s="53">
        <f>IF(PRINT_SHEET!E166="","",PRINT_SHEET!E166)</f>
        <v/>
      </c>
      <c r="F166" s="52">
        <f>IF(PRINT_SHEET!F166="","",PRINT_SHEET!F166)</f>
        <v/>
      </c>
      <c r="G166" s="54">
        <f>IF(PRINT_SHEET!G166="","",PRINT_SHEET!G166)</f>
        <v/>
      </c>
      <c r="H166" s="54">
        <f>IF(PRINT_SHEET!H166="","",PRINT_SHEET!H166)</f>
        <v/>
      </c>
      <c r="I166" s="54">
        <f>IF(PRINT_SHEET!I166="","",PRINT_SHEET!I166)</f>
        <v/>
      </c>
      <c r="J166" s="53">
        <f>IFERROR(INDEX({"ادا شدہ","جزوی","بقایا"},MATCH(PRINT_SHEET!J166,{"PAID","PARTIAL","PENDING"},0)),PRINT_SHEET!J166)</f>
        <v/>
      </c>
      <c r="K166" s="55">
        <f>IF(PRINT_SHEET!K166="","",PRINT_SHEET!K166)</f>
        <v/>
      </c>
      <c r="L166" s="53">
        <f>IF(PRINT_SHEET!L166="","",PRINT_SHEET!L166)</f>
        <v/>
      </c>
    </row>
    <row r="167" ht="20" customHeight="1">
      <c r="A167" s="52">
        <f>IF(PRINT_SHEET!A167="","",PRINT_SHEET!A167)</f>
        <v/>
      </c>
      <c r="B167" s="53">
        <f>IF(PRINT_SHEET!B167="","",PRINT_SHEET!B167)</f>
        <v/>
      </c>
      <c r="C167" s="56">
        <f>IF(PRINT_SHEET!C167="","",PRINT_SHEET!C167)</f>
        <v/>
      </c>
      <c r="D167" s="56">
        <f>IF(PRINT_SHEET!D167="","",PRINT_SHEET!D167)</f>
        <v/>
      </c>
      <c r="E167" s="53">
        <f>IF(PRINT_SHEET!E167="","",PRINT_SHEET!E167)</f>
        <v/>
      </c>
      <c r="F167" s="52">
        <f>IF(PRINT_SHEET!F167="","",PRINT_SHEET!F167)</f>
        <v/>
      </c>
      <c r="G167" s="54">
        <f>IF(PRINT_SHEET!G167="","",PRINT_SHEET!G167)</f>
        <v/>
      </c>
      <c r="H167" s="54">
        <f>IF(PRINT_SHEET!H167="","",PRINT_SHEET!H167)</f>
        <v/>
      </c>
      <c r="I167" s="54">
        <f>IF(PRINT_SHEET!I167="","",PRINT_SHEET!I167)</f>
        <v/>
      </c>
      <c r="J167" s="53">
        <f>IFERROR(INDEX({"ادا شدہ","جزوی","بقایا"},MATCH(PRINT_SHEET!J167,{"PAID","PARTIAL","PENDING"},0)),PRINT_SHEET!J167)</f>
        <v/>
      </c>
      <c r="K167" s="55">
        <f>IF(PRINT_SHEET!K167="","",PRINT_SHEET!K167)</f>
        <v/>
      </c>
      <c r="L167" s="53">
        <f>IF(PRINT_SHEET!L167="","",PRINT_SHEET!L167)</f>
        <v/>
      </c>
    </row>
    <row r="168" ht="20" customHeight="1">
      <c r="A168" s="52">
        <f>IF(PRINT_SHEET!A168="","",PRINT_SHEET!A168)</f>
        <v/>
      </c>
      <c r="B168" s="53">
        <f>IF(PRINT_SHEET!B168="","",PRINT_SHEET!B168)</f>
        <v/>
      </c>
      <c r="C168" s="56">
        <f>IF(PRINT_SHEET!C168="","",PRINT_SHEET!C168)</f>
        <v/>
      </c>
      <c r="D168" s="56">
        <f>IF(PRINT_SHEET!D168="","",PRINT_SHEET!D168)</f>
        <v/>
      </c>
      <c r="E168" s="53">
        <f>IF(PRINT_SHEET!E168="","",PRINT_SHEET!E168)</f>
        <v/>
      </c>
      <c r="F168" s="52">
        <f>IF(PRINT_SHEET!F168="","",PRINT_SHEET!F168)</f>
        <v/>
      </c>
      <c r="G168" s="54">
        <f>IF(PRINT_SHEET!G168="","",PRINT_SHEET!G168)</f>
        <v/>
      </c>
      <c r="H168" s="54">
        <f>IF(PRINT_SHEET!H168="","",PRINT_SHEET!H168)</f>
        <v/>
      </c>
      <c r="I168" s="54">
        <f>IF(PRINT_SHEET!I168="","",PRINT_SHEET!I168)</f>
        <v/>
      </c>
      <c r="J168" s="53">
        <f>IFERROR(INDEX({"ادا شدہ","جزوی","بقایا"},MATCH(PRINT_SHEET!J168,{"PAID","PARTIAL","PENDING"},0)),PRINT_SHEET!J168)</f>
        <v/>
      </c>
      <c r="K168" s="55">
        <f>IF(PRINT_SHEET!K168="","",PRINT_SHEET!K168)</f>
        <v/>
      </c>
      <c r="L168" s="53">
        <f>IF(PRINT_SHEET!L168="","",PRINT_SHEET!L168)</f>
        <v/>
      </c>
    </row>
    <row r="169" ht="20" customHeight="1">
      <c r="A169" s="52">
        <f>IF(PRINT_SHEET!A169="","",PRINT_SHEET!A169)</f>
        <v/>
      </c>
      <c r="B169" s="53">
        <f>IF(PRINT_SHEET!B169="","",PRINT_SHEET!B169)</f>
        <v/>
      </c>
      <c r="C169" s="56">
        <f>IF(PRINT_SHEET!C169="","",PRINT_SHEET!C169)</f>
        <v/>
      </c>
      <c r="D169" s="56">
        <f>IF(PRINT_SHEET!D169="","",PRINT_SHEET!D169)</f>
        <v/>
      </c>
      <c r="E169" s="53">
        <f>IF(PRINT_SHEET!E169="","",PRINT_SHEET!E169)</f>
        <v/>
      </c>
      <c r="F169" s="52">
        <f>IF(PRINT_SHEET!F169="","",PRINT_SHEET!F169)</f>
        <v/>
      </c>
      <c r="G169" s="54">
        <f>IF(PRINT_SHEET!G169="","",PRINT_SHEET!G169)</f>
        <v/>
      </c>
      <c r="H169" s="54">
        <f>IF(PRINT_SHEET!H169="","",PRINT_SHEET!H169)</f>
        <v/>
      </c>
      <c r="I169" s="54">
        <f>IF(PRINT_SHEET!I169="","",PRINT_SHEET!I169)</f>
        <v/>
      </c>
      <c r="J169" s="53">
        <f>IFERROR(INDEX({"ادا شدہ","جزوی","بقایا"},MATCH(PRINT_SHEET!J169,{"PAID","PARTIAL","PENDING"},0)),PRINT_SHEET!J169)</f>
        <v/>
      </c>
      <c r="K169" s="55">
        <f>IF(PRINT_SHEET!K169="","",PRINT_SHEET!K169)</f>
        <v/>
      </c>
      <c r="L169" s="53">
        <f>IF(PRINT_SHEET!L169="","",PRINT_SHEET!L169)</f>
        <v/>
      </c>
    </row>
    <row r="170" ht="20" customHeight="1">
      <c r="A170" s="52">
        <f>IF(PRINT_SHEET!A170="","",PRINT_SHEET!A170)</f>
        <v/>
      </c>
      <c r="B170" s="53">
        <f>IF(PRINT_SHEET!B170="","",PRINT_SHEET!B170)</f>
        <v/>
      </c>
      <c r="C170" s="56">
        <f>IF(PRINT_SHEET!C170="","",PRINT_SHEET!C170)</f>
        <v/>
      </c>
      <c r="D170" s="56">
        <f>IF(PRINT_SHEET!D170="","",PRINT_SHEET!D170)</f>
        <v/>
      </c>
      <c r="E170" s="53">
        <f>IF(PRINT_SHEET!E170="","",PRINT_SHEET!E170)</f>
        <v/>
      </c>
      <c r="F170" s="52">
        <f>IF(PRINT_SHEET!F170="","",PRINT_SHEET!F170)</f>
        <v/>
      </c>
      <c r="G170" s="54">
        <f>IF(PRINT_SHEET!G170="","",PRINT_SHEET!G170)</f>
        <v/>
      </c>
      <c r="H170" s="54">
        <f>IF(PRINT_SHEET!H170="","",PRINT_SHEET!H170)</f>
        <v/>
      </c>
      <c r="I170" s="54">
        <f>IF(PRINT_SHEET!I170="","",PRINT_SHEET!I170)</f>
        <v/>
      </c>
      <c r="J170" s="53">
        <f>IFERROR(INDEX({"ادا شدہ","جزوی","بقایا"},MATCH(PRINT_SHEET!J170,{"PAID","PARTIAL","PENDING"},0)),PRINT_SHEET!J170)</f>
        <v/>
      </c>
      <c r="K170" s="55">
        <f>IF(PRINT_SHEET!K170="","",PRINT_SHEET!K170)</f>
        <v/>
      </c>
      <c r="L170" s="53">
        <f>IF(PRINT_SHEET!L170="","",PRINT_SHEET!L170)</f>
        <v/>
      </c>
    </row>
    <row r="171" ht="20" customHeight="1">
      <c r="A171" s="52">
        <f>IF(PRINT_SHEET!A171="","",PRINT_SHEET!A171)</f>
        <v/>
      </c>
      <c r="B171" s="53">
        <f>IF(PRINT_SHEET!B171="","",PRINT_SHEET!B171)</f>
        <v/>
      </c>
      <c r="C171" s="56">
        <f>IF(PRINT_SHEET!C171="","",PRINT_SHEET!C171)</f>
        <v/>
      </c>
      <c r="D171" s="56">
        <f>IF(PRINT_SHEET!D171="","",PRINT_SHEET!D171)</f>
        <v/>
      </c>
      <c r="E171" s="53">
        <f>IF(PRINT_SHEET!E171="","",PRINT_SHEET!E171)</f>
        <v/>
      </c>
      <c r="F171" s="52">
        <f>IF(PRINT_SHEET!F171="","",PRINT_SHEET!F171)</f>
        <v/>
      </c>
      <c r="G171" s="54">
        <f>IF(PRINT_SHEET!G171="","",PRINT_SHEET!G171)</f>
        <v/>
      </c>
      <c r="H171" s="54">
        <f>IF(PRINT_SHEET!H171="","",PRINT_SHEET!H171)</f>
        <v/>
      </c>
      <c r="I171" s="54">
        <f>IF(PRINT_SHEET!I171="","",PRINT_SHEET!I171)</f>
        <v/>
      </c>
      <c r="J171" s="53">
        <f>IFERROR(INDEX({"ادا شدہ","جزوی","بقایا"},MATCH(PRINT_SHEET!J171,{"PAID","PARTIAL","PENDING"},0)),PRINT_SHEET!J171)</f>
        <v/>
      </c>
      <c r="K171" s="55">
        <f>IF(PRINT_SHEET!K171="","",PRINT_SHEET!K171)</f>
        <v/>
      </c>
      <c r="L171" s="53">
        <f>IF(PRINT_SHEET!L171="","",PRINT_SHEET!L171)</f>
        <v/>
      </c>
    </row>
    <row r="172" ht="20" customHeight="1">
      <c r="A172" s="52">
        <f>IF(PRINT_SHEET!A172="","",PRINT_SHEET!A172)</f>
        <v/>
      </c>
      <c r="B172" s="53">
        <f>IF(PRINT_SHEET!B172="","",PRINT_SHEET!B172)</f>
        <v/>
      </c>
      <c r="C172" s="56">
        <f>IF(PRINT_SHEET!C172="","",PRINT_SHEET!C172)</f>
        <v/>
      </c>
      <c r="D172" s="56">
        <f>IF(PRINT_SHEET!D172="","",PRINT_SHEET!D172)</f>
        <v/>
      </c>
      <c r="E172" s="53">
        <f>IF(PRINT_SHEET!E172="","",PRINT_SHEET!E172)</f>
        <v/>
      </c>
      <c r="F172" s="52">
        <f>IF(PRINT_SHEET!F172="","",PRINT_SHEET!F172)</f>
        <v/>
      </c>
      <c r="G172" s="54">
        <f>IF(PRINT_SHEET!G172="","",PRINT_SHEET!G172)</f>
        <v/>
      </c>
      <c r="H172" s="54">
        <f>IF(PRINT_SHEET!H172="","",PRINT_SHEET!H172)</f>
        <v/>
      </c>
      <c r="I172" s="54">
        <f>IF(PRINT_SHEET!I172="","",PRINT_SHEET!I172)</f>
        <v/>
      </c>
      <c r="J172" s="53">
        <f>IFERROR(INDEX({"ادا شدہ","جزوی","بقایا"},MATCH(PRINT_SHEET!J172,{"PAID","PARTIAL","PENDING"},0)),PRINT_SHEET!J172)</f>
        <v/>
      </c>
      <c r="K172" s="55">
        <f>IF(PRINT_SHEET!K172="","",PRINT_SHEET!K172)</f>
        <v/>
      </c>
      <c r="L172" s="53">
        <f>IF(PRINT_SHEET!L172="","",PRINT_SHEET!L172)</f>
        <v/>
      </c>
    </row>
    <row r="173" ht="20" customHeight="1">
      <c r="A173" s="52">
        <f>IF(PRINT_SHEET!A173="","",PRINT_SHEET!A173)</f>
        <v/>
      </c>
      <c r="B173" s="53">
        <f>IF(PRINT_SHEET!B173="","",PRINT_SHEET!B173)</f>
        <v/>
      </c>
      <c r="C173" s="56">
        <f>IF(PRINT_SHEET!C173="","",PRINT_SHEET!C173)</f>
        <v/>
      </c>
      <c r="D173" s="56">
        <f>IF(PRINT_SHEET!D173="","",PRINT_SHEET!D173)</f>
        <v/>
      </c>
      <c r="E173" s="53">
        <f>IF(PRINT_SHEET!E173="","",PRINT_SHEET!E173)</f>
        <v/>
      </c>
      <c r="F173" s="52">
        <f>IF(PRINT_SHEET!F173="","",PRINT_SHEET!F173)</f>
        <v/>
      </c>
      <c r="G173" s="54">
        <f>IF(PRINT_SHEET!G173="","",PRINT_SHEET!G173)</f>
        <v/>
      </c>
      <c r="H173" s="54">
        <f>IF(PRINT_SHEET!H173="","",PRINT_SHEET!H173)</f>
        <v/>
      </c>
      <c r="I173" s="54">
        <f>IF(PRINT_SHEET!I173="","",PRINT_SHEET!I173)</f>
        <v/>
      </c>
      <c r="J173" s="53">
        <f>IFERROR(INDEX({"ادا شدہ","جزوی","بقایا"},MATCH(PRINT_SHEET!J173,{"PAID","PARTIAL","PENDING"},0)),PRINT_SHEET!J173)</f>
        <v/>
      </c>
      <c r="K173" s="55">
        <f>IF(PRINT_SHEET!K173="","",PRINT_SHEET!K173)</f>
        <v/>
      </c>
      <c r="L173" s="53">
        <f>IF(PRINT_SHEET!L173="","",PRINT_SHEET!L173)</f>
        <v/>
      </c>
    </row>
    <row r="174" ht="20" customHeight="1">
      <c r="A174" s="52">
        <f>IF(PRINT_SHEET!A174="","",PRINT_SHEET!A174)</f>
        <v/>
      </c>
      <c r="B174" s="53">
        <f>IF(PRINT_SHEET!B174="","",PRINT_SHEET!B174)</f>
        <v/>
      </c>
      <c r="C174" s="56">
        <f>IF(PRINT_SHEET!C174="","",PRINT_SHEET!C174)</f>
        <v/>
      </c>
      <c r="D174" s="56">
        <f>IF(PRINT_SHEET!D174="","",PRINT_SHEET!D174)</f>
        <v/>
      </c>
      <c r="E174" s="53">
        <f>IF(PRINT_SHEET!E174="","",PRINT_SHEET!E174)</f>
        <v/>
      </c>
      <c r="F174" s="52">
        <f>IF(PRINT_SHEET!F174="","",PRINT_SHEET!F174)</f>
        <v/>
      </c>
      <c r="G174" s="54">
        <f>IF(PRINT_SHEET!G174="","",PRINT_SHEET!G174)</f>
        <v/>
      </c>
      <c r="H174" s="54">
        <f>IF(PRINT_SHEET!H174="","",PRINT_SHEET!H174)</f>
        <v/>
      </c>
      <c r="I174" s="54">
        <f>IF(PRINT_SHEET!I174="","",PRINT_SHEET!I174)</f>
        <v/>
      </c>
      <c r="J174" s="53">
        <f>IFERROR(INDEX({"ادا شدہ","جزوی","بقایا"},MATCH(PRINT_SHEET!J174,{"PAID","PARTIAL","PENDING"},0)),PRINT_SHEET!J174)</f>
        <v/>
      </c>
      <c r="K174" s="55">
        <f>IF(PRINT_SHEET!K174="","",PRINT_SHEET!K174)</f>
        <v/>
      </c>
      <c r="L174" s="53">
        <f>IF(PRINT_SHEET!L174="","",PRINT_SHEET!L174)</f>
        <v/>
      </c>
    </row>
    <row r="175" ht="20" customHeight="1">
      <c r="A175" s="52">
        <f>IF(PRINT_SHEET!A175="","",PRINT_SHEET!A175)</f>
        <v/>
      </c>
      <c r="B175" s="53">
        <f>IF(PRINT_SHEET!B175="","",PRINT_SHEET!B175)</f>
        <v/>
      </c>
      <c r="C175" s="56">
        <f>IF(PRINT_SHEET!C175="","",PRINT_SHEET!C175)</f>
        <v/>
      </c>
      <c r="D175" s="56">
        <f>IF(PRINT_SHEET!D175="","",PRINT_SHEET!D175)</f>
        <v/>
      </c>
      <c r="E175" s="53">
        <f>IF(PRINT_SHEET!E175="","",PRINT_SHEET!E175)</f>
        <v/>
      </c>
      <c r="F175" s="52">
        <f>IF(PRINT_SHEET!F175="","",PRINT_SHEET!F175)</f>
        <v/>
      </c>
      <c r="G175" s="54">
        <f>IF(PRINT_SHEET!G175="","",PRINT_SHEET!G175)</f>
        <v/>
      </c>
      <c r="H175" s="54">
        <f>IF(PRINT_SHEET!H175="","",PRINT_SHEET!H175)</f>
        <v/>
      </c>
      <c r="I175" s="54">
        <f>IF(PRINT_SHEET!I175="","",PRINT_SHEET!I175)</f>
        <v/>
      </c>
      <c r="J175" s="53">
        <f>IFERROR(INDEX({"ادا شدہ","جزوی","بقایا"},MATCH(PRINT_SHEET!J175,{"PAID","PARTIAL","PENDING"},0)),PRINT_SHEET!J175)</f>
        <v/>
      </c>
      <c r="K175" s="55">
        <f>IF(PRINT_SHEET!K175="","",PRINT_SHEET!K175)</f>
        <v/>
      </c>
      <c r="L175" s="53">
        <f>IF(PRINT_SHEET!L175="","",PRINT_SHEET!L175)</f>
        <v/>
      </c>
    </row>
    <row r="176" ht="20" customHeight="1">
      <c r="A176" s="52">
        <f>IF(PRINT_SHEET!A176="","",PRINT_SHEET!A176)</f>
        <v/>
      </c>
      <c r="B176" s="53">
        <f>IF(PRINT_SHEET!B176="","",PRINT_SHEET!B176)</f>
        <v/>
      </c>
      <c r="C176" s="56">
        <f>IF(PRINT_SHEET!C176="","",PRINT_SHEET!C176)</f>
        <v/>
      </c>
      <c r="D176" s="56">
        <f>IF(PRINT_SHEET!D176="","",PRINT_SHEET!D176)</f>
        <v/>
      </c>
      <c r="E176" s="53">
        <f>IF(PRINT_SHEET!E176="","",PRINT_SHEET!E176)</f>
        <v/>
      </c>
      <c r="F176" s="52">
        <f>IF(PRINT_SHEET!F176="","",PRINT_SHEET!F176)</f>
        <v/>
      </c>
      <c r="G176" s="54">
        <f>IF(PRINT_SHEET!G176="","",PRINT_SHEET!G176)</f>
        <v/>
      </c>
      <c r="H176" s="54">
        <f>IF(PRINT_SHEET!H176="","",PRINT_SHEET!H176)</f>
        <v/>
      </c>
      <c r="I176" s="54">
        <f>IF(PRINT_SHEET!I176="","",PRINT_SHEET!I176)</f>
        <v/>
      </c>
      <c r="J176" s="53">
        <f>IFERROR(INDEX({"ادا شدہ","جزوی","بقایا"},MATCH(PRINT_SHEET!J176,{"PAID","PARTIAL","PENDING"},0)),PRINT_SHEET!J176)</f>
        <v/>
      </c>
      <c r="K176" s="55">
        <f>IF(PRINT_SHEET!K176="","",PRINT_SHEET!K176)</f>
        <v/>
      </c>
      <c r="L176" s="53">
        <f>IF(PRINT_SHEET!L176="","",PRINT_SHEET!L176)</f>
        <v/>
      </c>
    </row>
    <row r="177" ht="20" customHeight="1">
      <c r="A177" s="52">
        <f>IF(PRINT_SHEET!A177="","",PRINT_SHEET!A177)</f>
        <v/>
      </c>
      <c r="B177" s="53">
        <f>IF(PRINT_SHEET!B177="","",PRINT_SHEET!B177)</f>
        <v/>
      </c>
      <c r="C177" s="56">
        <f>IF(PRINT_SHEET!C177="","",PRINT_SHEET!C177)</f>
        <v/>
      </c>
      <c r="D177" s="56">
        <f>IF(PRINT_SHEET!D177="","",PRINT_SHEET!D177)</f>
        <v/>
      </c>
      <c r="E177" s="53">
        <f>IF(PRINT_SHEET!E177="","",PRINT_SHEET!E177)</f>
        <v/>
      </c>
      <c r="F177" s="52">
        <f>IF(PRINT_SHEET!F177="","",PRINT_SHEET!F177)</f>
        <v/>
      </c>
      <c r="G177" s="54">
        <f>IF(PRINT_SHEET!G177="","",PRINT_SHEET!G177)</f>
        <v/>
      </c>
      <c r="H177" s="54">
        <f>IF(PRINT_SHEET!H177="","",PRINT_SHEET!H177)</f>
        <v/>
      </c>
      <c r="I177" s="54">
        <f>IF(PRINT_SHEET!I177="","",PRINT_SHEET!I177)</f>
        <v/>
      </c>
      <c r="J177" s="53">
        <f>IFERROR(INDEX({"ادا شدہ","جزوی","بقایا"},MATCH(PRINT_SHEET!J177,{"PAID","PARTIAL","PENDING"},0)),PRINT_SHEET!J177)</f>
        <v/>
      </c>
      <c r="K177" s="55">
        <f>IF(PRINT_SHEET!K177="","",PRINT_SHEET!K177)</f>
        <v/>
      </c>
      <c r="L177" s="53">
        <f>IF(PRINT_SHEET!L177="","",PRINT_SHEET!L177)</f>
        <v/>
      </c>
    </row>
    <row r="178" ht="20" customHeight="1">
      <c r="A178" s="52">
        <f>IF(PRINT_SHEET!A178="","",PRINT_SHEET!A178)</f>
        <v/>
      </c>
      <c r="B178" s="53">
        <f>IF(PRINT_SHEET!B178="","",PRINT_SHEET!B178)</f>
        <v/>
      </c>
      <c r="C178" s="56">
        <f>IF(PRINT_SHEET!C178="","",PRINT_SHEET!C178)</f>
        <v/>
      </c>
      <c r="D178" s="56">
        <f>IF(PRINT_SHEET!D178="","",PRINT_SHEET!D178)</f>
        <v/>
      </c>
      <c r="E178" s="53">
        <f>IF(PRINT_SHEET!E178="","",PRINT_SHEET!E178)</f>
        <v/>
      </c>
      <c r="F178" s="52">
        <f>IF(PRINT_SHEET!F178="","",PRINT_SHEET!F178)</f>
        <v/>
      </c>
      <c r="G178" s="54">
        <f>IF(PRINT_SHEET!G178="","",PRINT_SHEET!G178)</f>
        <v/>
      </c>
      <c r="H178" s="54">
        <f>IF(PRINT_SHEET!H178="","",PRINT_SHEET!H178)</f>
        <v/>
      </c>
      <c r="I178" s="54">
        <f>IF(PRINT_SHEET!I178="","",PRINT_SHEET!I178)</f>
        <v/>
      </c>
      <c r="J178" s="53">
        <f>IFERROR(INDEX({"ادا شدہ","جزوی","بقایا"},MATCH(PRINT_SHEET!J178,{"PAID","PARTIAL","PENDING"},0)),PRINT_SHEET!J178)</f>
        <v/>
      </c>
      <c r="K178" s="55">
        <f>IF(PRINT_SHEET!K178="","",PRINT_SHEET!K178)</f>
        <v/>
      </c>
      <c r="L178" s="53">
        <f>IF(PRINT_SHEET!L178="","",PRINT_SHEET!L178)</f>
        <v/>
      </c>
    </row>
    <row r="179" ht="20" customHeight="1">
      <c r="A179" s="52">
        <f>IF(PRINT_SHEET!A179="","",PRINT_SHEET!A179)</f>
        <v/>
      </c>
      <c r="B179" s="53">
        <f>IF(PRINT_SHEET!B179="","",PRINT_SHEET!B179)</f>
        <v/>
      </c>
      <c r="C179" s="56">
        <f>IF(PRINT_SHEET!C179="","",PRINT_SHEET!C179)</f>
        <v/>
      </c>
      <c r="D179" s="56">
        <f>IF(PRINT_SHEET!D179="","",PRINT_SHEET!D179)</f>
        <v/>
      </c>
      <c r="E179" s="53">
        <f>IF(PRINT_SHEET!E179="","",PRINT_SHEET!E179)</f>
        <v/>
      </c>
      <c r="F179" s="52">
        <f>IF(PRINT_SHEET!F179="","",PRINT_SHEET!F179)</f>
        <v/>
      </c>
      <c r="G179" s="54">
        <f>IF(PRINT_SHEET!G179="","",PRINT_SHEET!G179)</f>
        <v/>
      </c>
      <c r="H179" s="54">
        <f>IF(PRINT_SHEET!H179="","",PRINT_SHEET!H179)</f>
        <v/>
      </c>
      <c r="I179" s="54">
        <f>IF(PRINT_SHEET!I179="","",PRINT_SHEET!I179)</f>
        <v/>
      </c>
      <c r="J179" s="53">
        <f>IFERROR(INDEX({"ادا شدہ","جزوی","بقایا"},MATCH(PRINT_SHEET!J179,{"PAID","PARTIAL","PENDING"},0)),PRINT_SHEET!J179)</f>
        <v/>
      </c>
      <c r="K179" s="55">
        <f>IF(PRINT_SHEET!K179="","",PRINT_SHEET!K179)</f>
        <v/>
      </c>
      <c r="L179" s="53">
        <f>IF(PRINT_SHEET!L179="","",PRINT_SHEET!L179)</f>
        <v/>
      </c>
    </row>
    <row r="180" ht="20" customHeight="1">
      <c r="A180" s="52">
        <f>IF(PRINT_SHEET!A180="","",PRINT_SHEET!A180)</f>
        <v/>
      </c>
      <c r="B180" s="53">
        <f>IF(PRINT_SHEET!B180="","",PRINT_SHEET!B180)</f>
        <v/>
      </c>
      <c r="C180" s="56">
        <f>IF(PRINT_SHEET!C180="","",PRINT_SHEET!C180)</f>
        <v/>
      </c>
      <c r="D180" s="56">
        <f>IF(PRINT_SHEET!D180="","",PRINT_SHEET!D180)</f>
        <v/>
      </c>
      <c r="E180" s="53">
        <f>IF(PRINT_SHEET!E180="","",PRINT_SHEET!E180)</f>
        <v/>
      </c>
      <c r="F180" s="52">
        <f>IF(PRINT_SHEET!F180="","",PRINT_SHEET!F180)</f>
        <v/>
      </c>
      <c r="G180" s="54">
        <f>IF(PRINT_SHEET!G180="","",PRINT_SHEET!G180)</f>
        <v/>
      </c>
      <c r="H180" s="54">
        <f>IF(PRINT_SHEET!H180="","",PRINT_SHEET!H180)</f>
        <v/>
      </c>
      <c r="I180" s="54">
        <f>IF(PRINT_SHEET!I180="","",PRINT_SHEET!I180)</f>
        <v/>
      </c>
      <c r="J180" s="53">
        <f>IFERROR(INDEX({"ادا شدہ","جزوی","بقایا"},MATCH(PRINT_SHEET!J180,{"PAID","PARTIAL","PENDING"},0)),PRINT_SHEET!J180)</f>
        <v/>
      </c>
      <c r="K180" s="55">
        <f>IF(PRINT_SHEET!K180="","",PRINT_SHEET!K180)</f>
        <v/>
      </c>
      <c r="L180" s="53">
        <f>IF(PRINT_SHEET!L180="","",PRINT_SHEET!L180)</f>
        <v/>
      </c>
    </row>
    <row r="181" ht="20" customHeight="1">
      <c r="A181" s="52">
        <f>IF(PRINT_SHEET!A181="","",PRINT_SHEET!A181)</f>
        <v/>
      </c>
      <c r="B181" s="53">
        <f>IF(PRINT_SHEET!B181="","",PRINT_SHEET!B181)</f>
        <v/>
      </c>
      <c r="C181" s="56">
        <f>IF(PRINT_SHEET!C181="","",PRINT_SHEET!C181)</f>
        <v/>
      </c>
      <c r="D181" s="56">
        <f>IF(PRINT_SHEET!D181="","",PRINT_SHEET!D181)</f>
        <v/>
      </c>
      <c r="E181" s="53">
        <f>IF(PRINT_SHEET!E181="","",PRINT_SHEET!E181)</f>
        <v/>
      </c>
      <c r="F181" s="52">
        <f>IF(PRINT_SHEET!F181="","",PRINT_SHEET!F181)</f>
        <v/>
      </c>
      <c r="G181" s="54">
        <f>IF(PRINT_SHEET!G181="","",PRINT_SHEET!G181)</f>
        <v/>
      </c>
      <c r="H181" s="54">
        <f>IF(PRINT_SHEET!H181="","",PRINT_SHEET!H181)</f>
        <v/>
      </c>
      <c r="I181" s="54">
        <f>IF(PRINT_SHEET!I181="","",PRINT_SHEET!I181)</f>
        <v/>
      </c>
      <c r="J181" s="53">
        <f>IFERROR(INDEX({"ادا شدہ","جزوی","بقایا"},MATCH(PRINT_SHEET!J181,{"PAID","PARTIAL","PENDING"},0)),PRINT_SHEET!J181)</f>
        <v/>
      </c>
      <c r="K181" s="55">
        <f>IF(PRINT_SHEET!K181="","",PRINT_SHEET!K181)</f>
        <v/>
      </c>
      <c r="L181" s="53">
        <f>IF(PRINT_SHEET!L181="","",PRINT_SHEET!L181)</f>
        <v/>
      </c>
    </row>
    <row r="182" ht="20" customHeight="1">
      <c r="A182" s="52">
        <f>IF(PRINT_SHEET!A182="","",PRINT_SHEET!A182)</f>
        <v/>
      </c>
      <c r="B182" s="53">
        <f>IF(PRINT_SHEET!B182="","",PRINT_SHEET!B182)</f>
        <v/>
      </c>
      <c r="C182" s="56">
        <f>IF(PRINT_SHEET!C182="","",PRINT_SHEET!C182)</f>
        <v/>
      </c>
      <c r="D182" s="56">
        <f>IF(PRINT_SHEET!D182="","",PRINT_SHEET!D182)</f>
        <v/>
      </c>
      <c r="E182" s="53">
        <f>IF(PRINT_SHEET!E182="","",PRINT_SHEET!E182)</f>
        <v/>
      </c>
      <c r="F182" s="52">
        <f>IF(PRINT_SHEET!F182="","",PRINT_SHEET!F182)</f>
        <v/>
      </c>
      <c r="G182" s="54">
        <f>IF(PRINT_SHEET!G182="","",PRINT_SHEET!G182)</f>
        <v/>
      </c>
      <c r="H182" s="54">
        <f>IF(PRINT_SHEET!H182="","",PRINT_SHEET!H182)</f>
        <v/>
      </c>
      <c r="I182" s="54">
        <f>IF(PRINT_SHEET!I182="","",PRINT_SHEET!I182)</f>
        <v/>
      </c>
      <c r="J182" s="53">
        <f>IFERROR(INDEX({"ادا شدہ","جزوی","بقایا"},MATCH(PRINT_SHEET!J182,{"PAID","PARTIAL","PENDING"},0)),PRINT_SHEET!J182)</f>
        <v/>
      </c>
      <c r="K182" s="55">
        <f>IF(PRINT_SHEET!K182="","",PRINT_SHEET!K182)</f>
        <v/>
      </c>
      <c r="L182" s="53">
        <f>IF(PRINT_SHEET!L182="","",PRINT_SHEET!L182)</f>
        <v/>
      </c>
    </row>
    <row r="183" ht="20" customHeight="1">
      <c r="A183" s="52">
        <f>IF(PRINT_SHEET!A183="","",PRINT_SHEET!A183)</f>
        <v/>
      </c>
      <c r="B183" s="53">
        <f>IF(PRINT_SHEET!B183="","",PRINT_SHEET!B183)</f>
        <v/>
      </c>
      <c r="C183" s="56">
        <f>IF(PRINT_SHEET!C183="","",PRINT_SHEET!C183)</f>
        <v/>
      </c>
      <c r="D183" s="56">
        <f>IF(PRINT_SHEET!D183="","",PRINT_SHEET!D183)</f>
        <v/>
      </c>
      <c r="E183" s="53">
        <f>IF(PRINT_SHEET!E183="","",PRINT_SHEET!E183)</f>
        <v/>
      </c>
      <c r="F183" s="52">
        <f>IF(PRINT_SHEET!F183="","",PRINT_SHEET!F183)</f>
        <v/>
      </c>
      <c r="G183" s="54">
        <f>IF(PRINT_SHEET!G183="","",PRINT_SHEET!G183)</f>
        <v/>
      </c>
      <c r="H183" s="54">
        <f>IF(PRINT_SHEET!H183="","",PRINT_SHEET!H183)</f>
        <v/>
      </c>
      <c r="I183" s="54">
        <f>IF(PRINT_SHEET!I183="","",PRINT_SHEET!I183)</f>
        <v/>
      </c>
      <c r="J183" s="53">
        <f>IFERROR(INDEX({"ادا شدہ","جزوی","بقایا"},MATCH(PRINT_SHEET!J183,{"PAID","PARTIAL","PENDING"},0)),PRINT_SHEET!J183)</f>
        <v/>
      </c>
      <c r="K183" s="55">
        <f>IF(PRINT_SHEET!K183="","",PRINT_SHEET!K183)</f>
        <v/>
      </c>
      <c r="L183" s="53">
        <f>IF(PRINT_SHEET!L183="","",PRINT_SHEET!L183)</f>
        <v/>
      </c>
    </row>
    <row r="184" ht="20" customHeight="1">
      <c r="A184" s="52">
        <f>IF(PRINT_SHEET!A184="","",PRINT_SHEET!A184)</f>
        <v/>
      </c>
      <c r="B184" s="53">
        <f>IF(PRINT_SHEET!B184="","",PRINT_SHEET!B184)</f>
        <v/>
      </c>
      <c r="C184" s="56">
        <f>IF(PRINT_SHEET!C184="","",PRINT_SHEET!C184)</f>
        <v/>
      </c>
      <c r="D184" s="56">
        <f>IF(PRINT_SHEET!D184="","",PRINT_SHEET!D184)</f>
        <v/>
      </c>
      <c r="E184" s="53">
        <f>IF(PRINT_SHEET!E184="","",PRINT_SHEET!E184)</f>
        <v/>
      </c>
      <c r="F184" s="52">
        <f>IF(PRINT_SHEET!F184="","",PRINT_SHEET!F184)</f>
        <v/>
      </c>
      <c r="G184" s="54">
        <f>IF(PRINT_SHEET!G184="","",PRINT_SHEET!G184)</f>
        <v/>
      </c>
      <c r="H184" s="54">
        <f>IF(PRINT_SHEET!H184="","",PRINT_SHEET!H184)</f>
        <v/>
      </c>
      <c r="I184" s="54">
        <f>IF(PRINT_SHEET!I184="","",PRINT_SHEET!I184)</f>
        <v/>
      </c>
      <c r="J184" s="53">
        <f>IFERROR(INDEX({"ادا شدہ","جزوی","بقایا"},MATCH(PRINT_SHEET!J184,{"PAID","PARTIAL","PENDING"},0)),PRINT_SHEET!J184)</f>
        <v/>
      </c>
      <c r="K184" s="55">
        <f>IF(PRINT_SHEET!K184="","",PRINT_SHEET!K184)</f>
        <v/>
      </c>
      <c r="L184" s="53">
        <f>IF(PRINT_SHEET!L184="","",PRINT_SHEET!L184)</f>
        <v/>
      </c>
    </row>
    <row r="185" ht="20" customHeight="1">
      <c r="A185" s="52">
        <f>IF(PRINT_SHEET!A185="","",PRINT_SHEET!A185)</f>
        <v/>
      </c>
      <c r="B185" s="53">
        <f>IF(PRINT_SHEET!B185="","",PRINT_SHEET!B185)</f>
        <v/>
      </c>
      <c r="C185" s="56">
        <f>IF(PRINT_SHEET!C185="","",PRINT_SHEET!C185)</f>
        <v/>
      </c>
      <c r="D185" s="56">
        <f>IF(PRINT_SHEET!D185="","",PRINT_SHEET!D185)</f>
        <v/>
      </c>
      <c r="E185" s="53">
        <f>IF(PRINT_SHEET!E185="","",PRINT_SHEET!E185)</f>
        <v/>
      </c>
      <c r="F185" s="52">
        <f>IF(PRINT_SHEET!F185="","",PRINT_SHEET!F185)</f>
        <v/>
      </c>
      <c r="G185" s="54">
        <f>IF(PRINT_SHEET!G185="","",PRINT_SHEET!G185)</f>
        <v/>
      </c>
      <c r="H185" s="54">
        <f>IF(PRINT_SHEET!H185="","",PRINT_SHEET!H185)</f>
        <v/>
      </c>
      <c r="I185" s="54">
        <f>IF(PRINT_SHEET!I185="","",PRINT_SHEET!I185)</f>
        <v/>
      </c>
      <c r="J185" s="53">
        <f>IFERROR(INDEX({"ادا شدہ","جزوی","بقایا"},MATCH(PRINT_SHEET!J185,{"PAID","PARTIAL","PENDING"},0)),PRINT_SHEET!J185)</f>
        <v/>
      </c>
      <c r="K185" s="55">
        <f>IF(PRINT_SHEET!K185="","",PRINT_SHEET!K185)</f>
        <v/>
      </c>
      <c r="L185" s="53">
        <f>IF(PRINT_SHEET!L185="","",PRINT_SHEET!L185)</f>
        <v/>
      </c>
    </row>
    <row r="186" ht="20" customHeight="1">
      <c r="A186" s="52">
        <f>IF(PRINT_SHEET!A186="","",PRINT_SHEET!A186)</f>
        <v/>
      </c>
      <c r="B186" s="53">
        <f>IF(PRINT_SHEET!B186="","",PRINT_SHEET!B186)</f>
        <v/>
      </c>
      <c r="C186" s="56">
        <f>IF(PRINT_SHEET!C186="","",PRINT_SHEET!C186)</f>
        <v/>
      </c>
      <c r="D186" s="56">
        <f>IF(PRINT_SHEET!D186="","",PRINT_SHEET!D186)</f>
        <v/>
      </c>
      <c r="E186" s="53">
        <f>IF(PRINT_SHEET!E186="","",PRINT_SHEET!E186)</f>
        <v/>
      </c>
      <c r="F186" s="52">
        <f>IF(PRINT_SHEET!F186="","",PRINT_SHEET!F186)</f>
        <v/>
      </c>
      <c r="G186" s="54">
        <f>IF(PRINT_SHEET!G186="","",PRINT_SHEET!G186)</f>
        <v/>
      </c>
      <c r="H186" s="54">
        <f>IF(PRINT_SHEET!H186="","",PRINT_SHEET!H186)</f>
        <v/>
      </c>
      <c r="I186" s="54">
        <f>IF(PRINT_SHEET!I186="","",PRINT_SHEET!I186)</f>
        <v/>
      </c>
      <c r="J186" s="53">
        <f>IFERROR(INDEX({"ادا شدہ","جزوی","بقایا"},MATCH(PRINT_SHEET!J186,{"PAID","PARTIAL","PENDING"},0)),PRINT_SHEET!J186)</f>
        <v/>
      </c>
      <c r="K186" s="55">
        <f>IF(PRINT_SHEET!K186="","",PRINT_SHEET!K186)</f>
        <v/>
      </c>
      <c r="L186" s="53">
        <f>IF(PRINT_SHEET!L186="","",PRINT_SHEET!L186)</f>
        <v/>
      </c>
    </row>
    <row r="187" ht="20" customHeight="1">
      <c r="A187" s="52">
        <f>IF(PRINT_SHEET!A187="","",PRINT_SHEET!A187)</f>
        <v/>
      </c>
      <c r="B187" s="53">
        <f>IF(PRINT_SHEET!B187="","",PRINT_SHEET!B187)</f>
        <v/>
      </c>
      <c r="C187" s="56">
        <f>IF(PRINT_SHEET!C187="","",PRINT_SHEET!C187)</f>
        <v/>
      </c>
      <c r="D187" s="56">
        <f>IF(PRINT_SHEET!D187="","",PRINT_SHEET!D187)</f>
        <v/>
      </c>
      <c r="E187" s="53">
        <f>IF(PRINT_SHEET!E187="","",PRINT_SHEET!E187)</f>
        <v/>
      </c>
      <c r="F187" s="52">
        <f>IF(PRINT_SHEET!F187="","",PRINT_SHEET!F187)</f>
        <v/>
      </c>
      <c r="G187" s="54">
        <f>IF(PRINT_SHEET!G187="","",PRINT_SHEET!G187)</f>
        <v/>
      </c>
      <c r="H187" s="54">
        <f>IF(PRINT_SHEET!H187="","",PRINT_SHEET!H187)</f>
        <v/>
      </c>
      <c r="I187" s="54">
        <f>IF(PRINT_SHEET!I187="","",PRINT_SHEET!I187)</f>
        <v/>
      </c>
      <c r="J187" s="53">
        <f>IFERROR(INDEX({"ادا شدہ","جزوی","بقایا"},MATCH(PRINT_SHEET!J187,{"PAID","PARTIAL","PENDING"},0)),PRINT_SHEET!J187)</f>
        <v/>
      </c>
      <c r="K187" s="55">
        <f>IF(PRINT_SHEET!K187="","",PRINT_SHEET!K187)</f>
        <v/>
      </c>
      <c r="L187" s="53">
        <f>IF(PRINT_SHEET!L187="","",PRINT_SHEET!L187)</f>
        <v/>
      </c>
    </row>
    <row r="188" ht="20" customHeight="1">
      <c r="A188" s="52">
        <f>IF(PRINT_SHEET!A188="","",PRINT_SHEET!A188)</f>
        <v/>
      </c>
      <c r="B188" s="53">
        <f>IF(PRINT_SHEET!B188="","",PRINT_SHEET!B188)</f>
        <v/>
      </c>
      <c r="C188" s="56">
        <f>IF(PRINT_SHEET!C188="","",PRINT_SHEET!C188)</f>
        <v/>
      </c>
      <c r="D188" s="56">
        <f>IF(PRINT_SHEET!D188="","",PRINT_SHEET!D188)</f>
        <v/>
      </c>
      <c r="E188" s="53">
        <f>IF(PRINT_SHEET!E188="","",PRINT_SHEET!E188)</f>
        <v/>
      </c>
      <c r="F188" s="52">
        <f>IF(PRINT_SHEET!F188="","",PRINT_SHEET!F188)</f>
        <v/>
      </c>
      <c r="G188" s="54">
        <f>IF(PRINT_SHEET!G188="","",PRINT_SHEET!G188)</f>
        <v/>
      </c>
      <c r="H188" s="54">
        <f>IF(PRINT_SHEET!H188="","",PRINT_SHEET!H188)</f>
        <v/>
      </c>
      <c r="I188" s="54">
        <f>IF(PRINT_SHEET!I188="","",PRINT_SHEET!I188)</f>
        <v/>
      </c>
      <c r="J188" s="53">
        <f>IFERROR(INDEX({"ادا شدہ","جزوی","بقایا"},MATCH(PRINT_SHEET!J188,{"PAID","PARTIAL","PENDING"},0)),PRINT_SHEET!J188)</f>
        <v/>
      </c>
      <c r="K188" s="55">
        <f>IF(PRINT_SHEET!K188="","",PRINT_SHEET!K188)</f>
        <v/>
      </c>
      <c r="L188" s="53">
        <f>IF(PRINT_SHEET!L188="","",PRINT_SHEET!L188)</f>
        <v/>
      </c>
    </row>
    <row r="189" ht="20" customHeight="1">
      <c r="A189" s="52">
        <f>IF(PRINT_SHEET!A189="","",PRINT_SHEET!A189)</f>
        <v/>
      </c>
      <c r="B189" s="53">
        <f>IF(PRINT_SHEET!B189="","",PRINT_SHEET!B189)</f>
        <v/>
      </c>
      <c r="C189" s="56">
        <f>IF(PRINT_SHEET!C189="","",PRINT_SHEET!C189)</f>
        <v/>
      </c>
      <c r="D189" s="56">
        <f>IF(PRINT_SHEET!D189="","",PRINT_SHEET!D189)</f>
        <v/>
      </c>
      <c r="E189" s="53">
        <f>IF(PRINT_SHEET!E189="","",PRINT_SHEET!E189)</f>
        <v/>
      </c>
      <c r="F189" s="52">
        <f>IF(PRINT_SHEET!F189="","",PRINT_SHEET!F189)</f>
        <v/>
      </c>
      <c r="G189" s="54">
        <f>IF(PRINT_SHEET!G189="","",PRINT_SHEET!G189)</f>
        <v/>
      </c>
      <c r="H189" s="54">
        <f>IF(PRINT_SHEET!H189="","",PRINT_SHEET!H189)</f>
        <v/>
      </c>
      <c r="I189" s="54">
        <f>IF(PRINT_SHEET!I189="","",PRINT_SHEET!I189)</f>
        <v/>
      </c>
      <c r="J189" s="53">
        <f>IFERROR(INDEX({"ادا شدہ","جزوی","بقایا"},MATCH(PRINT_SHEET!J189,{"PAID","PARTIAL","PENDING"},0)),PRINT_SHEET!J189)</f>
        <v/>
      </c>
      <c r="K189" s="55">
        <f>IF(PRINT_SHEET!K189="","",PRINT_SHEET!K189)</f>
        <v/>
      </c>
      <c r="L189" s="53">
        <f>IF(PRINT_SHEET!L189="","",PRINT_SHEET!L189)</f>
        <v/>
      </c>
    </row>
    <row r="190" ht="20" customHeight="1">
      <c r="A190" s="52">
        <f>IF(PRINT_SHEET!A190="","",PRINT_SHEET!A190)</f>
        <v/>
      </c>
      <c r="B190" s="53">
        <f>IF(PRINT_SHEET!B190="","",PRINT_SHEET!B190)</f>
        <v/>
      </c>
      <c r="C190" s="56">
        <f>IF(PRINT_SHEET!C190="","",PRINT_SHEET!C190)</f>
        <v/>
      </c>
      <c r="D190" s="56">
        <f>IF(PRINT_SHEET!D190="","",PRINT_SHEET!D190)</f>
        <v/>
      </c>
      <c r="E190" s="53">
        <f>IF(PRINT_SHEET!E190="","",PRINT_SHEET!E190)</f>
        <v/>
      </c>
      <c r="F190" s="52">
        <f>IF(PRINT_SHEET!F190="","",PRINT_SHEET!F190)</f>
        <v/>
      </c>
      <c r="G190" s="54">
        <f>IF(PRINT_SHEET!G190="","",PRINT_SHEET!G190)</f>
        <v/>
      </c>
      <c r="H190" s="54">
        <f>IF(PRINT_SHEET!H190="","",PRINT_SHEET!H190)</f>
        <v/>
      </c>
      <c r="I190" s="54">
        <f>IF(PRINT_SHEET!I190="","",PRINT_SHEET!I190)</f>
        <v/>
      </c>
      <c r="J190" s="53">
        <f>IFERROR(INDEX({"ادا شدہ","جزوی","بقایا"},MATCH(PRINT_SHEET!J190,{"PAID","PARTIAL","PENDING"},0)),PRINT_SHEET!J190)</f>
        <v/>
      </c>
      <c r="K190" s="55">
        <f>IF(PRINT_SHEET!K190="","",PRINT_SHEET!K190)</f>
        <v/>
      </c>
      <c r="L190" s="53">
        <f>IF(PRINT_SHEET!L190="","",PRINT_SHEET!L190)</f>
        <v/>
      </c>
    </row>
    <row r="191" ht="20" customHeight="1">
      <c r="A191" s="52">
        <f>IF(PRINT_SHEET!A191="","",PRINT_SHEET!A191)</f>
        <v/>
      </c>
      <c r="B191" s="53">
        <f>IF(PRINT_SHEET!B191="","",PRINT_SHEET!B191)</f>
        <v/>
      </c>
      <c r="C191" s="56">
        <f>IF(PRINT_SHEET!C191="","",PRINT_SHEET!C191)</f>
        <v/>
      </c>
      <c r="D191" s="56">
        <f>IF(PRINT_SHEET!D191="","",PRINT_SHEET!D191)</f>
        <v/>
      </c>
      <c r="E191" s="53">
        <f>IF(PRINT_SHEET!E191="","",PRINT_SHEET!E191)</f>
        <v/>
      </c>
      <c r="F191" s="52">
        <f>IF(PRINT_SHEET!F191="","",PRINT_SHEET!F191)</f>
        <v/>
      </c>
      <c r="G191" s="54">
        <f>IF(PRINT_SHEET!G191="","",PRINT_SHEET!G191)</f>
        <v/>
      </c>
      <c r="H191" s="54">
        <f>IF(PRINT_SHEET!H191="","",PRINT_SHEET!H191)</f>
        <v/>
      </c>
      <c r="I191" s="54">
        <f>IF(PRINT_SHEET!I191="","",PRINT_SHEET!I191)</f>
        <v/>
      </c>
      <c r="J191" s="53">
        <f>IFERROR(INDEX({"ادا شدہ","جزوی","بقایا"},MATCH(PRINT_SHEET!J191,{"PAID","PARTIAL","PENDING"},0)),PRINT_SHEET!J191)</f>
        <v/>
      </c>
      <c r="K191" s="55">
        <f>IF(PRINT_SHEET!K191="","",PRINT_SHEET!K191)</f>
        <v/>
      </c>
      <c r="L191" s="53">
        <f>IF(PRINT_SHEET!L191="","",PRINT_SHEET!L191)</f>
        <v/>
      </c>
    </row>
    <row r="192" ht="20" customHeight="1">
      <c r="A192" s="52">
        <f>IF(PRINT_SHEET!A192="","",PRINT_SHEET!A192)</f>
        <v/>
      </c>
      <c r="B192" s="53">
        <f>IF(PRINT_SHEET!B192="","",PRINT_SHEET!B192)</f>
        <v/>
      </c>
      <c r="C192" s="56">
        <f>IF(PRINT_SHEET!C192="","",PRINT_SHEET!C192)</f>
        <v/>
      </c>
      <c r="D192" s="56">
        <f>IF(PRINT_SHEET!D192="","",PRINT_SHEET!D192)</f>
        <v/>
      </c>
      <c r="E192" s="53">
        <f>IF(PRINT_SHEET!E192="","",PRINT_SHEET!E192)</f>
        <v/>
      </c>
      <c r="F192" s="52">
        <f>IF(PRINT_SHEET!F192="","",PRINT_SHEET!F192)</f>
        <v/>
      </c>
      <c r="G192" s="54">
        <f>IF(PRINT_SHEET!G192="","",PRINT_SHEET!G192)</f>
        <v/>
      </c>
      <c r="H192" s="54">
        <f>IF(PRINT_SHEET!H192="","",PRINT_SHEET!H192)</f>
        <v/>
      </c>
      <c r="I192" s="54">
        <f>IF(PRINT_SHEET!I192="","",PRINT_SHEET!I192)</f>
        <v/>
      </c>
      <c r="J192" s="53">
        <f>IFERROR(INDEX({"ادا شدہ","جزوی","بقایا"},MATCH(PRINT_SHEET!J192,{"PAID","PARTIAL","PENDING"},0)),PRINT_SHEET!J192)</f>
        <v/>
      </c>
      <c r="K192" s="55">
        <f>IF(PRINT_SHEET!K192="","",PRINT_SHEET!K192)</f>
        <v/>
      </c>
      <c r="L192" s="53">
        <f>IF(PRINT_SHEET!L192="","",PRINT_SHEET!L192)</f>
        <v/>
      </c>
    </row>
    <row r="193" ht="20" customHeight="1">
      <c r="A193" s="52">
        <f>IF(PRINT_SHEET!A193="","",PRINT_SHEET!A193)</f>
        <v/>
      </c>
      <c r="B193" s="53">
        <f>IF(PRINT_SHEET!B193="","",PRINT_SHEET!B193)</f>
        <v/>
      </c>
      <c r="C193" s="56">
        <f>IF(PRINT_SHEET!C193="","",PRINT_SHEET!C193)</f>
        <v/>
      </c>
      <c r="D193" s="56">
        <f>IF(PRINT_SHEET!D193="","",PRINT_SHEET!D193)</f>
        <v/>
      </c>
      <c r="E193" s="53">
        <f>IF(PRINT_SHEET!E193="","",PRINT_SHEET!E193)</f>
        <v/>
      </c>
      <c r="F193" s="52">
        <f>IF(PRINT_SHEET!F193="","",PRINT_SHEET!F193)</f>
        <v/>
      </c>
      <c r="G193" s="54">
        <f>IF(PRINT_SHEET!G193="","",PRINT_SHEET!G193)</f>
        <v/>
      </c>
      <c r="H193" s="54">
        <f>IF(PRINT_SHEET!H193="","",PRINT_SHEET!H193)</f>
        <v/>
      </c>
      <c r="I193" s="54">
        <f>IF(PRINT_SHEET!I193="","",PRINT_SHEET!I193)</f>
        <v/>
      </c>
      <c r="J193" s="53">
        <f>IFERROR(INDEX({"ادا شدہ","جزوی","بقایا"},MATCH(PRINT_SHEET!J193,{"PAID","PARTIAL","PENDING"},0)),PRINT_SHEET!J193)</f>
        <v/>
      </c>
      <c r="K193" s="55">
        <f>IF(PRINT_SHEET!K193="","",PRINT_SHEET!K193)</f>
        <v/>
      </c>
      <c r="L193" s="53">
        <f>IF(PRINT_SHEET!L193="","",PRINT_SHEET!L193)</f>
        <v/>
      </c>
    </row>
    <row r="194" ht="20" customHeight="1">
      <c r="A194" s="52">
        <f>IF(PRINT_SHEET!A194="","",PRINT_SHEET!A194)</f>
        <v/>
      </c>
      <c r="B194" s="53">
        <f>IF(PRINT_SHEET!B194="","",PRINT_SHEET!B194)</f>
        <v/>
      </c>
      <c r="C194" s="56">
        <f>IF(PRINT_SHEET!C194="","",PRINT_SHEET!C194)</f>
        <v/>
      </c>
      <c r="D194" s="56">
        <f>IF(PRINT_SHEET!D194="","",PRINT_SHEET!D194)</f>
        <v/>
      </c>
      <c r="E194" s="53">
        <f>IF(PRINT_SHEET!E194="","",PRINT_SHEET!E194)</f>
        <v/>
      </c>
      <c r="F194" s="52">
        <f>IF(PRINT_SHEET!F194="","",PRINT_SHEET!F194)</f>
        <v/>
      </c>
      <c r="G194" s="54">
        <f>IF(PRINT_SHEET!G194="","",PRINT_SHEET!G194)</f>
        <v/>
      </c>
      <c r="H194" s="54">
        <f>IF(PRINT_SHEET!H194="","",PRINT_SHEET!H194)</f>
        <v/>
      </c>
      <c r="I194" s="54">
        <f>IF(PRINT_SHEET!I194="","",PRINT_SHEET!I194)</f>
        <v/>
      </c>
      <c r="J194" s="53">
        <f>IFERROR(INDEX({"ادا شدہ","جزوی","بقایا"},MATCH(PRINT_SHEET!J194,{"PAID","PARTIAL","PENDING"},0)),PRINT_SHEET!J194)</f>
        <v/>
      </c>
      <c r="K194" s="55">
        <f>IF(PRINT_SHEET!K194="","",PRINT_SHEET!K194)</f>
        <v/>
      </c>
      <c r="L194" s="53">
        <f>IF(PRINT_SHEET!L194="","",PRINT_SHEET!L194)</f>
        <v/>
      </c>
    </row>
    <row r="195" ht="20" customHeight="1">
      <c r="A195" s="52">
        <f>IF(PRINT_SHEET!A195="","",PRINT_SHEET!A195)</f>
        <v/>
      </c>
      <c r="B195" s="53">
        <f>IF(PRINT_SHEET!B195="","",PRINT_SHEET!B195)</f>
        <v/>
      </c>
      <c r="C195" s="56">
        <f>IF(PRINT_SHEET!C195="","",PRINT_SHEET!C195)</f>
        <v/>
      </c>
      <c r="D195" s="56">
        <f>IF(PRINT_SHEET!D195="","",PRINT_SHEET!D195)</f>
        <v/>
      </c>
      <c r="E195" s="53">
        <f>IF(PRINT_SHEET!E195="","",PRINT_SHEET!E195)</f>
        <v/>
      </c>
      <c r="F195" s="52">
        <f>IF(PRINT_SHEET!F195="","",PRINT_SHEET!F195)</f>
        <v/>
      </c>
      <c r="G195" s="54">
        <f>IF(PRINT_SHEET!G195="","",PRINT_SHEET!G195)</f>
        <v/>
      </c>
      <c r="H195" s="54">
        <f>IF(PRINT_SHEET!H195="","",PRINT_SHEET!H195)</f>
        <v/>
      </c>
      <c r="I195" s="54">
        <f>IF(PRINT_SHEET!I195="","",PRINT_SHEET!I195)</f>
        <v/>
      </c>
      <c r="J195" s="53">
        <f>IFERROR(INDEX({"ادا شدہ","جزوی","بقایا"},MATCH(PRINT_SHEET!J195,{"PAID","PARTIAL","PENDING"},0)),PRINT_SHEET!J195)</f>
        <v/>
      </c>
      <c r="K195" s="55">
        <f>IF(PRINT_SHEET!K195="","",PRINT_SHEET!K195)</f>
        <v/>
      </c>
      <c r="L195" s="53">
        <f>IF(PRINT_SHEET!L195="","",PRINT_SHEET!L195)</f>
        <v/>
      </c>
    </row>
    <row r="196" ht="20" customHeight="1">
      <c r="A196" s="52">
        <f>IF(PRINT_SHEET!A196="","",PRINT_SHEET!A196)</f>
        <v/>
      </c>
      <c r="B196" s="53">
        <f>IF(PRINT_SHEET!B196="","",PRINT_SHEET!B196)</f>
        <v/>
      </c>
      <c r="C196" s="56">
        <f>IF(PRINT_SHEET!C196="","",PRINT_SHEET!C196)</f>
        <v/>
      </c>
      <c r="D196" s="56">
        <f>IF(PRINT_SHEET!D196="","",PRINT_SHEET!D196)</f>
        <v/>
      </c>
      <c r="E196" s="53">
        <f>IF(PRINT_SHEET!E196="","",PRINT_SHEET!E196)</f>
        <v/>
      </c>
      <c r="F196" s="52">
        <f>IF(PRINT_SHEET!F196="","",PRINT_SHEET!F196)</f>
        <v/>
      </c>
      <c r="G196" s="54">
        <f>IF(PRINT_SHEET!G196="","",PRINT_SHEET!G196)</f>
        <v/>
      </c>
      <c r="H196" s="54">
        <f>IF(PRINT_SHEET!H196="","",PRINT_SHEET!H196)</f>
        <v/>
      </c>
      <c r="I196" s="54">
        <f>IF(PRINT_SHEET!I196="","",PRINT_SHEET!I196)</f>
        <v/>
      </c>
      <c r="J196" s="53">
        <f>IFERROR(INDEX({"ادا شدہ","جزوی","بقایا"},MATCH(PRINT_SHEET!J196,{"PAID","PARTIAL","PENDING"},0)),PRINT_SHEET!J196)</f>
        <v/>
      </c>
      <c r="K196" s="55">
        <f>IF(PRINT_SHEET!K196="","",PRINT_SHEET!K196)</f>
        <v/>
      </c>
      <c r="L196" s="53">
        <f>IF(PRINT_SHEET!L196="","",PRINT_SHEET!L196)</f>
        <v/>
      </c>
    </row>
    <row r="197" ht="20" customHeight="1">
      <c r="A197" s="52">
        <f>IF(PRINT_SHEET!A197="","",PRINT_SHEET!A197)</f>
        <v/>
      </c>
      <c r="B197" s="53">
        <f>IF(PRINT_SHEET!B197="","",PRINT_SHEET!B197)</f>
        <v/>
      </c>
      <c r="C197" s="56">
        <f>IF(PRINT_SHEET!C197="","",PRINT_SHEET!C197)</f>
        <v/>
      </c>
      <c r="D197" s="56">
        <f>IF(PRINT_SHEET!D197="","",PRINT_SHEET!D197)</f>
        <v/>
      </c>
      <c r="E197" s="53">
        <f>IF(PRINT_SHEET!E197="","",PRINT_SHEET!E197)</f>
        <v/>
      </c>
      <c r="F197" s="52">
        <f>IF(PRINT_SHEET!F197="","",PRINT_SHEET!F197)</f>
        <v/>
      </c>
      <c r="G197" s="54">
        <f>IF(PRINT_SHEET!G197="","",PRINT_SHEET!G197)</f>
        <v/>
      </c>
      <c r="H197" s="54">
        <f>IF(PRINT_SHEET!H197="","",PRINT_SHEET!H197)</f>
        <v/>
      </c>
      <c r="I197" s="54">
        <f>IF(PRINT_SHEET!I197="","",PRINT_SHEET!I197)</f>
        <v/>
      </c>
      <c r="J197" s="53">
        <f>IFERROR(INDEX({"ادا شدہ","جزوی","بقایا"},MATCH(PRINT_SHEET!J197,{"PAID","PARTIAL","PENDING"},0)),PRINT_SHEET!J197)</f>
        <v/>
      </c>
      <c r="K197" s="55">
        <f>IF(PRINT_SHEET!K197="","",PRINT_SHEET!K197)</f>
        <v/>
      </c>
      <c r="L197" s="53">
        <f>IF(PRINT_SHEET!L197="","",PRINT_SHEET!L197)</f>
        <v/>
      </c>
    </row>
    <row r="198" ht="20" customHeight="1">
      <c r="A198" s="52">
        <f>IF(PRINT_SHEET!A198="","",PRINT_SHEET!A198)</f>
        <v/>
      </c>
      <c r="B198" s="53">
        <f>IF(PRINT_SHEET!B198="","",PRINT_SHEET!B198)</f>
        <v/>
      </c>
      <c r="C198" s="56">
        <f>IF(PRINT_SHEET!C198="","",PRINT_SHEET!C198)</f>
        <v/>
      </c>
      <c r="D198" s="56">
        <f>IF(PRINT_SHEET!D198="","",PRINT_SHEET!D198)</f>
        <v/>
      </c>
      <c r="E198" s="53">
        <f>IF(PRINT_SHEET!E198="","",PRINT_SHEET!E198)</f>
        <v/>
      </c>
      <c r="F198" s="52">
        <f>IF(PRINT_SHEET!F198="","",PRINT_SHEET!F198)</f>
        <v/>
      </c>
      <c r="G198" s="54">
        <f>IF(PRINT_SHEET!G198="","",PRINT_SHEET!G198)</f>
        <v/>
      </c>
      <c r="H198" s="54">
        <f>IF(PRINT_SHEET!H198="","",PRINT_SHEET!H198)</f>
        <v/>
      </c>
      <c r="I198" s="54">
        <f>IF(PRINT_SHEET!I198="","",PRINT_SHEET!I198)</f>
        <v/>
      </c>
      <c r="J198" s="53">
        <f>IFERROR(INDEX({"ادا شدہ","جزوی","بقایا"},MATCH(PRINT_SHEET!J198,{"PAID","PARTIAL","PENDING"},0)),PRINT_SHEET!J198)</f>
        <v/>
      </c>
      <c r="K198" s="55">
        <f>IF(PRINT_SHEET!K198="","",PRINT_SHEET!K198)</f>
        <v/>
      </c>
      <c r="L198" s="53">
        <f>IF(PRINT_SHEET!L198="","",PRINT_SHEET!L198)</f>
        <v/>
      </c>
    </row>
    <row r="199" ht="20" customHeight="1">
      <c r="A199" s="52">
        <f>IF(PRINT_SHEET!A199="","",PRINT_SHEET!A199)</f>
        <v/>
      </c>
      <c r="B199" s="53">
        <f>IF(PRINT_SHEET!B199="","",PRINT_SHEET!B199)</f>
        <v/>
      </c>
      <c r="C199" s="56">
        <f>IF(PRINT_SHEET!C199="","",PRINT_SHEET!C199)</f>
        <v/>
      </c>
      <c r="D199" s="56">
        <f>IF(PRINT_SHEET!D199="","",PRINT_SHEET!D199)</f>
        <v/>
      </c>
      <c r="E199" s="53">
        <f>IF(PRINT_SHEET!E199="","",PRINT_SHEET!E199)</f>
        <v/>
      </c>
      <c r="F199" s="52">
        <f>IF(PRINT_SHEET!F199="","",PRINT_SHEET!F199)</f>
        <v/>
      </c>
      <c r="G199" s="54">
        <f>IF(PRINT_SHEET!G199="","",PRINT_SHEET!G199)</f>
        <v/>
      </c>
      <c r="H199" s="54">
        <f>IF(PRINT_SHEET!H199="","",PRINT_SHEET!H199)</f>
        <v/>
      </c>
      <c r="I199" s="54">
        <f>IF(PRINT_SHEET!I199="","",PRINT_SHEET!I199)</f>
        <v/>
      </c>
      <c r="J199" s="53">
        <f>IFERROR(INDEX({"ادا شدہ","جزوی","بقایا"},MATCH(PRINT_SHEET!J199,{"PAID","PARTIAL","PENDING"},0)),PRINT_SHEET!J199)</f>
        <v/>
      </c>
      <c r="K199" s="55">
        <f>IF(PRINT_SHEET!K199="","",PRINT_SHEET!K199)</f>
        <v/>
      </c>
      <c r="L199" s="53">
        <f>IF(PRINT_SHEET!L199="","",PRINT_SHEET!L199)</f>
        <v/>
      </c>
    </row>
    <row r="200" ht="20" customHeight="1">
      <c r="A200" s="52">
        <f>IF(PRINT_SHEET!A200="","",PRINT_SHEET!A200)</f>
        <v/>
      </c>
      <c r="B200" s="53">
        <f>IF(PRINT_SHEET!B200="","",PRINT_SHEET!B200)</f>
        <v/>
      </c>
      <c r="C200" s="56">
        <f>IF(PRINT_SHEET!C200="","",PRINT_SHEET!C200)</f>
        <v/>
      </c>
      <c r="D200" s="56">
        <f>IF(PRINT_SHEET!D200="","",PRINT_SHEET!D200)</f>
        <v/>
      </c>
      <c r="E200" s="53">
        <f>IF(PRINT_SHEET!E200="","",PRINT_SHEET!E200)</f>
        <v/>
      </c>
      <c r="F200" s="52">
        <f>IF(PRINT_SHEET!F200="","",PRINT_SHEET!F200)</f>
        <v/>
      </c>
      <c r="G200" s="54">
        <f>IF(PRINT_SHEET!G200="","",PRINT_SHEET!G200)</f>
        <v/>
      </c>
      <c r="H200" s="54">
        <f>IF(PRINT_SHEET!H200="","",PRINT_SHEET!H200)</f>
        <v/>
      </c>
      <c r="I200" s="54">
        <f>IF(PRINT_SHEET!I200="","",PRINT_SHEET!I200)</f>
        <v/>
      </c>
      <c r="J200" s="53">
        <f>IFERROR(INDEX({"ادا شدہ","جزوی","بقایا"},MATCH(PRINT_SHEET!J200,{"PAID","PARTIAL","PENDING"},0)),PRINT_SHEET!J200)</f>
        <v/>
      </c>
      <c r="K200" s="55">
        <f>IF(PRINT_SHEET!K200="","",PRINT_SHEET!K200)</f>
        <v/>
      </c>
      <c r="L200" s="53">
        <f>IF(PRINT_SHEET!L200="","",PRINT_SHEET!L200)</f>
        <v/>
      </c>
    </row>
    <row r="201" ht="20" customHeight="1">
      <c r="A201" s="52">
        <f>IF(PRINT_SHEET!A201="","",PRINT_SHEET!A201)</f>
        <v/>
      </c>
      <c r="B201" s="53">
        <f>IF(PRINT_SHEET!B201="","",PRINT_SHEET!B201)</f>
        <v/>
      </c>
      <c r="C201" s="56">
        <f>IF(PRINT_SHEET!C201="","",PRINT_SHEET!C201)</f>
        <v/>
      </c>
      <c r="D201" s="56">
        <f>IF(PRINT_SHEET!D201="","",PRINT_SHEET!D201)</f>
        <v/>
      </c>
      <c r="E201" s="53">
        <f>IF(PRINT_SHEET!E201="","",PRINT_SHEET!E201)</f>
        <v/>
      </c>
      <c r="F201" s="52">
        <f>IF(PRINT_SHEET!F201="","",PRINT_SHEET!F201)</f>
        <v/>
      </c>
      <c r="G201" s="54">
        <f>IF(PRINT_SHEET!G201="","",PRINT_SHEET!G201)</f>
        <v/>
      </c>
      <c r="H201" s="54">
        <f>IF(PRINT_SHEET!H201="","",PRINT_SHEET!H201)</f>
        <v/>
      </c>
      <c r="I201" s="54">
        <f>IF(PRINT_SHEET!I201="","",PRINT_SHEET!I201)</f>
        <v/>
      </c>
      <c r="J201" s="53">
        <f>IFERROR(INDEX({"ادا شدہ","جزوی","بقایا"},MATCH(PRINT_SHEET!J201,{"PAID","PARTIAL","PENDING"},0)),PRINT_SHEET!J201)</f>
        <v/>
      </c>
      <c r="K201" s="55">
        <f>IF(PRINT_SHEET!K201="","",PRINT_SHEET!K201)</f>
        <v/>
      </c>
      <c r="L201" s="53">
        <f>IF(PRINT_SHEET!L201="","",PRINT_SHEET!L201)</f>
        <v/>
      </c>
    </row>
    <row r="202" ht="20" customHeight="1">
      <c r="A202" s="52">
        <f>IF(PRINT_SHEET!A202="","",PRINT_SHEET!A202)</f>
        <v/>
      </c>
      <c r="B202" s="53">
        <f>IF(PRINT_SHEET!B202="","",PRINT_SHEET!B202)</f>
        <v/>
      </c>
      <c r="C202" s="56">
        <f>IF(PRINT_SHEET!C202="","",PRINT_SHEET!C202)</f>
        <v/>
      </c>
      <c r="D202" s="56">
        <f>IF(PRINT_SHEET!D202="","",PRINT_SHEET!D202)</f>
        <v/>
      </c>
      <c r="E202" s="53">
        <f>IF(PRINT_SHEET!E202="","",PRINT_SHEET!E202)</f>
        <v/>
      </c>
      <c r="F202" s="52">
        <f>IF(PRINT_SHEET!F202="","",PRINT_SHEET!F202)</f>
        <v/>
      </c>
      <c r="G202" s="54">
        <f>IF(PRINT_SHEET!G202="","",PRINT_SHEET!G202)</f>
        <v/>
      </c>
      <c r="H202" s="54">
        <f>IF(PRINT_SHEET!H202="","",PRINT_SHEET!H202)</f>
        <v/>
      </c>
      <c r="I202" s="54">
        <f>IF(PRINT_SHEET!I202="","",PRINT_SHEET!I202)</f>
        <v/>
      </c>
      <c r="J202" s="53">
        <f>IFERROR(INDEX({"ادا شدہ","جزوی","بقایا"},MATCH(PRINT_SHEET!J202,{"PAID","PARTIAL","PENDING"},0)),PRINT_SHEET!J202)</f>
        <v/>
      </c>
      <c r="K202" s="55">
        <f>IF(PRINT_SHEET!K202="","",PRINT_SHEET!K202)</f>
        <v/>
      </c>
      <c r="L202" s="53">
        <f>IF(PRINT_SHEET!L202="","",PRINT_SHEET!L202)</f>
        <v/>
      </c>
    </row>
    <row r="203" ht="20" customHeight="1">
      <c r="A203" s="52">
        <f>IF(PRINT_SHEET!A203="","",PRINT_SHEET!A203)</f>
        <v/>
      </c>
      <c r="B203" s="53">
        <f>IF(PRINT_SHEET!B203="","",PRINT_SHEET!B203)</f>
        <v/>
      </c>
      <c r="C203" s="56">
        <f>IF(PRINT_SHEET!C203="","",PRINT_SHEET!C203)</f>
        <v/>
      </c>
      <c r="D203" s="56">
        <f>IF(PRINT_SHEET!D203="","",PRINT_SHEET!D203)</f>
        <v/>
      </c>
      <c r="E203" s="53">
        <f>IF(PRINT_SHEET!E203="","",PRINT_SHEET!E203)</f>
        <v/>
      </c>
      <c r="F203" s="52">
        <f>IF(PRINT_SHEET!F203="","",PRINT_SHEET!F203)</f>
        <v/>
      </c>
      <c r="G203" s="54">
        <f>IF(PRINT_SHEET!G203="","",PRINT_SHEET!G203)</f>
        <v/>
      </c>
      <c r="H203" s="54">
        <f>IF(PRINT_SHEET!H203="","",PRINT_SHEET!H203)</f>
        <v/>
      </c>
      <c r="I203" s="54">
        <f>IF(PRINT_SHEET!I203="","",PRINT_SHEET!I203)</f>
        <v/>
      </c>
      <c r="J203" s="53">
        <f>IFERROR(INDEX({"ادا شدہ","جزوی","بقایا"},MATCH(PRINT_SHEET!J203,{"PAID","PARTIAL","PENDING"},0)),PRINT_SHEET!J203)</f>
        <v/>
      </c>
      <c r="K203" s="55">
        <f>IF(PRINT_SHEET!K203="","",PRINT_SHEET!K203)</f>
        <v/>
      </c>
      <c r="L203" s="53">
        <f>IF(PRINT_SHEET!L203="","",PRINT_SHEET!L203)</f>
        <v/>
      </c>
    </row>
    <row r="204" ht="20" customHeight="1">
      <c r="A204" s="52">
        <f>IF(PRINT_SHEET!A204="","",PRINT_SHEET!A204)</f>
        <v/>
      </c>
      <c r="B204" s="53">
        <f>IF(PRINT_SHEET!B204="","",PRINT_SHEET!B204)</f>
        <v/>
      </c>
      <c r="C204" s="56">
        <f>IF(PRINT_SHEET!C204="","",PRINT_SHEET!C204)</f>
        <v/>
      </c>
      <c r="D204" s="56">
        <f>IF(PRINT_SHEET!D204="","",PRINT_SHEET!D204)</f>
        <v/>
      </c>
      <c r="E204" s="53">
        <f>IF(PRINT_SHEET!E204="","",PRINT_SHEET!E204)</f>
        <v/>
      </c>
      <c r="F204" s="52">
        <f>IF(PRINT_SHEET!F204="","",PRINT_SHEET!F204)</f>
        <v/>
      </c>
      <c r="G204" s="54">
        <f>IF(PRINT_SHEET!G204="","",PRINT_SHEET!G204)</f>
        <v/>
      </c>
      <c r="H204" s="54">
        <f>IF(PRINT_SHEET!H204="","",PRINT_SHEET!H204)</f>
        <v/>
      </c>
      <c r="I204" s="54">
        <f>IF(PRINT_SHEET!I204="","",PRINT_SHEET!I204)</f>
        <v/>
      </c>
      <c r="J204" s="53">
        <f>IFERROR(INDEX({"ادا شدہ","جزوی","بقایا"},MATCH(PRINT_SHEET!J204,{"PAID","PARTIAL","PENDING"},0)),PRINT_SHEET!J204)</f>
        <v/>
      </c>
      <c r="K204" s="55">
        <f>IF(PRINT_SHEET!K204="","",PRINT_SHEET!K204)</f>
        <v/>
      </c>
      <c r="L204" s="53">
        <f>IF(PRINT_SHEET!L204="","",PRINT_SHEET!L204)</f>
        <v/>
      </c>
    </row>
    <row r="205" ht="20" customHeight="1">
      <c r="A205" s="52">
        <f>IF(PRINT_SHEET!A205="","",PRINT_SHEET!A205)</f>
        <v/>
      </c>
      <c r="B205" s="53">
        <f>IF(PRINT_SHEET!B205="","",PRINT_SHEET!B205)</f>
        <v/>
      </c>
      <c r="C205" s="56">
        <f>IF(PRINT_SHEET!C205="","",PRINT_SHEET!C205)</f>
        <v/>
      </c>
      <c r="D205" s="56">
        <f>IF(PRINT_SHEET!D205="","",PRINT_SHEET!D205)</f>
        <v/>
      </c>
      <c r="E205" s="53">
        <f>IF(PRINT_SHEET!E205="","",PRINT_SHEET!E205)</f>
        <v/>
      </c>
      <c r="F205" s="52">
        <f>IF(PRINT_SHEET!F205="","",PRINT_SHEET!F205)</f>
        <v/>
      </c>
      <c r="G205" s="54">
        <f>IF(PRINT_SHEET!G205="","",PRINT_SHEET!G205)</f>
        <v/>
      </c>
      <c r="H205" s="54">
        <f>IF(PRINT_SHEET!H205="","",PRINT_SHEET!H205)</f>
        <v/>
      </c>
      <c r="I205" s="54">
        <f>IF(PRINT_SHEET!I205="","",PRINT_SHEET!I205)</f>
        <v/>
      </c>
      <c r="J205" s="53">
        <f>IFERROR(INDEX({"ادا شدہ","جزوی","بقایا"},MATCH(PRINT_SHEET!J205,{"PAID","PARTIAL","PENDING"},0)),PRINT_SHEET!J205)</f>
        <v/>
      </c>
      <c r="K205" s="55">
        <f>IF(PRINT_SHEET!K205="","",PRINT_SHEET!K205)</f>
        <v/>
      </c>
      <c r="L205" s="53">
        <f>IF(PRINT_SHEET!L205="","",PRINT_SHEET!L205)</f>
        <v/>
      </c>
    </row>
    <row r="206" ht="20" customHeight="1">
      <c r="A206" s="52">
        <f>IF(PRINT_SHEET!A206="","",PRINT_SHEET!A206)</f>
        <v/>
      </c>
      <c r="B206" s="53">
        <f>IF(PRINT_SHEET!B206="","",PRINT_SHEET!B206)</f>
        <v/>
      </c>
      <c r="C206" s="56">
        <f>IF(PRINT_SHEET!C206="","",PRINT_SHEET!C206)</f>
        <v/>
      </c>
      <c r="D206" s="56">
        <f>IF(PRINT_SHEET!D206="","",PRINT_SHEET!D206)</f>
        <v/>
      </c>
      <c r="E206" s="53">
        <f>IF(PRINT_SHEET!E206="","",PRINT_SHEET!E206)</f>
        <v/>
      </c>
      <c r="F206" s="52">
        <f>IF(PRINT_SHEET!F206="","",PRINT_SHEET!F206)</f>
        <v/>
      </c>
      <c r="G206" s="54">
        <f>IF(PRINT_SHEET!G206="","",PRINT_SHEET!G206)</f>
        <v/>
      </c>
      <c r="H206" s="54">
        <f>IF(PRINT_SHEET!H206="","",PRINT_SHEET!H206)</f>
        <v/>
      </c>
      <c r="I206" s="54">
        <f>IF(PRINT_SHEET!I206="","",PRINT_SHEET!I206)</f>
        <v/>
      </c>
      <c r="J206" s="53">
        <f>IFERROR(INDEX({"ادا شدہ","جزوی","بقایا"},MATCH(PRINT_SHEET!J206,{"PAID","PARTIAL","PENDING"},0)),PRINT_SHEET!J206)</f>
        <v/>
      </c>
      <c r="K206" s="55">
        <f>IF(PRINT_SHEET!K206="","",PRINT_SHEET!K206)</f>
        <v/>
      </c>
      <c r="L206" s="53">
        <f>IF(PRINT_SHEET!L206="","",PRINT_SHEET!L206)</f>
        <v/>
      </c>
    </row>
    <row r="207" ht="20" customHeight="1">
      <c r="A207" s="52">
        <f>IF(PRINT_SHEET!A207="","",PRINT_SHEET!A207)</f>
        <v/>
      </c>
      <c r="B207" s="53">
        <f>IF(PRINT_SHEET!B207="","",PRINT_SHEET!B207)</f>
        <v/>
      </c>
      <c r="C207" s="56">
        <f>IF(PRINT_SHEET!C207="","",PRINT_SHEET!C207)</f>
        <v/>
      </c>
      <c r="D207" s="56">
        <f>IF(PRINT_SHEET!D207="","",PRINT_SHEET!D207)</f>
        <v/>
      </c>
      <c r="E207" s="53">
        <f>IF(PRINT_SHEET!E207="","",PRINT_SHEET!E207)</f>
        <v/>
      </c>
      <c r="F207" s="52">
        <f>IF(PRINT_SHEET!F207="","",PRINT_SHEET!F207)</f>
        <v/>
      </c>
      <c r="G207" s="54">
        <f>IF(PRINT_SHEET!G207="","",PRINT_SHEET!G207)</f>
        <v/>
      </c>
      <c r="H207" s="54">
        <f>IF(PRINT_SHEET!H207="","",PRINT_SHEET!H207)</f>
        <v/>
      </c>
      <c r="I207" s="54">
        <f>IF(PRINT_SHEET!I207="","",PRINT_SHEET!I207)</f>
        <v/>
      </c>
      <c r="J207" s="53">
        <f>IFERROR(INDEX({"ادا شدہ","جزوی","بقایا"},MATCH(PRINT_SHEET!J207,{"PAID","PARTIAL","PENDING"},0)),PRINT_SHEET!J207)</f>
        <v/>
      </c>
      <c r="K207" s="55">
        <f>IF(PRINT_SHEET!K207="","",PRINT_SHEET!K207)</f>
        <v/>
      </c>
      <c r="L207" s="53">
        <f>IF(PRINT_SHEET!L207="","",PRINT_SHEET!L207)</f>
        <v/>
      </c>
    </row>
    <row r="208" ht="20" customHeight="1">
      <c r="A208" s="52">
        <f>IF(PRINT_SHEET!A208="","",PRINT_SHEET!A208)</f>
        <v/>
      </c>
      <c r="B208" s="53">
        <f>IF(PRINT_SHEET!B208="","",PRINT_SHEET!B208)</f>
        <v/>
      </c>
      <c r="C208" s="56">
        <f>IF(PRINT_SHEET!C208="","",PRINT_SHEET!C208)</f>
        <v/>
      </c>
      <c r="D208" s="56">
        <f>IF(PRINT_SHEET!D208="","",PRINT_SHEET!D208)</f>
        <v/>
      </c>
      <c r="E208" s="53">
        <f>IF(PRINT_SHEET!E208="","",PRINT_SHEET!E208)</f>
        <v/>
      </c>
      <c r="F208" s="52">
        <f>IF(PRINT_SHEET!F208="","",PRINT_SHEET!F208)</f>
        <v/>
      </c>
      <c r="G208" s="54">
        <f>IF(PRINT_SHEET!G208="","",PRINT_SHEET!G208)</f>
        <v/>
      </c>
      <c r="H208" s="54">
        <f>IF(PRINT_SHEET!H208="","",PRINT_SHEET!H208)</f>
        <v/>
      </c>
      <c r="I208" s="54">
        <f>IF(PRINT_SHEET!I208="","",PRINT_SHEET!I208)</f>
        <v/>
      </c>
      <c r="J208" s="53">
        <f>IFERROR(INDEX({"ادا شدہ","جزوی","بقایا"},MATCH(PRINT_SHEET!J208,{"PAID","PARTIAL","PENDING"},0)),PRINT_SHEET!J208)</f>
        <v/>
      </c>
      <c r="K208" s="55">
        <f>IF(PRINT_SHEET!K208="","",PRINT_SHEET!K208)</f>
        <v/>
      </c>
      <c r="L208" s="53">
        <f>IF(PRINT_SHEET!L208="","",PRINT_SHEET!L208)</f>
        <v/>
      </c>
    </row>
    <row r="209" ht="20" customHeight="1">
      <c r="A209" s="52">
        <f>IF(PRINT_SHEET!A209="","",PRINT_SHEET!A209)</f>
        <v/>
      </c>
      <c r="B209" s="53">
        <f>IF(PRINT_SHEET!B209="","",PRINT_SHEET!B209)</f>
        <v/>
      </c>
      <c r="C209" s="56">
        <f>IF(PRINT_SHEET!C209="","",PRINT_SHEET!C209)</f>
        <v/>
      </c>
      <c r="D209" s="56">
        <f>IF(PRINT_SHEET!D209="","",PRINT_SHEET!D209)</f>
        <v/>
      </c>
      <c r="E209" s="53">
        <f>IF(PRINT_SHEET!E209="","",PRINT_SHEET!E209)</f>
        <v/>
      </c>
      <c r="F209" s="52">
        <f>IF(PRINT_SHEET!F209="","",PRINT_SHEET!F209)</f>
        <v/>
      </c>
      <c r="G209" s="54">
        <f>IF(PRINT_SHEET!G209="","",PRINT_SHEET!G209)</f>
        <v/>
      </c>
      <c r="H209" s="54">
        <f>IF(PRINT_SHEET!H209="","",PRINT_SHEET!H209)</f>
        <v/>
      </c>
      <c r="I209" s="54">
        <f>IF(PRINT_SHEET!I209="","",PRINT_SHEET!I209)</f>
        <v/>
      </c>
      <c r="J209" s="53">
        <f>IFERROR(INDEX({"ادا شدہ","جزوی","بقایا"},MATCH(PRINT_SHEET!J209,{"PAID","PARTIAL","PENDING"},0)),PRINT_SHEET!J209)</f>
        <v/>
      </c>
      <c r="K209" s="55">
        <f>IF(PRINT_SHEET!K209="","",PRINT_SHEET!K209)</f>
        <v/>
      </c>
      <c r="L209" s="53">
        <f>IF(PRINT_SHEET!L209="","",PRINT_SHEET!L209)</f>
        <v/>
      </c>
    </row>
    <row r="210" ht="20" customHeight="1">
      <c r="A210" s="52">
        <f>IF(PRINT_SHEET!A210="","",PRINT_SHEET!A210)</f>
        <v/>
      </c>
      <c r="B210" s="53">
        <f>IF(PRINT_SHEET!B210="","",PRINT_SHEET!B210)</f>
        <v/>
      </c>
      <c r="C210" s="56">
        <f>IF(PRINT_SHEET!C210="","",PRINT_SHEET!C210)</f>
        <v/>
      </c>
      <c r="D210" s="56">
        <f>IF(PRINT_SHEET!D210="","",PRINT_SHEET!D210)</f>
        <v/>
      </c>
      <c r="E210" s="53">
        <f>IF(PRINT_SHEET!E210="","",PRINT_SHEET!E210)</f>
        <v/>
      </c>
      <c r="F210" s="52">
        <f>IF(PRINT_SHEET!F210="","",PRINT_SHEET!F210)</f>
        <v/>
      </c>
      <c r="G210" s="54">
        <f>IF(PRINT_SHEET!G210="","",PRINT_SHEET!G210)</f>
        <v/>
      </c>
      <c r="H210" s="54">
        <f>IF(PRINT_SHEET!H210="","",PRINT_SHEET!H210)</f>
        <v/>
      </c>
      <c r="I210" s="54">
        <f>IF(PRINT_SHEET!I210="","",PRINT_SHEET!I210)</f>
        <v/>
      </c>
      <c r="J210" s="53">
        <f>IFERROR(INDEX({"ادا شدہ","جزوی","بقایا"},MATCH(PRINT_SHEET!J210,{"PAID","PARTIAL","PENDING"},0)),PRINT_SHEET!J210)</f>
        <v/>
      </c>
      <c r="K210" s="55">
        <f>IF(PRINT_SHEET!K210="","",PRINT_SHEET!K210)</f>
        <v/>
      </c>
      <c r="L210" s="53">
        <f>IF(PRINT_SHEET!L210="","",PRINT_SHEET!L210)</f>
        <v/>
      </c>
    </row>
    <row r="211" ht="20" customHeight="1">
      <c r="A211" s="52">
        <f>IF(PRINT_SHEET!A211="","",PRINT_SHEET!A211)</f>
        <v/>
      </c>
      <c r="B211" s="53">
        <f>IF(PRINT_SHEET!B211="","",PRINT_SHEET!B211)</f>
        <v/>
      </c>
      <c r="C211" s="56">
        <f>IF(PRINT_SHEET!C211="","",PRINT_SHEET!C211)</f>
        <v/>
      </c>
      <c r="D211" s="56">
        <f>IF(PRINT_SHEET!D211="","",PRINT_SHEET!D211)</f>
        <v/>
      </c>
      <c r="E211" s="53">
        <f>IF(PRINT_SHEET!E211="","",PRINT_SHEET!E211)</f>
        <v/>
      </c>
      <c r="F211" s="52">
        <f>IF(PRINT_SHEET!F211="","",PRINT_SHEET!F211)</f>
        <v/>
      </c>
      <c r="G211" s="54">
        <f>IF(PRINT_SHEET!G211="","",PRINT_SHEET!G211)</f>
        <v/>
      </c>
      <c r="H211" s="54">
        <f>IF(PRINT_SHEET!H211="","",PRINT_SHEET!H211)</f>
        <v/>
      </c>
      <c r="I211" s="54">
        <f>IF(PRINT_SHEET!I211="","",PRINT_SHEET!I211)</f>
        <v/>
      </c>
      <c r="J211" s="53">
        <f>IFERROR(INDEX({"ادا شدہ","جزوی","بقایا"},MATCH(PRINT_SHEET!J211,{"PAID","PARTIAL","PENDING"},0)),PRINT_SHEET!J211)</f>
        <v/>
      </c>
      <c r="K211" s="55">
        <f>IF(PRINT_SHEET!K211="","",PRINT_SHEET!K211)</f>
        <v/>
      </c>
      <c r="L211" s="53">
        <f>IF(PRINT_SHEET!L211="","",PRINT_SHEET!L211)</f>
        <v/>
      </c>
    </row>
    <row r="212" ht="20" customHeight="1">
      <c r="A212" s="52">
        <f>IF(PRINT_SHEET!A212="","",PRINT_SHEET!A212)</f>
        <v/>
      </c>
      <c r="B212" s="53">
        <f>IF(PRINT_SHEET!B212="","",PRINT_SHEET!B212)</f>
        <v/>
      </c>
      <c r="C212" s="56">
        <f>IF(PRINT_SHEET!C212="","",PRINT_SHEET!C212)</f>
        <v/>
      </c>
      <c r="D212" s="56">
        <f>IF(PRINT_SHEET!D212="","",PRINT_SHEET!D212)</f>
        <v/>
      </c>
      <c r="E212" s="53">
        <f>IF(PRINT_SHEET!E212="","",PRINT_SHEET!E212)</f>
        <v/>
      </c>
      <c r="F212" s="52">
        <f>IF(PRINT_SHEET!F212="","",PRINT_SHEET!F212)</f>
        <v/>
      </c>
      <c r="G212" s="54">
        <f>IF(PRINT_SHEET!G212="","",PRINT_SHEET!G212)</f>
        <v/>
      </c>
      <c r="H212" s="54">
        <f>IF(PRINT_SHEET!H212="","",PRINT_SHEET!H212)</f>
        <v/>
      </c>
      <c r="I212" s="54">
        <f>IF(PRINT_SHEET!I212="","",PRINT_SHEET!I212)</f>
        <v/>
      </c>
      <c r="J212" s="53">
        <f>IFERROR(INDEX({"ادا شدہ","جزوی","بقایا"},MATCH(PRINT_SHEET!J212,{"PAID","PARTIAL","PENDING"},0)),PRINT_SHEET!J212)</f>
        <v/>
      </c>
      <c r="K212" s="55">
        <f>IF(PRINT_SHEET!K212="","",PRINT_SHEET!K212)</f>
        <v/>
      </c>
      <c r="L212" s="53">
        <f>IF(PRINT_SHEET!L212="","",PRINT_SHEET!L212)</f>
        <v/>
      </c>
    </row>
    <row r="213" ht="20" customHeight="1">
      <c r="A213" s="52">
        <f>IF(PRINT_SHEET!A213="","",PRINT_SHEET!A213)</f>
        <v/>
      </c>
      <c r="B213" s="53">
        <f>IF(PRINT_SHEET!B213="","",PRINT_SHEET!B213)</f>
        <v/>
      </c>
      <c r="C213" s="56">
        <f>IF(PRINT_SHEET!C213="","",PRINT_SHEET!C213)</f>
        <v/>
      </c>
      <c r="D213" s="56">
        <f>IF(PRINT_SHEET!D213="","",PRINT_SHEET!D213)</f>
        <v/>
      </c>
      <c r="E213" s="53">
        <f>IF(PRINT_SHEET!E213="","",PRINT_SHEET!E213)</f>
        <v/>
      </c>
      <c r="F213" s="52">
        <f>IF(PRINT_SHEET!F213="","",PRINT_SHEET!F213)</f>
        <v/>
      </c>
      <c r="G213" s="54">
        <f>IF(PRINT_SHEET!G213="","",PRINT_SHEET!G213)</f>
        <v/>
      </c>
      <c r="H213" s="54">
        <f>IF(PRINT_SHEET!H213="","",PRINT_SHEET!H213)</f>
        <v/>
      </c>
      <c r="I213" s="54">
        <f>IF(PRINT_SHEET!I213="","",PRINT_SHEET!I213)</f>
        <v/>
      </c>
      <c r="J213" s="53">
        <f>IFERROR(INDEX({"ادا شدہ","جزوی","بقایا"},MATCH(PRINT_SHEET!J213,{"PAID","PARTIAL","PENDING"},0)),PRINT_SHEET!J213)</f>
        <v/>
      </c>
      <c r="K213" s="55">
        <f>IF(PRINT_SHEET!K213="","",PRINT_SHEET!K213)</f>
        <v/>
      </c>
      <c r="L213" s="53">
        <f>IF(PRINT_SHEET!L213="","",PRINT_SHEET!L213)</f>
        <v/>
      </c>
    </row>
    <row r="214" ht="20" customHeight="1">
      <c r="A214" s="52">
        <f>IF(PRINT_SHEET!A214="","",PRINT_SHEET!A214)</f>
        <v/>
      </c>
      <c r="B214" s="53">
        <f>IF(PRINT_SHEET!B214="","",PRINT_SHEET!B214)</f>
        <v/>
      </c>
      <c r="C214" s="56">
        <f>IF(PRINT_SHEET!C214="","",PRINT_SHEET!C214)</f>
        <v/>
      </c>
      <c r="D214" s="56">
        <f>IF(PRINT_SHEET!D214="","",PRINT_SHEET!D214)</f>
        <v/>
      </c>
      <c r="E214" s="53">
        <f>IF(PRINT_SHEET!E214="","",PRINT_SHEET!E214)</f>
        <v/>
      </c>
      <c r="F214" s="52">
        <f>IF(PRINT_SHEET!F214="","",PRINT_SHEET!F214)</f>
        <v/>
      </c>
      <c r="G214" s="54">
        <f>IF(PRINT_SHEET!G214="","",PRINT_SHEET!G214)</f>
        <v/>
      </c>
      <c r="H214" s="54">
        <f>IF(PRINT_SHEET!H214="","",PRINT_SHEET!H214)</f>
        <v/>
      </c>
      <c r="I214" s="54">
        <f>IF(PRINT_SHEET!I214="","",PRINT_SHEET!I214)</f>
        <v/>
      </c>
      <c r="J214" s="53">
        <f>IFERROR(INDEX({"ادا شدہ","جزوی","بقایا"},MATCH(PRINT_SHEET!J214,{"PAID","PARTIAL","PENDING"},0)),PRINT_SHEET!J214)</f>
        <v/>
      </c>
      <c r="K214" s="55">
        <f>IF(PRINT_SHEET!K214="","",PRINT_SHEET!K214)</f>
        <v/>
      </c>
      <c r="L214" s="53">
        <f>IF(PRINT_SHEET!L214="","",PRINT_SHEET!L214)</f>
        <v/>
      </c>
    </row>
    <row r="215" ht="20" customHeight="1">
      <c r="A215" s="52">
        <f>IF(PRINT_SHEET!A215="","",PRINT_SHEET!A215)</f>
        <v/>
      </c>
      <c r="B215" s="53">
        <f>IF(PRINT_SHEET!B215="","",PRINT_SHEET!B215)</f>
        <v/>
      </c>
      <c r="C215" s="56">
        <f>IF(PRINT_SHEET!C215="","",PRINT_SHEET!C215)</f>
        <v/>
      </c>
      <c r="D215" s="56">
        <f>IF(PRINT_SHEET!D215="","",PRINT_SHEET!D215)</f>
        <v/>
      </c>
      <c r="E215" s="53">
        <f>IF(PRINT_SHEET!E215="","",PRINT_SHEET!E215)</f>
        <v/>
      </c>
      <c r="F215" s="52">
        <f>IF(PRINT_SHEET!F215="","",PRINT_SHEET!F215)</f>
        <v/>
      </c>
      <c r="G215" s="54">
        <f>IF(PRINT_SHEET!G215="","",PRINT_SHEET!G215)</f>
        <v/>
      </c>
      <c r="H215" s="54">
        <f>IF(PRINT_SHEET!H215="","",PRINT_SHEET!H215)</f>
        <v/>
      </c>
      <c r="I215" s="54">
        <f>IF(PRINT_SHEET!I215="","",PRINT_SHEET!I215)</f>
        <v/>
      </c>
      <c r="J215" s="53">
        <f>IFERROR(INDEX({"ادا شدہ","جزوی","بقایا"},MATCH(PRINT_SHEET!J215,{"PAID","PARTIAL","PENDING"},0)),PRINT_SHEET!J215)</f>
        <v/>
      </c>
      <c r="K215" s="55">
        <f>IF(PRINT_SHEET!K215="","",PRINT_SHEET!K215)</f>
        <v/>
      </c>
      <c r="L215" s="53">
        <f>IF(PRINT_SHEET!L215="","",PRINT_SHEET!L215)</f>
        <v/>
      </c>
    </row>
    <row r="216" ht="20" customHeight="1">
      <c r="A216" s="52">
        <f>IF(PRINT_SHEET!A216="","",PRINT_SHEET!A216)</f>
        <v/>
      </c>
      <c r="B216" s="53">
        <f>IF(PRINT_SHEET!B216="","",PRINT_SHEET!B216)</f>
        <v/>
      </c>
      <c r="C216" s="56">
        <f>IF(PRINT_SHEET!C216="","",PRINT_SHEET!C216)</f>
        <v/>
      </c>
      <c r="D216" s="56">
        <f>IF(PRINT_SHEET!D216="","",PRINT_SHEET!D216)</f>
        <v/>
      </c>
      <c r="E216" s="53">
        <f>IF(PRINT_SHEET!E216="","",PRINT_SHEET!E216)</f>
        <v/>
      </c>
      <c r="F216" s="52">
        <f>IF(PRINT_SHEET!F216="","",PRINT_SHEET!F216)</f>
        <v/>
      </c>
      <c r="G216" s="54">
        <f>IF(PRINT_SHEET!G216="","",PRINT_SHEET!G216)</f>
        <v/>
      </c>
      <c r="H216" s="54">
        <f>IF(PRINT_SHEET!H216="","",PRINT_SHEET!H216)</f>
        <v/>
      </c>
      <c r="I216" s="54">
        <f>IF(PRINT_SHEET!I216="","",PRINT_SHEET!I216)</f>
        <v/>
      </c>
      <c r="J216" s="53">
        <f>IFERROR(INDEX({"ادا شدہ","جزوی","بقایا"},MATCH(PRINT_SHEET!J216,{"PAID","PARTIAL","PENDING"},0)),PRINT_SHEET!J216)</f>
        <v/>
      </c>
      <c r="K216" s="55">
        <f>IF(PRINT_SHEET!K216="","",PRINT_SHEET!K216)</f>
        <v/>
      </c>
      <c r="L216" s="53">
        <f>IF(PRINT_SHEET!L216="","",PRINT_SHEET!L216)</f>
        <v/>
      </c>
    </row>
    <row r="217" ht="20" customHeight="1">
      <c r="A217" s="52">
        <f>IF(PRINT_SHEET!A217="","",PRINT_SHEET!A217)</f>
        <v/>
      </c>
      <c r="B217" s="53">
        <f>IF(PRINT_SHEET!B217="","",PRINT_SHEET!B217)</f>
        <v/>
      </c>
      <c r="C217" s="56">
        <f>IF(PRINT_SHEET!C217="","",PRINT_SHEET!C217)</f>
        <v/>
      </c>
      <c r="D217" s="56">
        <f>IF(PRINT_SHEET!D217="","",PRINT_SHEET!D217)</f>
        <v/>
      </c>
      <c r="E217" s="53">
        <f>IF(PRINT_SHEET!E217="","",PRINT_SHEET!E217)</f>
        <v/>
      </c>
      <c r="F217" s="52">
        <f>IF(PRINT_SHEET!F217="","",PRINT_SHEET!F217)</f>
        <v/>
      </c>
      <c r="G217" s="54">
        <f>IF(PRINT_SHEET!G217="","",PRINT_SHEET!G217)</f>
        <v/>
      </c>
      <c r="H217" s="54">
        <f>IF(PRINT_SHEET!H217="","",PRINT_SHEET!H217)</f>
        <v/>
      </c>
      <c r="I217" s="54">
        <f>IF(PRINT_SHEET!I217="","",PRINT_SHEET!I217)</f>
        <v/>
      </c>
      <c r="J217" s="53">
        <f>IFERROR(INDEX({"ادا شدہ","جزوی","بقایا"},MATCH(PRINT_SHEET!J217,{"PAID","PARTIAL","PENDING"},0)),PRINT_SHEET!J217)</f>
        <v/>
      </c>
      <c r="K217" s="55">
        <f>IF(PRINT_SHEET!K217="","",PRINT_SHEET!K217)</f>
        <v/>
      </c>
      <c r="L217" s="53">
        <f>IF(PRINT_SHEET!L217="","",PRINT_SHEET!L217)</f>
        <v/>
      </c>
    </row>
    <row r="218" ht="20" customHeight="1">
      <c r="A218" s="52">
        <f>IF(PRINT_SHEET!A218="","",PRINT_SHEET!A218)</f>
        <v/>
      </c>
      <c r="B218" s="53">
        <f>IF(PRINT_SHEET!B218="","",PRINT_SHEET!B218)</f>
        <v/>
      </c>
      <c r="C218" s="56">
        <f>IF(PRINT_SHEET!C218="","",PRINT_SHEET!C218)</f>
        <v/>
      </c>
      <c r="D218" s="56">
        <f>IF(PRINT_SHEET!D218="","",PRINT_SHEET!D218)</f>
        <v/>
      </c>
      <c r="E218" s="53">
        <f>IF(PRINT_SHEET!E218="","",PRINT_SHEET!E218)</f>
        <v/>
      </c>
      <c r="F218" s="52">
        <f>IF(PRINT_SHEET!F218="","",PRINT_SHEET!F218)</f>
        <v/>
      </c>
      <c r="G218" s="54">
        <f>IF(PRINT_SHEET!G218="","",PRINT_SHEET!G218)</f>
        <v/>
      </c>
      <c r="H218" s="54">
        <f>IF(PRINT_SHEET!H218="","",PRINT_SHEET!H218)</f>
        <v/>
      </c>
      <c r="I218" s="54">
        <f>IF(PRINT_SHEET!I218="","",PRINT_SHEET!I218)</f>
        <v/>
      </c>
      <c r="J218" s="53">
        <f>IFERROR(INDEX({"ادا شدہ","جزوی","بقایا"},MATCH(PRINT_SHEET!J218,{"PAID","PARTIAL","PENDING"},0)),PRINT_SHEET!J218)</f>
        <v/>
      </c>
      <c r="K218" s="55">
        <f>IF(PRINT_SHEET!K218="","",PRINT_SHEET!K218)</f>
        <v/>
      </c>
      <c r="L218" s="53">
        <f>IF(PRINT_SHEET!L218="","",PRINT_SHEET!L218)</f>
        <v/>
      </c>
    </row>
    <row r="219" ht="20" customHeight="1">
      <c r="A219" s="52">
        <f>IF(PRINT_SHEET!A219="","",PRINT_SHEET!A219)</f>
        <v/>
      </c>
      <c r="B219" s="53">
        <f>IF(PRINT_SHEET!B219="","",PRINT_SHEET!B219)</f>
        <v/>
      </c>
      <c r="C219" s="56">
        <f>IF(PRINT_SHEET!C219="","",PRINT_SHEET!C219)</f>
        <v/>
      </c>
      <c r="D219" s="56">
        <f>IF(PRINT_SHEET!D219="","",PRINT_SHEET!D219)</f>
        <v/>
      </c>
      <c r="E219" s="53">
        <f>IF(PRINT_SHEET!E219="","",PRINT_SHEET!E219)</f>
        <v/>
      </c>
      <c r="F219" s="52">
        <f>IF(PRINT_SHEET!F219="","",PRINT_SHEET!F219)</f>
        <v/>
      </c>
      <c r="G219" s="54">
        <f>IF(PRINT_SHEET!G219="","",PRINT_SHEET!G219)</f>
        <v/>
      </c>
      <c r="H219" s="54">
        <f>IF(PRINT_SHEET!H219="","",PRINT_SHEET!H219)</f>
        <v/>
      </c>
      <c r="I219" s="54">
        <f>IF(PRINT_SHEET!I219="","",PRINT_SHEET!I219)</f>
        <v/>
      </c>
      <c r="J219" s="53">
        <f>IFERROR(INDEX({"ادا شدہ","جزوی","بقایا"},MATCH(PRINT_SHEET!J219,{"PAID","PARTIAL","PENDING"},0)),PRINT_SHEET!J219)</f>
        <v/>
      </c>
      <c r="K219" s="55">
        <f>IF(PRINT_SHEET!K219="","",PRINT_SHEET!K219)</f>
        <v/>
      </c>
      <c r="L219" s="53">
        <f>IF(PRINT_SHEET!L219="","",PRINT_SHEET!L219)</f>
        <v/>
      </c>
    </row>
    <row r="220" ht="20" customHeight="1">
      <c r="A220" s="52">
        <f>IF(PRINT_SHEET!A220="","",PRINT_SHEET!A220)</f>
        <v/>
      </c>
      <c r="B220" s="53">
        <f>IF(PRINT_SHEET!B220="","",PRINT_SHEET!B220)</f>
        <v/>
      </c>
      <c r="C220" s="56">
        <f>IF(PRINT_SHEET!C220="","",PRINT_SHEET!C220)</f>
        <v/>
      </c>
      <c r="D220" s="56">
        <f>IF(PRINT_SHEET!D220="","",PRINT_SHEET!D220)</f>
        <v/>
      </c>
      <c r="E220" s="53">
        <f>IF(PRINT_SHEET!E220="","",PRINT_SHEET!E220)</f>
        <v/>
      </c>
      <c r="F220" s="52">
        <f>IF(PRINT_SHEET!F220="","",PRINT_SHEET!F220)</f>
        <v/>
      </c>
      <c r="G220" s="54">
        <f>IF(PRINT_SHEET!G220="","",PRINT_SHEET!G220)</f>
        <v/>
      </c>
      <c r="H220" s="54">
        <f>IF(PRINT_SHEET!H220="","",PRINT_SHEET!H220)</f>
        <v/>
      </c>
      <c r="I220" s="54">
        <f>IF(PRINT_SHEET!I220="","",PRINT_SHEET!I220)</f>
        <v/>
      </c>
      <c r="J220" s="53">
        <f>IFERROR(INDEX({"ادا شدہ","جزوی","بقایا"},MATCH(PRINT_SHEET!J220,{"PAID","PARTIAL","PENDING"},0)),PRINT_SHEET!J220)</f>
        <v/>
      </c>
      <c r="K220" s="55">
        <f>IF(PRINT_SHEET!K220="","",PRINT_SHEET!K220)</f>
        <v/>
      </c>
      <c r="L220" s="53">
        <f>IF(PRINT_SHEET!L220="","",PRINT_SHEET!L220)</f>
        <v/>
      </c>
    </row>
    <row r="221" ht="20" customHeight="1">
      <c r="A221" s="52">
        <f>IF(PRINT_SHEET!A221="","",PRINT_SHEET!A221)</f>
        <v/>
      </c>
      <c r="B221" s="53">
        <f>IF(PRINT_SHEET!B221="","",PRINT_SHEET!B221)</f>
        <v/>
      </c>
      <c r="C221" s="56">
        <f>IF(PRINT_SHEET!C221="","",PRINT_SHEET!C221)</f>
        <v/>
      </c>
      <c r="D221" s="56">
        <f>IF(PRINT_SHEET!D221="","",PRINT_SHEET!D221)</f>
        <v/>
      </c>
      <c r="E221" s="53">
        <f>IF(PRINT_SHEET!E221="","",PRINT_SHEET!E221)</f>
        <v/>
      </c>
      <c r="F221" s="52">
        <f>IF(PRINT_SHEET!F221="","",PRINT_SHEET!F221)</f>
        <v/>
      </c>
      <c r="G221" s="54">
        <f>IF(PRINT_SHEET!G221="","",PRINT_SHEET!G221)</f>
        <v/>
      </c>
      <c r="H221" s="54">
        <f>IF(PRINT_SHEET!H221="","",PRINT_SHEET!H221)</f>
        <v/>
      </c>
      <c r="I221" s="54">
        <f>IF(PRINT_SHEET!I221="","",PRINT_SHEET!I221)</f>
        <v/>
      </c>
      <c r="J221" s="53">
        <f>IFERROR(INDEX({"ادا شدہ","جزوی","بقایا"},MATCH(PRINT_SHEET!J221,{"PAID","PARTIAL","PENDING"},0)),PRINT_SHEET!J221)</f>
        <v/>
      </c>
      <c r="K221" s="55">
        <f>IF(PRINT_SHEET!K221="","",PRINT_SHEET!K221)</f>
        <v/>
      </c>
      <c r="L221" s="53">
        <f>IF(PRINT_SHEET!L221="","",PRINT_SHEET!L221)</f>
        <v/>
      </c>
    </row>
    <row r="222" ht="20" customHeight="1">
      <c r="A222" s="52">
        <f>IF(PRINT_SHEET!A222="","",PRINT_SHEET!A222)</f>
        <v/>
      </c>
      <c r="B222" s="53">
        <f>IF(PRINT_SHEET!B222="","",PRINT_SHEET!B222)</f>
        <v/>
      </c>
      <c r="C222" s="56">
        <f>IF(PRINT_SHEET!C222="","",PRINT_SHEET!C222)</f>
        <v/>
      </c>
      <c r="D222" s="56">
        <f>IF(PRINT_SHEET!D222="","",PRINT_SHEET!D222)</f>
        <v/>
      </c>
      <c r="E222" s="53">
        <f>IF(PRINT_SHEET!E222="","",PRINT_SHEET!E222)</f>
        <v/>
      </c>
      <c r="F222" s="52">
        <f>IF(PRINT_SHEET!F222="","",PRINT_SHEET!F222)</f>
        <v/>
      </c>
      <c r="G222" s="54">
        <f>IF(PRINT_SHEET!G222="","",PRINT_SHEET!G222)</f>
        <v/>
      </c>
      <c r="H222" s="54">
        <f>IF(PRINT_SHEET!H222="","",PRINT_SHEET!H222)</f>
        <v/>
      </c>
      <c r="I222" s="54">
        <f>IF(PRINT_SHEET!I222="","",PRINT_SHEET!I222)</f>
        <v/>
      </c>
      <c r="J222" s="53">
        <f>IFERROR(INDEX({"ادا شدہ","جزوی","بقایا"},MATCH(PRINT_SHEET!J222,{"PAID","PARTIAL","PENDING"},0)),PRINT_SHEET!J222)</f>
        <v/>
      </c>
      <c r="K222" s="55">
        <f>IF(PRINT_SHEET!K222="","",PRINT_SHEET!K222)</f>
        <v/>
      </c>
      <c r="L222" s="53">
        <f>IF(PRINT_SHEET!L222="","",PRINT_SHEET!L222)</f>
        <v/>
      </c>
    </row>
    <row r="223" ht="20" customHeight="1">
      <c r="A223" s="52">
        <f>IF(PRINT_SHEET!A223="","",PRINT_SHEET!A223)</f>
        <v/>
      </c>
      <c r="B223" s="53">
        <f>IF(PRINT_SHEET!B223="","",PRINT_SHEET!B223)</f>
        <v/>
      </c>
      <c r="C223" s="56">
        <f>IF(PRINT_SHEET!C223="","",PRINT_SHEET!C223)</f>
        <v/>
      </c>
      <c r="D223" s="56">
        <f>IF(PRINT_SHEET!D223="","",PRINT_SHEET!D223)</f>
        <v/>
      </c>
      <c r="E223" s="53">
        <f>IF(PRINT_SHEET!E223="","",PRINT_SHEET!E223)</f>
        <v/>
      </c>
      <c r="F223" s="52">
        <f>IF(PRINT_SHEET!F223="","",PRINT_SHEET!F223)</f>
        <v/>
      </c>
      <c r="G223" s="54">
        <f>IF(PRINT_SHEET!G223="","",PRINT_SHEET!G223)</f>
        <v/>
      </c>
      <c r="H223" s="54">
        <f>IF(PRINT_SHEET!H223="","",PRINT_SHEET!H223)</f>
        <v/>
      </c>
      <c r="I223" s="54">
        <f>IF(PRINT_SHEET!I223="","",PRINT_SHEET!I223)</f>
        <v/>
      </c>
      <c r="J223" s="53">
        <f>IFERROR(INDEX({"ادا شدہ","جزوی","بقایا"},MATCH(PRINT_SHEET!J223,{"PAID","PARTIAL","PENDING"},0)),PRINT_SHEET!J223)</f>
        <v/>
      </c>
      <c r="K223" s="55">
        <f>IF(PRINT_SHEET!K223="","",PRINT_SHEET!K223)</f>
        <v/>
      </c>
      <c r="L223" s="53">
        <f>IF(PRINT_SHEET!L223="","",PRINT_SHEET!L223)</f>
        <v/>
      </c>
    </row>
    <row r="224" ht="20" customHeight="1">
      <c r="A224" s="52">
        <f>IF(PRINT_SHEET!A224="","",PRINT_SHEET!A224)</f>
        <v/>
      </c>
      <c r="B224" s="53">
        <f>IF(PRINT_SHEET!B224="","",PRINT_SHEET!B224)</f>
        <v/>
      </c>
      <c r="C224" s="56">
        <f>IF(PRINT_SHEET!C224="","",PRINT_SHEET!C224)</f>
        <v/>
      </c>
      <c r="D224" s="56">
        <f>IF(PRINT_SHEET!D224="","",PRINT_SHEET!D224)</f>
        <v/>
      </c>
      <c r="E224" s="53">
        <f>IF(PRINT_SHEET!E224="","",PRINT_SHEET!E224)</f>
        <v/>
      </c>
      <c r="F224" s="52">
        <f>IF(PRINT_SHEET!F224="","",PRINT_SHEET!F224)</f>
        <v/>
      </c>
      <c r="G224" s="54">
        <f>IF(PRINT_SHEET!G224="","",PRINT_SHEET!G224)</f>
        <v/>
      </c>
      <c r="H224" s="54">
        <f>IF(PRINT_SHEET!H224="","",PRINT_SHEET!H224)</f>
        <v/>
      </c>
      <c r="I224" s="54">
        <f>IF(PRINT_SHEET!I224="","",PRINT_SHEET!I224)</f>
        <v/>
      </c>
      <c r="J224" s="53">
        <f>IFERROR(INDEX({"ادا شدہ","جزوی","بقایا"},MATCH(PRINT_SHEET!J224,{"PAID","PARTIAL","PENDING"},0)),PRINT_SHEET!J224)</f>
        <v/>
      </c>
      <c r="K224" s="55">
        <f>IF(PRINT_SHEET!K224="","",PRINT_SHEET!K224)</f>
        <v/>
      </c>
      <c r="L224" s="53">
        <f>IF(PRINT_SHEET!L224="","",PRINT_SHEET!L224)</f>
        <v/>
      </c>
    </row>
    <row r="225" ht="20" customHeight="1">
      <c r="A225" s="52">
        <f>IF(PRINT_SHEET!A225="","",PRINT_SHEET!A225)</f>
        <v/>
      </c>
      <c r="B225" s="53">
        <f>IF(PRINT_SHEET!B225="","",PRINT_SHEET!B225)</f>
        <v/>
      </c>
      <c r="C225" s="56">
        <f>IF(PRINT_SHEET!C225="","",PRINT_SHEET!C225)</f>
        <v/>
      </c>
      <c r="D225" s="56">
        <f>IF(PRINT_SHEET!D225="","",PRINT_SHEET!D225)</f>
        <v/>
      </c>
      <c r="E225" s="53">
        <f>IF(PRINT_SHEET!E225="","",PRINT_SHEET!E225)</f>
        <v/>
      </c>
      <c r="F225" s="52">
        <f>IF(PRINT_SHEET!F225="","",PRINT_SHEET!F225)</f>
        <v/>
      </c>
      <c r="G225" s="54">
        <f>IF(PRINT_SHEET!G225="","",PRINT_SHEET!G225)</f>
        <v/>
      </c>
      <c r="H225" s="54">
        <f>IF(PRINT_SHEET!H225="","",PRINT_SHEET!H225)</f>
        <v/>
      </c>
      <c r="I225" s="54">
        <f>IF(PRINT_SHEET!I225="","",PRINT_SHEET!I225)</f>
        <v/>
      </c>
      <c r="J225" s="53">
        <f>IFERROR(INDEX({"ادا شدہ","جزوی","بقایا"},MATCH(PRINT_SHEET!J225,{"PAID","PARTIAL","PENDING"},0)),PRINT_SHEET!J225)</f>
        <v/>
      </c>
      <c r="K225" s="55">
        <f>IF(PRINT_SHEET!K225="","",PRINT_SHEET!K225)</f>
        <v/>
      </c>
      <c r="L225" s="53">
        <f>IF(PRINT_SHEET!L225="","",PRINT_SHEET!L225)</f>
        <v/>
      </c>
    </row>
    <row r="226" ht="20" customHeight="1">
      <c r="A226" s="52">
        <f>IF(PRINT_SHEET!A226="","",PRINT_SHEET!A226)</f>
        <v/>
      </c>
      <c r="B226" s="53">
        <f>IF(PRINT_SHEET!B226="","",PRINT_SHEET!B226)</f>
        <v/>
      </c>
      <c r="C226" s="56">
        <f>IF(PRINT_SHEET!C226="","",PRINT_SHEET!C226)</f>
        <v/>
      </c>
      <c r="D226" s="56">
        <f>IF(PRINT_SHEET!D226="","",PRINT_SHEET!D226)</f>
        <v/>
      </c>
      <c r="E226" s="53">
        <f>IF(PRINT_SHEET!E226="","",PRINT_SHEET!E226)</f>
        <v/>
      </c>
      <c r="F226" s="52">
        <f>IF(PRINT_SHEET!F226="","",PRINT_SHEET!F226)</f>
        <v/>
      </c>
      <c r="G226" s="54">
        <f>IF(PRINT_SHEET!G226="","",PRINT_SHEET!G226)</f>
        <v/>
      </c>
      <c r="H226" s="54">
        <f>IF(PRINT_SHEET!H226="","",PRINT_SHEET!H226)</f>
        <v/>
      </c>
      <c r="I226" s="54">
        <f>IF(PRINT_SHEET!I226="","",PRINT_SHEET!I226)</f>
        <v/>
      </c>
      <c r="J226" s="53">
        <f>IFERROR(INDEX({"ادا شدہ","جزوی","بقایا"},MATCH(PRINT_SHEET!J226,{"PAID","PARTIAL","PENDING"},0)),PRINT_SHEET!J226)</f>
        <v/>
      </c>
      <c r="K226" s="55">
        <f>IF(PRINT_SHEET!K226="","",PRINT_SHEET!K226)</f>
        <v/>
      </c>
      <c r="L226" s="53">
        <f>IF(PRINT_SHEET!L226="","",PRINT_SHEET!L226)</f>
        <v/>
      </c>
    </row>
    <row r="227" ht="20" customHeight="1">
      <c r="A227" s="52">
        <f>IF(PRINT_SHEET!A227="","",PRINT_SHEET!A227)</f>
        <v/>
      </c>
      <c r="B227" s="53">
        <f>IF(PRINT_SHEET!B227="","",PRINT_SHEET!B227)</f>
        <v/>
      </c>
      <c r="C227" s="56">
        <f>IF(PRINT_SHEET!C227="","",PRINT_SHEET!C227)</f>
        <v/>
      </c>
      <c r="D227" s="56">
        <f>IF(PRINT_SHEET!D227="","",PRINT_SHEET!D227)</f>
        <v/>
      </c>
      <c r="E227" s="53">
        <f>IF(PRINT_SHEET!E227="","",PRINT_SHEET!E227)</f>
        <v/>
      </c>
      <c r="F227" s="52">
        <f>IF(PRINT_SHEET!F227="","",PRINT_SHEET!F227)</f>
        <v/>
      </c>
      <c r="G227" s="54">
        <f>IF(PRINT_SHEET!G227="","",PRINT_SHEET!G227)</f>
        <v/>
      </c>
      <c r="H227" s="54">
        <f>IF(PRINT_SHEET!H227="","",PRINT_SHEET!H227)</f>
        <v/>
      </c>
      <c r="I227" s="54">
        <f>IF(PRINT_SHEET!I227="","",PRINT_SHEET!I227)</f>
        <v/>
      </c>
      <c r="J227" s="53">
        <f>IFERROR(INDEX({"ادا شدہ","جزوی","بقایا"},MATCH(PRINT_SHEET!J227,{"PAID","PARTIAL","PENDING"},0)),PRINT_SHEET!J227)</f>
        <v/>
      </c>
      <c r="K227" s="55">
        <f>IF(PRINT_SHEET!K227="","",PRINT_SHEET!K227)</f>
        <v/>
      </c>
      <c r="L227" s="53">
        <f>IF(PRINT_SHEET!L227="","",PRINT_SHEET!L227)</f>
        <v/>
      </c>
    </row>
    <row r="228" ht="20" customHeight="1">
      <c r="A228" s="52">
        <f>IF(PRINT_SHEET!A228="","",PRINT_SHEET!A228)</f>
        <v/>
      </c>
      <c r="B228" s="53">
        <f>IF(PRINT_SHEET!B228="","",PRINT_SHEET!B228)</f>
        <v/>
      </c>
      <c r="C228" s="56">
        <f>IF(PRINT_SHEET!C228="","",PRINT_SHEET!C228)</f>
        <v/>
      </c>
      <c r="D228" s="56">
        <f>IF(PRINT_SHEET!D228="","",PRINT_SHEET!D228)</f>
        <v/>
      </c>
      <c r="E228" s="53">
        <f>IF(PRINT_SHEET!E228="","",PRINT_SHEET!E228)</f>
        <v/>
      </c>
      <c r="F228" s="52">
        <f>IF(PRINT_SHEET!F228="","",PRINT_SHEET!F228)</f>
        <v/>
      </c>
      <c r="G228" s="54">
        <f>IF(PRINT_SHEET!G228="","",PRINT_SHEET!G228)</f>
        <v/>
      </c>
      <c r="H228" s="54">
        <f>IF(PRINT_SHEET!H228="","",PRINT_SHEET!H228)</f>
        <v/>
      </c>
      <c r="I228" s="54">
        <f>IF(PRINT_SHEET!I228="","",PRINT_SHEET!I228)</f>
        <v/>
      </c>
      <c r="J228" s="53">
        <f>IFERROR(INDEX({"ادا شدہ","جزوی","بقایا"},MATCH(PRINT_SHEET!J228,{"PAID","PARTIAL","PENDING"},0)),PRINT_SHEET!J228)</f>
        <v/>
      </c>
      <c r="K228" s="55">
        <f>IF(PRINT_SHEET!K228="","",PRINT_SHEET!K228)</f>
        <v/>
      </c>
      <c r="L228" s="53">
        <f>IF(PRINT_SHEET!L228="","",PRINT_SHEET!L228)</f>
        <v/>
      </c>
    </row>
    <row r="229" ht="20" customHeight="1">
      <c r="A229" s="52">
        <f>IF(PRINT_SHEET!A229="","",PRINT_SHEET!A229)</f>
        <v/>
      </c>
      <c r="B229" s="53">
        <f>IF(PRINT_SHEET!B229="","",PRINT_SHEET!B229)</f>
        <v/>
      </c>
      <c r="C229" s="56">
        <f>IF(PRINT_SHEET!C229="","",PRINT_SHEET!C229)</f>
        <v/>
      </c>
      <c r="D229" s="56">
        <f>IF(PRINT_SHEET!D229="","",PRINT_SHEET!D229)</f>
        <v/>
      </c>
      <c r="E229" s="53">
        <f>IF(PRINT_SHEET!E229="","",PRINT_SHEET!E229)</f>
        <v/>
      </c>
      <c r="F229" s="52">
        <f>IF(PRINT_SHEET!F229="","",PRINT_SHEET!F229)</f>
        <v/>
      </c>
      <c r="G229" s="54">
        <f>IF(PRINT_SHEET!G229="","",PRINT_SHEET!G229)</f>
        <v/>
      </c>
      <c r="H229" s="54">
        <f>IF(PRINT_SHEET!H229="","",PRINT_SHEET!H229)</f>
        <v/>
      </c>
      <c r="I229" s="54">
        <f>IF(PRINT_SHEET!I229="","",PRINT_SHEET!I229)</f>
        <v/>
      </c>
      <c r="J229" s="53">
        <f>IFERROR(INDEX({"ادا شدہ","جزوی","بقایا"},MATCH(PRINT_SHEET!J229,{"PAID","PARTIAL","PENDING"},0)),PRINT_SHEET!J229)</f>
        <v/>
      </c>
      <c r="K229" s="55">
        <f>IF(PRINT_SHEET!K229="","",PRINT_SHEET!K229)</f>
        <v/>
      </c>
      <c r="L229" s="53">
        <f>IF(PRINT_SHEET!L229="","",PRINT_SHEET!L229)</f>
        <v/>
      </c>
    </row>
    <row r="230" ht="20" customHeight="1">
      <c r="A230" s="52">
        <f>IF(PRINT_SHEET!A230="","",PRINT_SHEET!A230)</f>
        <v/>
      </c>
      <c r="B230" s="53">
        <f>IF(PRINT_SHEET!B230="","",PRINT_SHEET!B230)</f>
        <v/>
      </c>
      <c r="C230" s="56">
        <f>IF(PRINT_SHEET!C230="","",PRINT_SHEET!C230)</f>
        <v/>
      </c>
      <c r="D230" s="56">
        <f>IF(PRINT_SHEET!D230="","",PRINT_SHEET!D230)</f>
        <v/>
      </c>
      <c r="E230" s="53">
        <f>IF(PRINT_SHEET!E230="","",PRINT_SHEET!E230)</f>
        <v/>
      </c>
      <c r="F230" s="52">
        <f>IF(PRINT_SHEET!F230="","",PRINT_SHEET!F230)</f>
        <v/>
      </c>
      <c r="G230" s="54">
        <f>IF(PRINT_SHEET!G230="","",PRINT_SHEET!G230)</f>
        <v/>
      </c>
      <c r="H230" s="54">
        <f>IF(PRINT_SHEET!H230="","",PRINT_SHEET!H230)</f>
        <v/>
      </c>
      <c r="I230" s="54">
        <f>IF(PRINT_SHEET!I230="","",PRINT_SHEET!I230)</f>
        <v/>
      </c>
      <c r="J230" s="53">
        <f>IFERROR(INDEX({"ادا شدہ","جزوی","بقایا"},MATCH(PRINT_SHEET!J230,{"PAID","PARTIAL","PENDING"},0)),PRINT_SHEET!J230)</f>
        <v/>
      </c>
      <c r="K230" s="55">
        <f>IF(PRINT_SHEET!K230="","",PRINT_SHEET!K230)</f>
        <v/>
      </c>
      <c r="L230" s="53">
        <f>IF(PRINT_SHEET!L230="","",PRINT_SHEET!L230)</f>
        <v/>
      </c>
    </row>
    <row r="231" ht="20" customHeight="1">
      <c r="A231" s="52">
        <f>IF(PRINT_SHEET!A231="","",PRINT_SHEET!A231)</f>
        <v/>
      </c>
      <c r="B231" s="53">
        <f>IF(PRINT_SHEET!B231="","",PRINT_SHEET!B231)</f>
        <v/>
      </c>
      <c r="C231" s="56">
        <f>IF(PRINT_SHEET!C231="","",PRINT_SHEET!C231)</f>
        <v/>
      </c>
      <c r="D231" s="56">
        <f>IF(PRINT_SHEET!D231="","",PRINT_SHEET!D231)</f>
        <v/>
      </c>
      <c r="E231" s="53">
        <f>IF(PRINT_SHEET!E231="","",PRINT_SHEET!E231)</f>
        <v/>
      </c>
      <c r="F231" s="52">
        <f>IF(PRINT_SHEET!F231="","",PRINT_SHEET!F231)</f>
        <v/>
      </c>
      <c r="G231" s="54">
        <f>IF(PRINT_SHEET!G231="","",PRINT_SHEET!G231)</f>
        <v/>
      </c>
      <c r="H231" s="54">
        <f>IF(PRINT_SHEET!H231="","",PRINT_SHEET!H231)</f>
        <v/>
      </c>
      <c r="I231" s="54">
        <f>IF(PRINT_SHEET!I231="","",PRINT_SHEET!I231)</f>
        <v/>
      </c>
      <c r="J231" s="53">
        <f>IFERROR(INDEX({"ادا شدہ","جزوی","بقایا"},MATCH(PRINT_SHEET!J231,{"PAID","PARTIAL","PENDING"},0)),PRINT_SHEET!J231)</f>
        <v/>
      </c>
      <c r="K231" s="55">
        <f>IF(PRINT_SHEET!K231="","",PRINT_SHEET!K231)</f>
        <v/>
      </c>
      <c r="L231" s="53">
        <f>IF(PRINT_SHEET!L231="","",PRINT_SHEET!L231)</f>
        <v/>
      </c>
    </row>
    <row r="232" ht="20" customHeight="1">
      <c r="A232" s="52">
        <f>IF(PRINT_SHEET!A232="","",PRINT_SHEET!A232)</f>
        <v/>
      </c>
      <c r="B232" s="53">
        <f>IF(PRINT_SHEET!B232="","",PRINT_SHEET!B232)</f>
        <v/>
      </c>
      <c r="C232" s="56">
        <f>IF(PRINT_SHEET!C232="","",PRINT_SHEET!C232)</f>
        <v/>
      </c>
      <c r="D232" s="56">
        <f>IF(PRINT_SHEET!D232="","",PRINT_SHEET!D232)</f>
        <v/>
      </c>
      <c r="E232" s="53">
        <f>IF(PRINT_SHEET!E232="","",PRINT_SHEET!E232)</f>
        <v/>
      </c>
      <c r="F232" s="52">
        <f>IF(PRINT_SHEET!F232="","",PRINT_SHEET!F232)</f>
        <v/>
      </c>
      <c r="G232" s="54">
        <f>IF(PRINT_SHEET!G232="","",PRINT_SHEET!G232)</f>
        <v/>
      </c>
      <c r="H232" s="54">
        <f>IF(PRINT_SHEET!H232="","",PRINT_SHEET!H232)</f>
        <v/>
      </c>
      <c r="I232" s="54">
        <f>IF(PRINT_SHEET!I232="","",PRINT_SHEET!I232)</f>
        <v/>
      </c>
      <c r="J232" s="53">
        <f>IFERROR(INDEX({"ادا شدہ","جزوی","بقایا"},MATCH(PRINT_SHEET!J232,{"PAID","PARTIAL","PENDING"},0)),PRINT_SHEET!J232)</f>
        <v/>
      </c>
      <c r="K232" s="55">
        <f>IF(PRINT_SHEET!K232="","",PRINT_SHEET!K232)</f>
        <v/>
      </c>
      <c r="L232" s="53">
        <f>IF(PRINT_SHEET!L232="","",PRINT_SHEET!L232)</f>
        <v/>
      </c>
    </row>
    <row r="233" ht="20" customHeight="1">
      <c r="A233" s="52">
        <f>IF(PRINT_SHEET!A233="","",PRINT_SHEET!A233)</f>
        <v/>
      </c>
      <c r="B233" s="53">
        <f>IF(PRINT_SHEET!B233="","",PRINT_SHEET!B233)</f>
        <v/>
      </c>
      <c r="C233" s="56">
        <f>IF(PRINT_SHEET!C233="","",PRINT_SHEET!C233)</f>
        <v/>
      </c>
      <c r="D233" s="56">
        <f>IF(PRINT_SHEET!D233="","",PRINT_SHEET!D233)</f>
        <v/>
      </c>
      <c r="E233" s="53">
        <f>IF(PRINT_SHEET!E233="","",PRINT_SHEET!E233)</f>
        <v/>
      </c>
      <c r="F233" s="52">
        <f>IF(PRINT_SHEET!F233="","",PRINT_SHEET!F233)</f>
        <v/>
      </c>
      <c r="G233" s="54">
        <f>IF(PRINT_SHEET!G233="","",PRINT_SHEET!G233)</f>
        <v/>
      </c>
      <c r="H233" s="54">
        <f>IF(PRINT_SHEET!H233="","",PRINT_SHEET!H233)</f>
        <v/>
      </c>
      <c r="I233" s="54">
        <f>IF(PRINT_SHEET!I233="","",PRINT_SHEET!I233)</f>
        <v/>
      </c>
      <c r="J233" s="53">
        <f>IFERROR(INDEX({"ادا شدہ","جزوی","بقایا"},MATCH(PRINT_SHEET!J233,{"PAID","PARTIAL","PENDING"},0)),PRINT_SHEET!J233)</f>
        <v/>
      </c>
      <c r="K233" s="55">
        <f>IF(PRINT_SHEET!K233="","",PRINT_SHEET!K233)</f>
        <v/>
      </c>
      <c r="L233" s="53">
        <f>IF(PRINT_SHEET!L233="","",PRINT_SHEET!L233)</f>
        <v/>
      </c>
    </row>
    <row r="234" ht="20" customHeight="1">
      <c r="A234" s="52">
        <f>IF(PRINT_SHEET!A234="","",PRINT_SHEET!A234)</f>
        <v/>
      </c>
      <c r="B234" s="53">
        <f>IF(PRINT_SHEET!B234="","",PRINT_SHEET!B234)</f>
        <v/>
      </c>
      <c r="C234" s="56">
        <f>IF(PRINT_SHEET!C234="","",PRINT_SHEET!C234)</f>
        <v/>
      </c>
      <c r="D234" s="56">
        <f>IF(PRINT_SHEET!D234="","",PRINT_SHEET!D234)</f>
        <v/>
      </c>
      <c r="E234" s="53">
        <f>IF(PRINT_SHEET!E234="","",PRINT_SHEET!E234)</f>
        <v/>
      </c>
      <c r="F234" s="52">
        <f>IF(PRINT_SHEET!F234="","",PRINT_SHEET!F234)</f>
        <v/>
      </c>
      <c r="G234" s="54">
        <f>IF(PRINT_SHEET!G234="","",PRINT_SHEET!G234)</f>
        <v/>
      </c>
      <c r="H234" s="54">
        <f>IF(PRINT_SHEET!H234="","",PRINT_SHEET!H234)</f>
        <v/>
      </c>
      <c r="I234" s="54">
        <f>IF(PRINT_SHEET!I234="","",PRINT_SHEET!I234)</f>
        <v/>
      </c>
      <c r="J234" s="53">
        <f>IFERROR(INDEX({"ادا شدہ","جزوی","بقایا"},MATCH(PRINT_SHEET!J234,{"PAID","PARTIAL","PENDING"},0)),PRINT_SHEET!J234)</f>
        <v/>
      </c>
      <c r="K234" s="55">
        <f>IF(PRINT_SHEET!K234="","",PRINT_SHEET!K234)</f>
        <v/>
      </c>
      <c r="L234" s="53">
        <f>IF(PRINT_SHEET!L234="","",PRINT_SHEET!L234)</f>
        <v/>
      </c>
    </row>
    <row r="235" ht="20" customHeight="1">
      <c r="A235" s="52">
        <f>IF(PRINT_SHEET!A235="","",PRINT_SHEET!A235)</f>
        <v/>
      </c>
      <c r="B235" s="53">
        <f>IF(PRINT_SHEET!B235="","",PRINT_SHEET!B235)</f>
        <v/>
      </c>
      <c r="C235" s="56">
        <f>IF(PRINT_SHEET!C235="","",PRINT_SHEET!C235)</f>
        <v/>
      </c>
      <c r="D235" s="56">
        <f>IF(PRINT_SHEET!D235="","",PRINT_SHEET!D235)</f>
        <v/>
      </c>
      <c r="E235" s="53">
        <f>IF(PRINT_SHEET!E235="","",PRINT_SHEET!E235)</f>
        <v/>
      </c>
      <c r="F235" s="52">
        <f>IF(PRINT_SHEET!F235="","",PRINT_SHEET!F235)</f>
        <v/>
      </c>
      <c r="G235" s="54">
        <f>IF(PRINT_SHEET!G235="","",PRINT_SHEET!G235)</f>
        <v/>
      </c>
      <c r="H235" s="54">
        <f>IF(PRINT_SHEET!H235="","",PRINT_SHEET!H235)</f>
        <v/>
      </c>
      <c r="I235" s="54">
        <f>IF(PRINT_SHEET!I235="","",PRINT_SHEET!I235)</f>
        <v/>
      </c>
      <c r="J235" s="53">
        <f>IFERROR(INDEX({"ادا شدہ","جزوی","بقایا"},MATCH(PRINT_SHEET!J235,{"PAID","PARTIAL","PENDING"},0)),PRINT_SHEET!J235)</f>
        <v/>
      </c>
      <c r="K235" s="55">
        <f>IF(PRINT_SHEET!K235="","",PRINT_SHEET!K235)</f>
        <v/>
      </c>
      <c r="L235" s="53">
        <f>IF(PRINT_SHEET!L235="","",PRINT_SHEET!L235)</f>
        <v/>
      </c>
    </row>
    <row r="236" ht="20" customHeight="1">
      <c r="A236" s="52">
        <f>IF(PRINT_SHEET!A236="","",PRINT_SHEET!A236)</f>
        <v/>
      </c>
      <c r="B236" s="53">
        <f>IF(PRINT_SHEET!B236="","",PRINT_SHEET!B236)</f>
        <v/>
      </c>
      <c r="C236" s="56">
        <f>IF(PRINT_SHEET!C236="","",PRINT_SHEET!C236)</f>
        <v/>
      </c>
      <c r="D236" s="56">
        <f>IF(PRINT_SHEET!D236="","",PRINT_SHEET!D236)</f>
        <v/>
      </c>
      <c r="E236" s="53">
        <f>IF(PRINT_SHEET!E236="","",PRINT_SHEET!E236)</f>
        <v/>
      </c>
      <c r="F236" s="52">
        <f>IF(PRINT_SHEET!F236="","",PRINT_SHEET!F236)</f>
        <v/>
      </c>
      <c r="G236" s="54">
        <f>IF(PRINT_SHEET!G236="","",PRINT_SHEET!G236)</f>
        <v/>
      </c>
      <c r="H236" s="54">
        <f>IF(PRINT_SHEET!H236="","",PRINT_SHEET!H236)</f>
        <v/>
      </c>
      <c r="I236" s="54">
        <f>IF(PRINT_SHEET!I236="","",PRINT_SHEET!I236)</f>
        <v/>
      </c>
      <c r="J236" s="53">
        <f>IFERROR(INDEX({"ادا شدہ","جزوی","بقایا"},MATCH(PRINT_SHEET!J236,{"PAID","PARTIAL","PENDING"},0)),PRINT_SHEET!J236)</f>
        <v/>
      </c>
      <c r="K236" s="55">
        <f>IF(PRINT_SHEET!K236="","",PRINT_SHEET!K236)</f>
        <v/>
      </c>
      <c r="L236" s="53">
        <f>IF(PRINT_SHEET!L236="","",PRINT_SHEET!L236)</f>
        <v/>
      </c>
    </row>
    <row r="237" ht="20" customHeight="1">
      <c r="A237" s="52">
        <f>IF(PRINT_SHEET!A237="","",PRINT_SHEET!A237)</f>
        <v/>
      </c>
      <c r="B237" s="53">
        <f>IF(PRINT_SHEET!B237="","",PRINT_SHEET!B237)</f>
        <v/>
      </c>
      <c r="C237" s="56">
        <f>IF(PRINT_SHEET!C237="","",PRINT_SHEET!C237)</f>
        <v/>
      </c>
      <c r="D237" s="56">
        <f>IF(PRINT_SHEET!D237="","",PRINT_SHEET!D237)</f>
        <v/>
      </c>
      <c r="E237" s="53">
        <f>IF(PRINT_SHEET!E237="","",PRINT_SHEET!E237)</f>
        <v/>
      </c>
      <c r="F237" s="52">
        <f>IF(PRINT_SHEET!F237="","",PRINT_SHEET!F237)</f>
        <v/>
      </c>
      <c r="G237" s="54">
        <f>IF(PRINT_SHEET!G237="","",PRINT_SHEET!G237)</f>
        <v/>
      </c>
      <c r="H237" s="54">
        <f>IF(PRINT_SHEET!H237="","",PRINT_SHEET!H237)</f>
        <v/>
      </c>
      <c r="I237" s="54">
        <f>IF(PRINT_SHEET!I237="","",PRINT_SHEET!I237)</f>
        <v/>
      </c>
      <c r="J237" s="53">
        <f>IFERROR(INDEX({"ادا شدہ","جزوی","بقایا"},MATCH(PRINT_SHEET!J237,{"PAID","PARTIAL","PENDING"},0)),PRINT_SHEET!J237)</f>
        <v/>
      </c>
      <c r="K237" s="55">
        <f>IF(PRINT_SHEET!K237="","",PRINT_SHEET!K237)</f>
        <v/>
      </c>
      <c r="L237" s="53">
        <f>IF(PRINT_SHEET!L237="","",PRINT_SHEET!L237)</f>
        <v/>
      </c>
    </row>
    <row r="238" ht="20" customHeight="1">
      <c r="A238" s="52">
        <f>IF(PRINT_SHEET!A238="","",PRINT_SHEET!A238)</f>
        <v/>
      </c>
      <c r="B238" s="53">
        <f>IF(PRINT_SHEET!B238="","",PRINT_SHEET!B238)</f>
        <v/>
      </c>
      <c r="C238" s="56">
        <f>IF(PRINT_SHEET!C238="","",PRINT_SHEET!C238)</f>
        <v/>
      </c>
      <c r="D238" s="56">
        <f>IF(PRINT_SHEET!D238="","",PRINT_SHEET!D238)</f>
        <v/>
      </c>
      <c r="E238" s="53">
        <f>IF(PRINT_SHEET!E238="","",PRINT_SHEET!E238)</f>
        <v/>
      </c>
      <c r="F238" s="52">
        <f>IF(PRINT_SHEET!F238="","",PRINT_SHEET!F238)</f>
        <v/>
      </c>
      <c r="G238" s="54">
        <f>IF(PRINT_SHEET!G238="","",PRINT_SHEET!G238)</f>
        <v/>
      </c>
      <c r="H238" s="54">
        <f>IF(PRINT_SHEET!H238="","",PRINT_SHEET!H238)</f>
        <v/>
      </c>
      <c r="I238" s="54">
        <f>IF(PRINT_SHEET!I238="","",PRINT_SHEET!I238)</f>
        <v/>
      </c>
      <c r="J238" s="53">
        <f>IFERROR(INDEX({"ادا شدہ","جزوی","بقایا"},MATCH(PRINT_SHEET!J238,{"PAID","PARTIAL","PENDING"},0)),PRINT_SHEET!J238)</f>
        <v/>
      </c>
      <c r="K238" s="55">
        <f>IF(PRINT_SHEET!K238="","",PRINT_SHEET!K238)</f>
        <v/>
      </c>
      <c r="L238" s="53">
        <f>IF(PRINT_SHEET!L238="","",PRINT_SHEET!L238)</f>
        <v/>
      </c>
    </row>
    <row r="239" ht="20" customHeight="1">
      <c r="A239" s="52">
        <f>IF(PRINT_SHEET!A239="","",PRINT_SHEET!A239)</f>
        <v/>
      </c>
      <c r="B239" s="53">
        <f>IF(PRINT_SHEET!B239="","",PRINT_SHEET!B239)</f>
        <v/>
      </c>
      <c r="C239" s="56">
        <f>IF(PRINT_SHEET!C239="","",PRINT_SHEET!C239)</f>
        <v/>
      </c>
      <c r="D239" s="56">
        <f>IF(PRINT_SHEET!D239="","",PRINT_SHEET!D239)</f>
        <v/>
      </c>
      <c r="E239" s="53">
        <f>IF(PRINT_SHEET!E239="","",PRINT_SHEET!E239)</f>
        <v/>
      </c>
      <c r="F239" s="52">
        <f>IF(PRINT_SHEET!F239="","",PRINT_SHEET!F239)</f>
        <v/>
      </c>
      <c r="G239" s="54">
        <f>IF(PRINT_SHEET!G239="","",PRINT_SHEET!G239)</f>
        <v/>
      </c>
      <c r="H239" s="54">
        <f>IF(PRINT_SHEET!H239="","",PRINT_SHEET!H239)</f>
        <v/>
      </c>
      <c r="I239" s="54">
        <f>IF(PRINT_SHEET!I239="","",PRINT_SHEET!I239)</f>
        <v/>
      </c>
      <c r="J239" s="53">
        <f>IFERROR(INDEX({"ادا شدہ","جزوی","بقایا"},MATCH(PRINT_SHEET!J239,{"PAID","PARTIAL","PENDING"},0)),PRINT_SHEET!J239)</f>
        <v/>
      </c>
      <c r="K239" s="55">
        <f>IF(PRINT_SHEET!K239="","",PRINT_SHEET!K239)</f>
        <v/>
      </c>
      <c r="L239" s="53">
        <f>IF(PRINT_SHEET!L239="","",PRINT_SHEET!L239)</f>
        <v/>
      </c>
    </row>
    <row r="240" ht="20" customHeight="1">
      <c r="A240" s="52">
        <f>IF(PRINT_SHEET!A240="","",PRINT_SHEET!A240)</f>
        <v/>
      </c>
      <c r="B240" s="53">
        <f>IF(PRINT_SHEET!B240="","",PRINT_SHEET!B240)</f>
        <v/>
      </c>
      <c r="C240" s="56">
        <f>IF(PRINT_SHEET!C240="","",PRINT_SHEET!C240)</f>
        <v/>
      </c>
      <c r="D240" s="56">
        <f>IF(PRINT_SHEET!D240="","",PRINT_SHEET!D240)</f>
        <v/>
      </c>
      <c r="E240" s="53">
        <f>IF(PRINT_SHEET!E240="","",PRINT_SHEET!E240)</f>
        <v/>
      </c>
      <c r="F240" s="52">
        <f>IF(PRINT_SHEET!F240="","",PRINT_SHEET!F240)</f>
        <v/>
      </c>
      <c r="G240" s="54">
        <f>IF(PRINT_SHEET!G240="","",PRINT_SHEET!G240)</f>
        <v/>
      </c>
      <c r="H240" s="54">
        <f>IF(PRINT_SHEET!H240="","",PRINT_SHEET!H240)</f>
        <v/>
      </c>
      <c r="I240" s="54">
        <f>IF(PRINT_SHEET!I240="","",PRINT_SHEET!I240)</f>
        <v/>
      </c>
      <c r="J240" s="53">
        <f>IFERROR(INDEX({"ادا شدہ","جزوی","بقایا"},MATCH(PRINT_SHEET!J240,{"PAID","PARTIAL","PENDING"},0)),PRINT_SHEET!J240)</f>
        <v/>
      </c>
      <c r="K240" s="55">
        <f>IF(PRINT_SHEET!K240="","",PRINT_SHEET!K240)</f>
        <v/>
      </c>
      <c r="L240" s="53">
        <f>IF(PRINT_SHEET!L240="","",PRINT_SHEET!L240)</f>
        <v/>
      </c>
    </row>
    <row r="241" ht="20" customHeight="1">
      <c r="A241" s="52">
        <f>IF(PRINT_SHEET!A241="","",PRINT_SHEET!A241)</f>
        <v/>
      </c>
      <c r="B241" s="53">
        <f>IF(PRINT_SHEET!B241="","",PRINT_SHEET!B241)</f>
        <v/>
      </c>
      <c r="C241" s="56">
        <f>IF(PRINT_SHEET!C241="","",PRINT_SHEET!C241)</f>
        <v/>
      </c>
      <c r="D241" s="56">
        <f>IF(PRINT_SHEET!D241="","",PRINT_SHEET!D241)</f>
        <v/>
      </c>
      <c r="E241" s="53">
        <f>IF(PRINT_SHEET!E241="","",PRINT_SHEET!E241)</f>
        <v/>
      </c>
      <c r="F241" s="52">
        <f>IF(PRINT_SHEET!F241="","",PRINT_SHEET!F241)</f>
        <v/>
      </c>
      <c r="G241" s="54">
        <f>IF(PRINT_SHEET!G241="","",PRINT_SHEET!G241)</f>
        <v/>
      </c>
      <c r="H241" s="54">
        <f>IF(PRINT_SHEET!H241="","",PRINT_SHEET!H241)</f>
        <v/>
      </c>
      <c r="I241" s="54">
        <f>IF(PRINT_SHEET!I241="","",PRINT_SHEET!I241)</f>
        <v/>
      </c>
      <c r="J241" s="53">
        <f>IFERROR(INDEX({"ادا شدہ","جزوی","بقایا"},MATCH(PRINT_SHEET!J241,{"PAID","PARTIAL","PENDING"},0)),PRINT_SHEET!J241)</f>
        <v/>
      </c>
      <c r="K241" s="55">
        <f>IF(PRINT_SHEET!K241="","",PRINT_SHEET!K241)</f>
        <v/>
      </c>
      <c r="L241" s="53">
        <f>IF(PRINT_SHEET!L241="","",PRINT_SHEET!L241)</f>
        <v/>
      </c>
    </row>
    <row r="242" ht="20" customHeight="1">
      <c r="A242" s="52">
        <f>IF(PRINT_SHEET!A242="","",PRINT_SHEET!A242)</f>
        <v/>
      </c>
      <c r="B242" s="53">
        <f>IF(PRINT_SHEET!B242="","",PRINT_SHEET!B242)</f>
        <v/>
      </c>
      <c r="C242" s="56">
        <f>IF(PRINT_SHEET!C242="","",PRINT_SHEET!C242)</f>
        <v/>
      </c>
      <c r="D242" s="56">
        <f>IF(PRINT_SHEET!D242="","",PRINT_SHEET!D242)</f>
        <v/>
      </c>
      <c r="E242" s="53">
        <f>IF(PRINT_SHEET!E242="","",PRINT_SHEET!E242)</f>
        <v/>
      </c>
      <c r="F242" s="52">
        <f>IF(PRINT_SHEET!F242="","",PRINT_SHEET!F242)</f>
        <v/>
      </c>
      <c r="G242" s="54">
        <f>IF(PRINT_SHEET!G242="","",PRINT_SHEET!G242)</f>
        <v/>
      </c>
      <c r="H242" s="54">
        <f>IF(PRINT_SHEET!H242="","",PRINT_SHEET!H242)</f>
        <v/>
      </c>
      <c r="I242" s="54">
        <f>IF(PRINT_SHEET!I242="","",PRINT_SHEET!I242)</f>
        <v/>
      </c>
      <c r="J242" s="53">
        <f>IFERROR(INDEX({"ادا شدہ","جزوی","بقایا"},MATCH(PRINT_SHEET!J242,{"PAID","PARTIAL","PENDING"},0)),PRINT_SHEET!J242)</f>
        <v/>
      </c>
      <c r="K242" s="55">
        <f>IF(PRINT_SHEET!K242="","",PRINT_SHEET!K242)</f>
        <v/>
      </c>
      <c r="L242" s="53">
        <f>IF(PRINT_SHEET!L242="","",PRINT_SHEET!L242)</f>
        <v/>
      </c>
    </row>
    <row r="243" ht="20" customHeight="1">
      <c r="A243" s="52">
        <f>IF(PRINT_SHEET!A243="","",PRINT_SHEET!A243)</f>
        <v/>
      </c>
      <c r="B243" s="53">
        <f>IF(PRINT_SHEET!B243="","",PRINT_SHEET!B243)</f>
        <v/>
      </c>
      <c r="C243" s="56">
        <f>IF(PRINT_SHEET!C243="","",PRINT_SHEET!C243)</f>
        <v/>
      </c>
      <c r="D243" s="56">
        <f>IF(PRINT_SHEET!D243="","",PRINT_SHEET!D243)</f>
        <v/>
      </c>
      <c r="E243" s="53">
        <f>IF(PRINT_SHEET!E243="","",PRINT_SHEET!E243)</f>
        <v/>
      </c>
      <c r="F243" s="52">
        <f>IF(PRINT_SHEET!F243="","",PRINT_SHEET!F243)</f>
        <v/>
      </c>
      <c r="G243" s="54">
        <f>IF(PRINT_SHEET!G243="","",PRINT_SHEET!G243)</f>
        <v/>
      </c>
      <c r="H243" s="54">
        <f>IF(PRINT_SHEET!H243="","",PRINT_SHEET!H243)</f>
        <v/>
      </c>
      <c r="I243" s="54">
        <f>IF(PRINT_SHEET!I243="","",PRINT_SHEET!I243)</f>
        <v/>
      </c>
      <c r="J243" s="53">
        <f>IFERROR(INDEX({"ادا شدہ","جزوی","بقایا"},MATCH(PRINT_SHEET!J243,{"PAID","PARTIAL","PENDING"},0)),PRINT_SHEET!J243)</f>
        <v/>
      </c>
      <c r="K243" s="55">
        <f>IF(PRINT_SHEET!K243="","",PRINT_SHEET!K243)</f>
        <v/>
      </c>
      <c r="L243" s="53">
        <f>IF(PRINT_SHEET!L243="","",PRINT_SHEET!L243)</f>
        <v/>
      </c>
    </row>
    <row r="244" ht="20" customHeight="1">
      <c r="A244" s="52">
        <f>IF(PRINT_SHEET!A244="","",PRINT_SHEET!A244)</f>
        <v/>
      </c>
      <c r="B244" s="53">
        <f>IF(PRINT_SHEET!B244="","",PRINT_SHEET!B244)</f>
        <v/>
      </c>
      <c r="C244" s="56">
        <f>IF(PRINT_SHEET!C244="","",PRINT_SHEET!C244)</f>
        <v/>
      </c>
      <c r="D244" s="56">
        <f>IF(PRINT_SHEET!D244="","",PRINT_SHEET!D244)</f>
        <v/>
      </c>
      <c r="E244" s="53">
        <f>IF(PRINT_SHEET!E244="","",PRINT_SHEET!E244)</f>
        <v/>
      </c>
      <c r="F244" s="52">
        <f>IF(PRINT_SHEET!F244="","",PRINT_SHEET!F244)</f>
        <v/>
      </c>
      <c r="G244" s="54">
        <f>IF(PRINT_SHEET!G244="","",PRINT_SHEET!G244)</f>
        <v/>
      </c>
      <c r="H244" s="54">
        <f>IF(PRINT_SHEET!H244="","",PRINT_SHEET!H244)</f>
        <v/>
      </c>
      <c r="I244" s="54">
        <f>IF(PRINT_SHEET!I244="","",PRINT_SHEET!I244)</f>
        <v/>
      </c>
      <c r="J244" s="53">
        <f>IFERROR(INDEX({"ادا شدہ","جزوی","بقایا"},MATCH(PRINT_SHEET!J244,{"PAID","PARTIAL","PENDING"},0)),PRINT_SHEET!J244)</f>
        <v/>
      </c>
      <c r="K244" s="55">
        <f>IF(PRINT_SHEET!K244="","",PRINT_SHEET!K244)</f>
        <v/>
      </c>
      <c r="L244" s="53">
        <f>IF(PRINT_SHEET!L244="","",PRINT_SHEET!L244)</f>
        <v/>
      </c>
    </row>
    <row r="245" ht="20" customHeight="1">
      <c r="A245" s="52">
        <f>IF(PRINT_SHEET!A245="","",PRINT_SHEET!A245)</f>
        <v/>
      </c>
      <c r="B245" s="53">
        <f>IF(PRINT_SHEET!B245="","",PRINT_SHEET!B245)</f>
        <v/>
      </c>
      <c r="C245" s="56">
        <f>IF(PRINT_SHEET!C245="","",PRINT_SHEET!C245)</f>
        <v/>
      </c>
      <c r="D245" s="56">
        <f>IF(PRINT_SHEET!D245="","",PRINT_SHEET!D245)</f>
        <v/>
      </c>
      <c r="E245" s="53">
        <f>IF(PRINT_SHEET!E245="","",PRINT_SHEET!E245)</f>
        <v/>
      </c>
      <c r="F245" s="52">
        <f>IF(PRINT_SHEET!F245="","",PRINT_SHEET!F245)</f>
        <v/>
      </c>
      <c r="G245" s="54">
        <f>IF(PRINT_SHEET!G245="","",PRINT_SHEET!G245)</f>
        <v/>
      </c>
      <c r="H245" s="54">
        <f>IF(PRINT_SHEET!H245="","",PRINT_SHEET!H245)</f>
        <v/>
      </c>
      <c r="I245" s="54">
        <f>IF(PRINT_SHEET!I245="","",PRINT_SHEET!I245)</f>
        <v/>
      </c>
      <c r="J245" s="53">
        <f>IFERROR(INDEX({"ادا شدہ","جزوی","بقایا"},MATCH(PRINT_SHEET!J245,{"PAID","PARTIAL","PENDING"},0)),PRINT_SHEET!J245)</f>
        <v/>
      </c>
      <c r="K245" s="55">
        <f>IF(PRINT_SHEET!K245="","",PRINT_SHEET!K245)</f>
        <v/>
      </c>
      <c r="L245" s="53">
        <f>IF(PRINT_SHEET!L245="","",PRINT_SHEET!L245)</f>
        <v/>
      </c>
    </row>
    <row r="246" ht="20" customHeight="1">
      <c r="A246" s="52">
        <f>IF(PRINT_SHEET!A246="","",PRINT_SHEET!A246)</f>
        <v/>
      </c>
      <c r="B246" s="53">
        <f>IF(PRINT_SHEET!B246="","",PRINT_SHEET!B246)</f>
        <v/>
      </c>
      <c r="C246" s="56">
        <f>IF(PRINT_SHEET!C246="","",PRINT_SHEET!C246)</f>
        <v/>
      </c>
      <c r="D246" s="56">
        <f>IF(PRINT_SHEET!D246="","",PRINT_SHEET!D246)</f>
        <v/>
      </c>
      <c r="E246" s="53">
        <f>IF(PRINT_SHEET!E246="","",PRINT_SHEET!E246)</f>
        <v/>
      </c>
      <c r="F246" s="52">
        <f>IF(PRINT_SHEET!F246="","",PRINT_SHEET!F246)</f>
        <v/>
      </c>
      <c r="G246" s="54">
        <f>IF(PRINT_SHEET!G246="","",PRINT_SHEET!G246)</f>
        <v/>
      </c>
      <c r="H246" s="54">
        <f>IF(PRINT_SHEET!H246="","",PRINT_SHEET!H246)</f>
        <v/>
      </c>
      <c r="I246" s="54">
        <f>IF(PRINT_SHEET!I246="","",PRINT_SHEET!I246)</f>
        <v/>
      </c>
      <c r="J246" s="53">
        <f>IFERROR(INDEX({"ادا شدہ","جزوی","بقایا"},MATCH(PRINT_SHEET!J246,{"PAID","PARTIAL","PENDING"},0)),PRINT_SHEET!J246)</f>
        <v/>
      </c>
      <c r="K246" s="55">
        <f>IF(PRINT_SHEET!K246="","",PRINT_SHEET!K246)</f>
        <v/>
      </c>
      <c r="L246" s="53">
        <f>IF(PRINT_SHEET!L246="","",PRINT_SHEET!L246)</f>
        <v/>
      </c>
    </row>
    <row r="247" ht="20" customHeight="1">
      <c r="A247" s="52">
        <f>IF(PRINT_SHEET!A247="","",PRINT_SHEET!A247)</f>
        <v/>
      </c>
      <c r="B247" s="53">
        <f>IF(PRINT_SHEET!B247="","",PRINT_SHEET!B247)</f>
        <v/>
      </c>
      <c r="C247" s="56">
        <f>IF(PRINT_SHEET!C247="","",PRINT_SHEET!C247)</f>
        <v/>
      </c>
      <c r="D247" s="56">
        <f>IF(PRINT_SHEET!D247="","",PRINT_SHEET!D247)</f>
        <v/>
      </c>
      <c r="E247" s="53">
        <f>IF(PRINT_SHEET!E247="","",PRINT_SHEET!E247)</f>
        <v/>
      </c>
      <c r="F247" s="52">
        <f>IF(PRINT_SHEET!F247="","",PRINT_SHEET!F247)</f>
        <v/>
      </c>
      <c r="G247" s="54">
        <f>IF(PRINT_SHEET!G247="","",PRINT_SHEET!G247)</f>
        <v/>
      </c>
      <c r="H247" s="54">
        <f>IF(PRINT_SHEET!H247="","",PRINT_SHEET!H247)</f>
        <v/>
      </c>
      <c r="I247" s="54">
        <f>IF(PRINT_SHEET!I247="","",PRINT_SHEET!I247)</f>
        <v/>
      </c>
      <c r="J247" s="53">
        <f>IFERROR(INDEX({"ادا شدہ","جزوی","بقایا"},MATCH(PRINT_SHEET!J247,{"PAID","PARTIAL","PENDING"},0)),PRINT_SHEET!J247)</f>
        <v/>
      </c>
      <c r="K247" s="55">
        <f>IF(PRINT_SHEET!K247="","",PRINT_SHEET!K247)</f>
        <v/>
      </c>
      <c r="L247" s="53">
        <f>IF(PRINT_SHEET!L247="","",PRINT_SHEET!L247)</f>
        <v/>
      </c>
    </row>
    <row r="248" ht="20" customHeight="1">
      <c r="A248" s="52">
        <f>IF(PRINT_SHEET!A248="","",PRINT_SHEET!A248)</f>
        <v/>
      </c>
      <c r="B248" s="53">
        <f>IF(PRINT_SHEET!B248="","",PRINT_SHEET!B248)</f>
        <v/>
      </c>
      <c r="C248" s="56">
        <f>IF(PRINT_SHEET!C248="","",PRINT_SHEET!C248)</f>
        <v/>
      </c>
      <c r="D248" s="56">
        <f>IF(PRINT_SHEET!D248="","",PRINT_SHEET!D248)</f>
        <v/>
      </c>
      <c r="E248" s="53">
        <f>IF(PRINT_SHEET!E248="","",PRINT_SHEET!E248)</f>
        <v/>
      </c>
      <c r="F248" s="52">
        <f>IF(PRINT_SHEET!F248="","",PRINT_SHEET!F248)</f>
        <v/>
      </c>
      <c r="G248" s="54">
        <f>IF(PRINT_SHEET!G248="","",PRINT_SHEET!G248)</f>
        <v/>
      </c>
      <c r="H248" s="54">
        <f>IF(PRINT_SHEET!H248="","",PRINT_SHEET!H248)</f>
        <v/>
      </c>
      <c r="I248" s="54">
        <f>IF(PRINT_SHEET!I248="","",PRINT_SHEET!I248)</f>
        <v/>
      </c>
      <c r="J248" s="53">
        <f>IFERROR(INDEX({"ادا شدہ","جزوی","بقایا"},MATCH(PRINT_SHEET!J248,{"PAID","PARTIAL","PENDING"},0)),PRINT_SHEET!J248)</f>
        <v/>
      </c>
      <c r="K248" s="55">
        <f>IF(PRINT_SHEET!K248="","",PRINT_SHEET!K248)</f>
        <v/>
      </c>
      <c r="L248" s="53">
        <f>IF(PRINT_SHEET!L248="","",PRINT_SHEET!L248)</f>
        <v/>
      </c>
    </row>
    <row r="249" ht="20" customHeight="1">
      <c r="A249" s="52">
        <f>IF(PRINT_SHEET!A249="","",PRINT_SHEET!A249)</f>
        <v/>
      </c>
      <c r="B249" s="53">
        <f>IF(PRINT_SHEET!B249="","",PRINT_SHEET!B249)</f>
        <v/>
      </c>
      <c r="C249" s="56">
        <f>IF(PRINT_SHEET!C249="","",PRINT_SHEET!C249)</f>
        <v/>
      </c>
      <c r="D249" s="56">
        <f>IF(PRINT_SHEET!D249="","",PRINT_SHEET!D249)</f>
        <v/>
      </c>
      <c r="E249" s="53">
        <f>IF(PRINT_SHEET!E249="","",PRINT_SHEET!E249)</f>
        <v/>
      </c>
      <c r="F249" s="52">
        <f>IF(PRINT_SHEET!F249="","",PRINT_SHEET!F249)</f>
        <v/>
      </c>
      <c r="G249" s="54">
        <f>IF(PRINT_SHEET!G249="","",PRINT_SHEET!G249)</f>
        <v/>
      </c>
      <c r="H249" s="54">
        <f>IF(PRINT_SHEET!H249="","",PRINT_SHEET!H249)</f>
        <v/>
      </c>
      <c r="I249" s="54">
        <f>IF(PRINT_SHEET!I249="","",PRINT_SHEET!I249)</f>
        <v/>
      </c>
      <c r="J249" s="53">
        <f>IFERROR(INDEX({"ادا شدہ","جزوی","بقایا"},MATCH(PRINT_SHEET!J249,{"PAID","PARTIAL","PENDING"},0)),PRINT_SHEET!J249)</f>
        <v/>
      </c>
      <c r="K249" s="55">
        <f>IF(PRINT_SHEET!K249="","",PRINT_SHEET!K249)</f>
        <v/>
      </c>
      <c r="L249" s="53">
        <f>IF(PRINT_SHEET!L249="","",PRINT_SHEET!L249)</f>
        <v/>
      </c>
    </row>
    <row r="250" ht="20" customHeight="1">
      <c r="A250" s="52">
        <f>IF(PRINT_SHEET!A250="","",PRINT_SHEET!A250)</f>
        <v/>
      </c>
      <c r="B250" s="53">
        <f>IF(PRINT_SHEET!B250="","",PRINT_SHEET!B250)</f>
        <v/>
      </c>
      <c r="C250" s="56">
        <f>IF(PRINT_SHEET!C250="","",PRINT_SHEET!C250)</f>
        <v/>
      </c>
      <c r="D250" s="56">
        <f>IF(PRINT_SHEET!D250="","",PRINT_SHEET!D250)</f>
        <v/>
      </c>
      <c r="E250" s="53">
        <f>IF(PRINT_SHEET!E250="","",PRINT_SHEET!E250)</f>
        <v/>
      </c>
      <c r="F250" s="52">
        <f>IF(PRINT_SHEET!F250="","",PRINT_SHEET!F250)</f>
        <v/>
      </c>
      <c r="G250" s="54">
        <f>IF(PRINT_SHEET!G250="","",PRINT_SHEET!G250)</f>
        <v/>
      </c>
      <c r="H250" s="54">
        <f>IF(PRINT_SHEET!H250="","",PRINT_SHEET!H250)</f>
        <v/>
      </c>
      <c r="I250" s="54">
        <f>IF(PRINT_SHEET!I250="","",PRINT_SHEET!I250)</f>
        <v/>
      </c>
      <c r="J250" s="53">
        <f>IFERROR(INDEX({"ادا شدہ","جزوی","بقایا"},MATCH(PRINT_SHEET!J250,{"PAID","PARTIAL","PENDING"},0)),PRINT_SHEET!J250)</f>
        <v/>
      </c>
      <c r="K250" s="55">
        <f>IF(PRINT_SHEET!K250="","",PRINT_SHEET!K250)</f>
        <v/>
      </c>
      <c r="L250" s="53">
        <f>IF(PRINT_SHEET!L250="","",PRINT_SHEET!L250)</f>
        <v/>
      </c>
    </row>
    <row r="251" ht="20" customHeight="1">
      <c r="A251" s="52">
        <f>IF(PRINT_SHEET!A251="","",PRINT_SHEET!A251)</f>
        <v/>
      </c>
      <c r="B251" s="53">
        <f>IF(PRINT_SHEET!B251="","",PRINT_SHEET!B251)</f>
        <v/>
      </c>
      <c r="C251" s="56">
        <f>IF(PRINT_SHEET!C251="","",PRINT_SHEET!C251)</f>
        <v/>
      </c>
      <c r="D251" s="56">
        <f>IF(PRINT_SHEET!D251="","",PRINT_SHEET!D251)</f>
        <v/>
      </c>
      <c r="E251" s="53">
        <f>IF(PRINT_SHEET!E251="","",PRINT_SHEET!E251)</f>
        <v/>
      </c>
      <c r="F251" s="52">
        <f>IF(PRINT_SHEET!F251="","",PRINT_SHEET!F251)</f>
        <v/>
      </c>
      <c r="G251" s="54">
        <f>IF(PRINT_SHEET!G251="","",PRINT_SHEET!G251)</f>
        <v/>
      </c>
      <c r="H251" s="54">
        <f>IF(PRINT_SHEET!H251="","",PRINT_SHEET!H251)</f>
        <v/>
      </c>
      <c r="I251" s="54">
        <f>IF(PRINT_SHEET!I251="","",PRINT_SHEET!I251)</f>
        <v/>
      </c>
      <c r="J251" s="53">
        <f>IFERROR(INDEX({"ادا شدہ","جزوی","بقایا"},MATCH(PRINT_SHEET!J251,{"PAID","PARTIAL","PENDING"},0)),PRINT_SHEET!J251)</f>
        <v/>
      </c>
      <c r="K251" s="55">
        <f>IF(PRINT_SHEET!K251="","",PRINT_SHEET!K251)</f>
        <v/>
      </c>
      <c r="L251" s="53">
        <f>IF(PRINT_SHEET!L251="","",PRINT_SHEET!L251)</f>
        <v/>
      </c>
    </row>
    <row r="252" ht="20" customHeight="1">
      <c r="A252" s="52">
        <f>IF(PRINT_SHEET!A252="","",PRINT_SHEET!A252)</f>
        <v/>
      </c>
      <c r="B252" s="53">
        <f>IF(PRINT_SHEET!B252="","",PRINT_SHEET!B252)</f>
        <v/>
      </c>
      <c r="C252" s="56">
        <f>IF(PRINT_SHEET!C252="","",PRINT_SHEET!C252)</f>
        <v/>
      </c>
      <c r="D252" s="56">
        <f>IF(PRINT_SHEET!D252="","",PRINT_SHEET!D252)</f>
        <v/>
      </c>
      <c r="E252" s="53">
        <f>IF(PRINT_SHEET!E252="","",PRINT_SHEET!E252)</f>
        <v/>
      </c>
      <c r="F252" s="52">
        <f>IF(PRINT_SHEET!F252="","",PRINT_SHEET!F252)</f>
        <v/>
      </c>
      <c r="G252" s="54">
        <f>IF(PRINT_SHEET!G252="","",PRINT_SHEET!G252)</f>
        <v/>
      </c>
      <c r="H252" s="54">
        <f>IF(PRINT_SHEET!H252="","",PRINT_SHEET!H252)</f>
        <v/>
      </c>
      <c r="I252" s="54">
        <f>IF(PRINT_SHEET!I252="","",PRINT_SHEET!I252)</f>
        <v/>
      </c>
      <c r="J252" s="53">
        <f>IFERROR(INDEX({"ادا شدہ","جزوی","بقایا"},MATCH(PRINT_SHEET!J252,{"PAID","PARTIAL","PENDING"},0)),PRINT_SHEET!J252)</f>
        <v/>
      </c>
      <c r="K252" s="55">
        <f>IF(PRINT_SHEET!K252="","",PRINT_SHEET!K252)</f>
        <v/>
      </c>
      <c r="L252" s="53">
        <f>IF(PRINT_SHEET!L252="","",PRINT_SHEET!L252)</f>
        <v/>
      </c>
    </row>
    <row r="253" ht="20" customHeight="1">
      <c r="A253" s="52">
        <f>IF(PRINT_SHEET!A253="","",PRINT_SHEET!A253)</f>
        <v/>
      </c>
      <c r="B253" s="53">
        <f>IF(PRINT_SHEET!B253="","",PRINT_SHEET!B253)</f>
        <v/>
      </c>
      <c r="C253" s="56">
        <f>IF(PRINT_SHEET!C253="","",PRINT_SHEET!C253)</f>
        <v/>
      </c>
      <c r="D253" s="56">
        <f>IF(PRINT_SHEET!D253="","",PRINT_SHEET!D253)</f>
        <v/>
      </c>
      <c r="E253" s="53">
        <f>IF(PRINT_SHEET!E253="","",PRINT_SHEET!E253)</f>
        <v/>
      </c>
      <c r="F253" s="52">
        <f>IF(PRINT_SHEET!F253="","",PRINT_SHEET!F253)</f>
        <v/>
      </c>
      <c r="G253" s="54">
        <f>IF(PRINT_SHEET!G253="","",PRINT_SHEET!G253)</f>
        <v/>
      </c>
      <c r="H253" s="54">
        <f>IF(PRINT_SHEET!H253="","",PRINT_SHEET!H253)</f>
        <v/>
      </c>
      <c r="I253" s="54">
        <f>IF(PRINT_SHEET!I253="","",PRINT_SHEET!I253)</f>
        <v/>
      </c>
      <c r="J253" s="53">
        <f>IFERROR(INDEX({"ادا شدہ","جزوی","بقایا"},MATCH(PRINT_SHEET!J253,{"PAID","PARTIAL","PENDING"},0)),PRINT_SHEET!J253)</f>
        <v/>
      </c>
      <c r="K253" s="55">
        <f>IF(PRINT_SHEET!K253="","",PRINT_SHEET!K253)</f>
        <v/>
      </c>
      <c r="L253" s="53">
        <f>IF(PRINT_SHEET!L253="","",PRINT_SHEET!L253)</f>
        <v/>
      </c>
    </row>
    <row r="254" ht="20" customHeight="1">
      <c r="A254" s="52">
        <f>IF(PRINT_SHEET!A254="","",PRINT_SHEET!A254)</f>
        <v/>
      </c>
      <c r="B254" s="53">
        <f>IF(PRINT_SHEET!B254="","",PRINT_SHEET!B254)</f>
        <v/>
      </c>
      <c r="C254" s="56">
        <f>IF(PRINT_SHEET!C254="","",PRINT_SHEET!C254)</f>
        <v/>
      </c>
      <c r="D254" s="56">
        <f>IF(PRINT_SHEET!D254="","",PRINT_SHEET!D254)</f>
        <v/>
      </c>
      <c r="E254" s="53">
        <f>IF(PRINT_SHEET!E254="","",PRINT_SHEET!E254)</f>
        <v/>
      </c>
      <c r="F254" s="52">
        <f>IF(PRINT_SHEET!F254="","",PRINT_SHEET!F254)</f>
        <v/>
      </c>
      <c r="G254" s="54">
        <f>IF(PRINT_SHEET!G254="","",PRINT_SHEET!G254)</f>
        <v/>
      </c>
      <c r="H254" s="54">
        <f>IF(PRINT_SHEET!H254="","",PRINT_SHEET!H254)</f>
        <v/>
      </c>
      <c r="I254" s="54">
        <f>IF(PRINT_SHEET!I254="","",PRINT_SHEET!I254)</f>
        <v/>
      </c>
      <c r="J254" s="53">
        <f>IFERROR(INDEX({"ادا شدہ","جزوی","بقایا"},MATCH(PRINT_SHEET!J254,{"PAID","PARTIAL","PENDING"},0)),PRINT_SHEET!J254)</f>
        <v/>
      </c>
      <c r="K254" s="55">
        <f>IF(PRINT_SHEET!K254="","",PRINT_SHEET!K254)</f>
        <v/>
      </c>
      <c r="L254" s="53">
        <f>IF(PRINT_SHEET!L254="","",PRINT_SHEET!L254)</f>
        <v/>
      </c>
    </row>
    <row r="255" ht="20" customHeight="1">
      <c r="A255" s="52">
        <f>IF(PRINT_SHEET!A255="","",PRINT_SHEET!A255)</f>
        <v/>
      </c>
      <c r="B255" s="53">
        <f>IF(PRINT_SHEET!B255="","",PRINT_SHEET!B255)</f>
        <v/>
      </c>
      <c r="C255" s="56">
        <f>IF(PRINT_SHEET!C255="","",PRINT_SHEET!C255)</f>
        <v/>
      </c>
      <c r="D255" s="56">
        <f>IF(PRINT_SHEET!D255="","",PRINT_SHEET!D255)</f>
        <v/>
      </c>
      <c r="E255" s="53">
        <f>IF(PRINT_SHEET!E255="","",PRINT_SHEET!E255)</f>
        <v/>
      </c>
      <c r="F255" s="52">
        <f>IF(PRINT_SHEET!F255="","",PRINT_SHEET!F255)</f>
        <v/>
      </c>
      <c r="G255" s="54">
        <f>IF(PRINT_SHEET!G255="","",PRINT_SHEET!G255)</f>
        <v/>
      </c>
      <c r="H255" s="54">
        <f>IF(PRINT_SHEET!H255="","",PRINT_SHEET!H255)</f>
        <v/>
      </c>
      <c r="I255" s="54">
        <f>IF(PRINT_SHEET!I255="","",PRINT_SHEET!I255)</f>
        <v/>
      </c>
      <c r="J255" s="53">
        <f>IFERROR(INDEX({"ادا شدہ","جزوی","بقایا"},MATCH(PRINT_SHEET!J255,{"PAID","PARTIAL","PENDING"},0)),PRINT_SHEET!J255)</f>
        <v/>
      </c>
      <c r="K255" s="55">
        <f>IF(PRINT_SHEET!K255="","",PRINT_SHEET!K255)</f>
        <v/>
      </c>
      <c r="L255" s="53">
        <f>IF(PRINT_SHEET!L255="","",PRINT_SHEET!L255)</f>
        <v/>
      </c>
    </row>
    <row r="256" ht="20" customHeight="1">
      <c r="A256" s="52">
        <f>IF(PRINT_SHEET!A256="","",PRINT_SHEET!A256)</f>
        <v/>
      </c>
      <c r="B256" s="53">
        <f>IF(PRINT_SHEET!B256="","",PRINT_SHEET!B256)</f>
        <v/>
      </c>
      <c r="C256" s="56">
        <f>IF(PRINT_SHEET!C256="","",PRINT_SHEET!C256)</f>
        <v/>
      </c>
      <c r="D256" s="56">
        <f>IF(PRINT_SHEET!D256="","",PRINT_SHEET!D256)</f>
        <v/>
      </c>
      <c r="E256" s="53">
        <f>IF(PRINT_SHEET!E256="","",PRINT_SHEET!E256)</f>
        <v/>
      </c>
      <c r="F256" s="52">
        <f>IF(PRINT_SHEET!F256="","",PRINT_SHEET!F256)</f>
        <v/>
      </c>
      <c r="G256" s="54">
        <f>IF(PRINT_SHEET!G256="","",PRINT_SHEET!G256)</f>
        <v/>
      </c>
      <c r="H256" s="54">
        <f>IF(PRINT_SHEET!H256="","",PRINT_SHEET!H256)</f>
        <v/>
      </c>
      <c r="I256" s="54">
        <f>IF(PRINT_SHEET!I256="","",PRINT_SHEET!I256)</f>
        <v/>
      </c>
      <c r="J256" s="53">
        <f>IFERROR(INDEX({"ادا شدہ","جزوی","بقایا"},MATCH(PRINT_SHEET!J256,{"PAID","PARTIAL","PENDING"},0)),PRINT_SHEET!J256)</f>
        <v/>
      </c>
      <c r="K256" s="55">
        <f>IF(PRINT_SHEET!K256="","",PRINT_SHEET!K256)</f>
        <v/>
      </c>
      <c r="L256" s="53">
        <f>IF(PRINT_SHEET!L256="","",PRINT_SHEET!L256)</f>
        <v/>
      </c>
    </row>
    <row r="257" ht="20" customHeight="1">
      <c r="A257" s="52">
        <f>IF(PRINT_SHEET!A257="","",PRINT_SHEET!A257)</f>
        <v/>
      </c>
      <c r="B257" s="53">
        <f>IF(PRINT_SHEET!B257="","",PRINT_SHEET!B257)</f>
        <v/>
      </c>
      <c r="C257" s="56">
        <f>IF(PRINT_SHEET!C257="","",PRINT_SHEET!C257)</f>
        <v/>
      </c>
      <c r="D257" s="56">
        <f>IF(PRINT_SHEET!D257="","",PRINT_SHEET!D257)</f>
        <v/>
      </c>
      <c r="E257" s="53">
        <f>IF(PRINT_SHEET!E257="","",PRINT_SHEET!E257)</f>
        <v/>
      </c>
      <c r="F257" s="52">
        <f>IF(PRINT_SHEET!F257="","",PRINT_SHEET!F257)</f>
        <v/>
      </c>
      <c r="G257" s="54">
        <f>IF(PRINT_SHEET!G257="","",PRINT_SHEET!G257)</f>
        <v/>
      </c>
      <c r="H257" s="54">
        <f>IF(PRINT_SHEET!H257="","",PRINT_SHEET!H257)</f>
        <v/>
      </c>
      <c r="I257" s="54">
        <f>IF(PRINT_SHEET!I257="","",PRINT_SHEET!I257)</f>
        <v/>
      </c>
      <c r="J257" s="53">
        <f>IFERROR(INDEX({"ادا شدہ","جزوی","بقایا"},MATCH(PRINT_SHEET!J257,{"PAID","PARTIAL","PENDING"},0)),PRINT_SHEET!J257)</f>
        <v/>
      </c>
      <c r="K257" s="55">
        <f>IF(PRINT_SHEET!K257="","",PRINT_SHEET!K257)</f>
        <v/>
      </c>
      <c r="L257" s="53">
        <f>IF(PRINT_SHEET!L257="","",PRINT_SHEET!L257)</f>
        <v/>
      </c>
    </row>
    <row r="258" ht="20" customHeight="1">
      <c r="A258" s="52">
        <f>IF(PRINT_SHEET!A258="","",PRINT_SHEET!A258)</f>
        <v/>
      </c>
      <c r="B258" s="53">
        <f>IF(PRINT_SHEET!B258="","",PRINT_SHEET!B258)</f>
        <v/>
      </c>
      <c r="C258" s="56">
        <f>IF(PRINT_SHEET!C258="","",PRINT_SHEET!C258)</f>
        <v/>
      </c>
      <c r="D258" s="56">
        <f>IF(PRINT_SHEET!D258="","",PRINT_SHEET!D258)</f>
        <v/>
      </c>
      <c r="E258" s="53">
        <f>IF(PRINT_SHEET!E258="","",PRINT_SHEET!E258)</f>
        <v/>
      </c>
      <c r="F258" s="52">
        <f>IF(PRINT_SHEET!F258="","",PRINT_SHEET!F258)</f>
        <v/>
      </c>
      <c r="G258" s="54">
        <f>IF(PRINT_SHEET!G258="","",PRINT_SHEET!G258)</f>
        <v/>
      </c>
      <c r="H258" s="54">
        <f>IF(PRINT_SHEET!H258="","",PRINT_SHEET!H258)</f>
        <v/>
      </c>
      <c r="I258" s="54">
        <f>IF(PRINT_SHEET!I258="","",PRINT_SHEET!I258)</f>
        <v/>
      </c>
      <c r="J258" s="53">
        <f>IFERROR(INDEX({"ادا شدہ","جزوی","بقایا"},MATCH(PRINT_SHEET!J258,{"PAID","PARTIAL","PENDING"},0)),PRINT_SHEET!J258)</f>
        <v/>
      </c>
      <c r="K258" s="55">
        <f>IF(PRINT_SHEET!K258="","",PRINT_SHEET!K258)</f>
        <v/>
      </c>
      <c r="L258" s="53">
        <f>IF(PRINT_SHEET!L258="","",PRINT_SHEET!L258)</f>
        <v/>
      </c>
    </row>
    <row r="259" ht="20" customHeight="1">
      <c r="A259" s="52">
        <f>IF(PRINT_SHEET!A259="","",PRINT_SHEET!A259)</f>
        <v/>
      </c>
      <c r="B259" s="53">
        <f>IF(PRINT_SHEET!B259="","",PRINT_SHEET!B259)</f>
        <v/>
      </c>
      <c r="C259" s="56">
        <f>IF(PRINT_SHEET!C259="","",PRINT_SHEET!C259)</f>
        <v/>
      </c>
      <c r="D259" s="56">
        <f>IF(PRINT_SHEET!D259="","",PRINT_SHEET!D259)</f>
        <v/>
      </c>
      <c r="E259" s="53">
        <f>IF(PRINT_SHEET!E259="","",PRINT_SHEET!E259)</f>
        <v/>
      </c>
      <c r="F259" s="52">
        <f>IF(PRINT_SHEET!F259="","",PRINT_SHEET!F259)</f>
        <v/>
      </c>
      <c r="G259" s="54">
        <f>IF(PRINT_SHEET!G259="","",PRINT_SHEET!G259)</f>
        <v/>
      </c>
      <c r="H259" s="54">
        <f>IF(PRINT_SHEET!H259="","",PRINT_SHEET!H259)</f>
        <v/>
      </c>
      <c r="I259" s="54">
        <f>IF(PRINT_SHEET!I259="","",PRINT_SHEET!I259)</f>
        <v/>
      </c>
      <c r="J259" s="53">
        <f>IFERROR(INDEX({"ادا شدہ","جزوی","بقایا"},MATCH(PRINT_SHEET!J259,{"PAID","PARTIAL","PENDING"},0)),PRINT_SHEET!J259)</f>
        <v/>
      </c>
      <c r="K259" s="55">
        <f>IF(PRINT_SHEET!K259="","",PRINT_SHEET!K259)</f>
        <v/>
      </c>
      <c r="L259" s="53">
        <f>IF(PRINT_SHEET!L259="","",PRINT_SHEET!L259)</f>
        <v/>
      </c>
    </row>
    <row r="260" ht="20" customHeight="1">
      <c r="A260" s="52">
        <f>IF(PRINT_SHEET!A260="","",PRINT_SHEET!A260)</f>
        <v/>
      </c>
      <c r="B260" s="53">
        <f>IF(PRINT_SHEET!B260="","",PRINT_SHEET!B260)</f>
        <v/>
      </c>
      <c r="C260" s="56">
        <f>IF(PRINT_SHEET!C260="","",PRINT_SHEET!C260)</f>
        <v/>
      </c>
      <c r="D260" s="56">
        <f>IF(PRINT_SHEET!D260="","",PRINT_SHEET!D260)</f>
        <v/>
      </c>
      <c r="E260" s="53">
        <f>IF(PRINT_SHEET!E260="","",PRINT_SHEET!E260)</f>
        <v/>
      </c>
      <c r="F260" s="52">
        <f>IF(PRINT_SHEET!F260="","",PRINT_SHEET!F260)</f>
        <v/>
      </c>
      <c r="G260" s="54">
        <f>IF(PRINT_SHEET!G260="","",PRINT_SHEET!G260)</f>
        <v/>
      </c>
      <c r="H260" s="54">
        <f>IF(PRINT_SHEET!H260="","",PRINT_SHEET!H260)</f>
        <v/>
      </c>
      <c r="I260" s="54">
        <f>IF(PRINT_SHEET!I260="","",PRINT_SHEET!I260)</f>
        <v/>
      </c>
      <c r="J260" s="53">
        <f>IFERROR(INDEX({"ادا شدہ","جزوی","بقایا"},MATCH(PRINT_SHEET!J260,{"PAID","PARTIAL","PENDING"},0)),PRINT_SHEET!J260)</f>
        <v/>
      </c>
      <c r="K260" s="55">
        <f>IF(PRINT_SHEET!K260="","",PRINT_SHEET!K260)</f>
        <v/>
      </c>
      <c r="L260" s="53">
        <f>IF(PRINT_SHEET!L260="","",PRINT_SHEET!L260)</f>
        <v/>
      </c>
    </row>
    <row r="261" ht="20" customHeight="1">
      <c r="A261" s="52">
        <f>IF(PRINT_SHEET!A261="","",PRINT_SHEET!A261)</f>
        <v/>
      </c>
      <c r="B261" s="53">
        <f>IF(PRINT_SHEET!B261="","",PRINT_SHEET!B261)</f>
        <v/>
      </c>
      <c r="C261" s="56">
        <f>IF(PRINT_SHEET!C261="","",PRINT_SHEET!C261)</f>
        <v/>
      </c>
      <c r="D261" s="56">
        <f>IF(PRINT_SHEET!D261="","",PRINT_SHEET!D261)</f>
        <v/>
      </c>
      <c r="E261" s="53">
        <f>IF(PRINT_SHEET!E261="","",PRINT_SHEET!E261)</f>
        <v/>
      </c>
      <c r="F261" s="52">
        <f>IF(PRINT_SHEET!F261="","",PRINT_SHEET!F261)</f>
        <v/>
      </c>
      <c r="G261" s="54">
        <f>IF(PRINT_SHEET!G261="","",PRINT_SHEET!G261)</f>
        <v/>
      </c>
      <c r="H261" s="54">
        <f>IF(PRINT_SHEET!H261="","",PRINT_SHEET!H261)</f>
        <v/>
      </c>
      <c r="I261" s="54">
        <f>IF(PRINT_SHEET!I261="","",PRINT_SHEET!I261)</f>
        <v/>
      </c>
      <c r="J261" s="53">
        <f>IFERROR(INDEX({"ادا شدہ","جزوی","بقایا"},MATCH(PRINT_SHEET!J261,{"PAID","PARTIAL","PENDING"},0)),PRINT_SHEET!J261)</f>
        <v/>
      </c>
      <c r="K261" s="55">
        <f>IF(PRINT_SHEET!K261="","",PRINT_SHEET!K261)</f>
        <v/>
      </c>
      <c r="L261" s="53">
        <f>IF(PRINT_SHEET!L261="","",PRINT_SHEET!L261)</f>
        <v/>
      </c>
    </row>
    <row r="262" ht="20" customHeight="1">
      <c r="A262" s="52">
        <f>IF(PRINT_SHEET!A262="","",PRINT_SHEET!A262)</f>
        <v/>
      </c>
      <c r="B262" s="53">
        <f>IF(PRINT_SHEET!B262="","",PRINT_SHEET!B262)</f>
        <v/>
      </c>
      <c r="C262" s="56">
        <f>IF(PRINT_SHEET!C262="","",PRINT_SHEET!C262)</f>
        <v/>
      </c>
      <c r="D262" s="56">
        <f>IF(PRINT_SHEET!D262="","",PRINT_SHEET!D262)</f>
        <v/>
      </c>
      <c r="E262" s="53">
        <f>IF(PRINT_SHEET!E262="","",PRINT_SHEET!E262)</f>
        <v/>
      </c>
      <c r="F262" s="52">
        <f>IF(PRINT_SHEET!F262="","",PRINT_SHEET!F262)</f>
        <v/>
      </c>
      <c r="G262" s="54">
        <f>IF(PRINT_SHEET!G262="","",PRINT_SHEET!G262)</f>
        <v/>
      </c>
      <c r="H262" s="54">
        <f>IF(PRINT_SHEET!H262="","",PRINT_SHEET!H262)</f>
        <v/>
      </c>
      <c r="I262" s="54">
        <f>IF(PRINT_SHEET!I262="","",PRINT_SHEET!I262)</f>
        <v/>
      </c>
      <c r="J262" s="53">
        <f>IFERROR(INDEX({"ادا شدہ","جزوی","بقایا"},MATCH(PRINT_SHEET!J262,{"PAID","PARTIAL","PENDING"},0)),PRINT_SHEET!J262)</f>
        <v/>
      </c>
      <c r="K262" s="55">
        <f>IF(PRINT_SHEET!K262="","",PRINT_SHEET!K262)</f>
        <v/>
      </c>
      <c r="L262" s="53">
        <f>IF(PRINT_SHEET!L262="","",PRINT_SHEET!L262)</f>
        <v/>
      </c>
    </row>
    <row r="263" ht="20" customHeight="1">
      <c r="A263" s="52">
        <f>IF(PRINT_SHEET!A263="","",PRINT_SHEET!A263)</f>
        <v/>
      </c>
      <c r="B263" s="53">
        <f>IF(PRINT_SHEET!B263="","",PRINT_SHEET!B263)</f>
        <v/>
      </c>
      <c r="C263" s="56">
        <f>IF(PRINT_SHEET!C263="","",PRINT_SHEET!C263)</f>
        <v/>
      </c>
      <c r="D263" s="56">
        <f>IF(PRINT_SHEET!D263="","",PRINT_SHEET!D263)</f>
        <v/>
      </c>
      <c r="E263" s="53">
        <f>IF(PRINT_SHEET!E263="","",PRINT_SHEET!E263)</f>
        <v/>
      </c>
      <c r="F263" s="52">
        <f>IF(PRINT_SHEET!F263="","",PRINT_SHEET!F263)</f>
        <v/>
      </c>
      <c r="G263" s="54">
        <f>IF(PRINT_SHEET!G263="","",PRINT_SHEET!G263)</f>
        <v/>
      </c>
      <c r="H263" s="54">
        <f>IF(PRINT_SHEET!H263="","",PRINT_SHEET!H263)</f>
        <v/>
      </c>
      <c r="I263" s="54">
        <f>IF(PRINT_SHEET!I263="","",PRINT_SHEET!I263)</f>
        <v/>
      </c>
      <c r="J263" s="53">
        <f>IFERROR(INDEX({"ادا شدہ","جزوی","بقایا"},MATCH(PRINT_SHEET!J263,{"PAID","PARTIAL","PENDING"},0)),PRINT_SHEET!J263)</f>
        <v/>
      </c>
      <c r="K263" s="55">
        <f>IF(PRINT_SHEET!K263="","",PRINT_SHEET!K263)</f>
        <v/>
      </c>
      <c r="L263" s="53">
        <f>IF(PRINT_SHEET!L263="","",PRINT_SHEET!L263)</f>
        <v/>
      </c>
    </row>
    <row r="264" ht="20" customHeight="1">
      <c r="A264" s="52">
        <f>IF(PRINT_SHEET!A264="","",PRINT_SHEET!A264)</f>
        <v/>
      </c>
      <c r="B264" s="53">
        <f>IF(PRINT_SHEET!B264="","",PRINT_SHEET!B264)</f>
        <v/>
      </c>
      <c r="C264" s="56">
        <f>IF(PRINT_SHEET!C264="","",PRINT_SHEET!C264)</f>
        <v/>
      </c>
      <c r="D264" s="56">
        <f>IF(PRINT_SHEET!D264="","",PRINT_SHEET!D264)</f>
        <v/>
      </c>
      <c r="E264" s="53">
        <f>IF(PRINT_SHEET!E264="","",PRINT_SHEET!E264)</f>
        <v/>
      </c>
      <c r="F264" s="52">
        <f>IF(PRINT_SHEET!F264="","",PRINT_SHEET!F264)</f>
        <v/>
      </c>
      <c r="G264" s="54">
        <f>IF(PRINT_SHEET!G264="","",PRINT_SHEET!G264)</f>
        <v/>
      </c>
      <c r="H264" s="54">
        <f>IF(PRINT_SHEET!H264="","",PRINT_SHEET!H264)</f>
        <v/>
      </c>
      <c r="I264" s="54">
        <f>IF(PRINT_SHEET!I264="","",PRINT_SHEET!I264)</f>
        <v/>
      </c>
      <c r="J264" s="53">
        <f>IFERROR(INDEX({"ادا شدہ","جزوی","بقایا"},MATCH(PRINT_SHEET!J264,{"PAID","PARTIAL","PENDING"},0)),PRINT_SHEET!J264)</f>
        <v/>
      </c>
      <c r="K264" s="55">
        <f>IF(PRINT_SHEET!K264="","",PRINT_SHEET!K264)</f>
        <v/>
      </c>
      <c r="L264" s="53">
        <f>IF(PRINT_SHEET!L264="","",PRINT_SHEET!L264)</f>
        <v/>
      </c>
    </row>
    <row r="265" ht="20" customHeight="1">
      <c r="A265" s="52">
        <f>IF(PRINT_SHEET!A265="","",PRINT_SHEET!A265)</f>
        <v/>
      </c>
      <c r="B265" s="53">
        <f>IF(PRINT_SHEET!B265="","",PRINT_SHEET!B265)</f>
        <v/>
      </c>
      <c r="C265" s="56">
        <f>IF(PRINT_SHEET!C265="","",PRINT_SHEET!C265)</f>
        <v/>
      </c>
      <c r="D265" s="56">
        <f>IF(PRINT_SHEET!D265="","",PRINT_SHEET!D265)</f>
        <v/>
      </c>
      <c r="E265" s="53">
        <f>IF(PRINT_SHEET!E265="","",PRINT_SHEET!E265)</f>
        <v/>
      </c>
      <c r="F265" s="52">
        <f>IF(PRINT_SHEET!F265="","",PRINT_SHEET!F265)</f>
        <v/>
      </c>
      <c r="G265" s="54">
        <f>IF(PRINT_SHEET!G265="","",PRINT_SHEET!G265)</f>
        <v/>
      </c>
      <c r="H265" s="54">
        <f>IF(PRINT_SHEET!H265="","",PRINT_SHEET!H265)</f>
        <v/>
      </c>
      <c r="I265" s="54">
        <f>IF(PRINT_SHEET!I265="","",PRINT_SHEET!I265)</f>
        <v/>
      </c>
      <c r="J265" s="53">
        <f>IFERROR(INDEX({"ادا شدہ","جزوی","بقایا"},MATCH(PRINT_SHEET!J265,{"PAID","PARTIAL","PENDING"},0)),PRINT_SHEET!J265)</f>
        <v/>
      </c>
      <c r="K265" s="55">
        <f>IF(PRINT_SHEET!K265="","",PRINT_SHEET!K265)</f>
        <v/>
      </c>
      <c r="L265" s="53">
        <f>IF(PRINT_SHEET!L265="","",PRINT_SHEET!L265)</f>
        <v/>
      </c>
    </row>
    <row r="266" ht="20" customHeight="1">
      <c r="A266" s="52">
        <f>IF(PRINT_SHEET!A266="","",PRINT_SHEET!A266)</f>
        <v/>
      </c>
      <c r="B266" s="53">
        <f>IF(PRINT_SHEET!B266="","",PRINT_SHEET!B266)</f>
        <v/>
      </c>
      <c r="C266" s="56">
        <f>IF(PRINT_SHEET!C266="","",PRINT_SHEET!C266)</f>
        <v/>
      </c>
      <c r="D266" s="56">
        <f>IF(PRINT_SHEET!D266="","",PRINT_SHEET!D266)</f>
        <v/>
      </c>
      <c r="E266" s="53">
        <f>IF(PRINT_SHEET!E266="","",PRINT_SHEET!E266)</f>
        <v/>
      </c>
      <c r="F266" s="52">
        <f>IF(PRINT_SHEET!F266="","",PRINT_SHEET!F266)</f>
        <v/>
      </c>
      <c r="G266" s="54">
        <f>IF(PRINT_SHEET!G266="","",PRINT_SHEET!G266)</f>
        <v/>
      </c>
      <c r="H266" s="54">
        <f>IF(PRINT_SHEET!H266="","",PRINT_SHEET!H266)</f>
        <v/>
      </c>
      <c r="I266" s="54">
        <f>IF(PRINT_SHEET!I266="","",PRINT_SHEET!I266)</f>
        <v/>
      </c>
      <c r="J266" s="53">
        <f>IFERROR(INDEX({"ادا شدہ","جزوی","بقایا"},MATCH(PRINT_SHEET!J266,{"PAID","PARTIAL","PENDING"},0)),PRINT_SHEET!J266)</f>
        <v/>
      </c>
      <c r="K266" s="55">
        <f>IF(PRINT_SHEET!K266="","",PRINT_SHEET!K266)</f>
        <v/>
      </c>
      <c r="L266" s="53">
        <f>IF(PRINT_SHEET!L266="","",PRINT_SHEET!L266)</f>
        <v/>
      </c>
    </row>
    <row r="267" ht="20" customHeight="1">
      <c r="A267" s="52">
        <f>IF(PRINT_SHEET!A267="","",PRINT_SHEET!A267)</f>
        <v/>
      </c>
      <c r="B267" s="53">
        <f>IF(PRINT_SHEET!B267="","",PRINT_SHEET!B267)</f>
        <v/>
      </c>
      <c r="C267" s="56">
        <f>IF(PRINT_SHEET!C267="","",PRINT_SHEET!C267)</f>
        <v/>
      </c>
      <c r="D267" s="56">
        <f>IF(PRINT_SHEET!D267="","",PRINT_SHEET!D267)</f>
        <v/>
      </c>
      <c r="E267" s="53">
        <f>IF(PRINT_SHEET!E267="","",PRINT_SHEET!E267)</f>
        <v/>
      </c>
      <c r="F267" s="52">
        <f>IF(PRINT_SHEET!F267="","",PRINT_SHEET!F267)</f>
        <v/>
      </c>
      <c r="G267" s="54">
        <f>IF(PRINT_SHEET!G267="","",PRINT_SHEET!G267)</f>
        <v/>
      </c>
      <c r="H267" s="54">
        <f>IF(PRINT_SHEET!H267="","",PRINT_SHEET!H267)</f>
        <v/>
      </c>
      <c r="I267" s="54">
        <f>IF(PRINT_SHEET!I267="","",PRINT_SHEET!I267)</f>
        <v/>
      </c>
      <c r="J267" s="53">
        <f>IFERROR(INDEX({"ادا شدہ","جزوی","بقایا"},MATCH(PRINT_SHEET!J267,{"PAID","PARTIAL","PENDING"},0)),PRINT_SHEET!J267)</f>
        <v/>
      </c>
      <c r="K267" s="55">
        <f>IF(PRINT_SHEET!K267="","",PRINT_SHEET!K267)</f>
        <v/>
      </c>
      <c r="L267" s="53">
        <f>IF(PRINT_SHEET!L267="","",PRINT_SHEET!L267)</f>
        <v/>
      </c>
    </row>
    <row r="268" ht="20" customHeight="1">
      <c r="A268" s="52">
        <f>IF(PRINT_SHEET!A268="","",PRINT_SHEET!A268)</f>
        <v/>
      </c>
      <c r="B268" s="53">
        <f>IF(PRINT_SHEET!B268="","",PRINT_SHEET!B268)</f>
        <v/>
      </c>
      <c r="C268" s="56">
        <f>IF(PRINT_SHEET!C268="","",PRINT_SHEET!C268)</f>
        <v/>
      </c>
      <c r="D268" s="56">
        <f>IF(PRINT_SHEET!D268="","",PRINT_SHEET!D268)</f>
        <v/>
      </c>
      <c r="E268" s="53">
        <f>IF(PRINT_SHEET!E268="","",PRINT_SHEET!E268)</f>
        <v/>
      </c>
      <c r="F268" s="52">
        <f>IF(PRINT_SHEET!F268="","",PRINT_SHEET!F268)</f>
        <v/>
      </c>
      <c r="G268" s="54">
        <f>IF(PRINT_SHEET!G268="","",PRINT_SHEET!G268)</f>
        <v/>
      </c>
      <c r="H268" s="54">
        <f>IF(PRINT_SHEET!H268="","",PRINT_SHEET!H268)</f>
        <v/>
      </c>
      <c r="I268" s="54">
        <f>IF(PRINT_SHEET!I268="","",PRINT_SHEET!I268)</f>
        <v/>
      </c>
      <c r="J268" s="53">
        <f>IFERROR(INDEX({"ادا شدہ","جزوی","بقایا"},MATCH(PRINT_SHEET!J268,{"PAID","PARTIAL","PENDING"},0)),PRINT_SHEET!J268)</f>
        <v/>
      </c>
      <c r="K268" s="55">
        <f>IF(PRINT_SHEET!K268="","",PRINT_SHEET!K268)</f>
        <v/>
      </c>
      <c r="L268" s="53">
        <f>IF(PRINT_SHEET!L268="","",PRINT_SHEET!L268)</f>
        <v/>
      </c>
    </row>
    <row r="269" ht="20" customHeight="1">
      <c r="A269" s="52">
        <f>IF(PRINT_SHEET!A269="","",PRINT_SHEET!A269)</f>
        <v/>
      </c>
      <c r="B269" s="53">
        <f>IF(PRINT_SHEET!B269="","",PRINT_SHEET!B269)</f>
        <v/>
      </c>
      <c r="C269" s="56">
        <f>IF(PRINT_SHEET!C269="","",PRINT_SHEET!C269)</f>
        <v/>
      </c>
      <c r="D269" s="56">
        <f>IF(PRINT_SHEET!D269="","",PRINT_SHEET!D269)</f>
        <v/>
      </c>
      <c r="E269" s="53">
        <f>IF(PRINT_SHEET!E269="","",PRINT_SHEET!E269)</f>
        <v/>
      </c>
      <c r="F269" s="52">
        <f>IF(PRINT_SHEET!F269="","",PRINT_SHEET!F269)</f>
        <v/>
      </c>
      <c r="G269" s="54">
        <f>IF(PRINT_SHEET!G269="","",PRINT_SHEET!G269)</f>
        <v/>
      </c>
      <c r="H269" s="54">
        <f>IF(PRINT_SHEET!H269="","",PRINT_SHEET!H269)</f>
        <v/>
      </c>
      <c r="I269" s="54">
        <f>IF(PRINT_SHEET!I269="","",PRINT_SHEET!I269)</f>
        <v/>
      </c>
      <c r="J269" s="53">
        <f>IFERROR(INDEX({"ادا شدہ","جزوی","بقایا"},MATCH(PRINT_SHEET!J269,{"PAID","PARTIAL","PENDING"},0)),PRINT_SHEET!J269)</f>
        <v/>
      </c>
      <c r="K269" s="55">
        <f>IF(PRINT_SHEET!K269="","",PRINT_SHEET!K269)</f>
        <v/>
      </c>
      <c r="L269" s="53">
        <f>IF(PRINT_SHEET!L269="","",PRINT_SHEET!L269)</f>
        <v/>
      </c>
    </row>
    <row r="270" ht="20" customHeight="1">
      <c r="A270" s="52">
        <f>IF(PRINT_SHEET!A270="","",PRINT_SHEET!A270)</f>
        <v/>
      </c>
      <c r="B270" s="53">
        <f>IF(PRINT_SHEET!B270="","",PRINT_SHEET!B270)</f>
        <v/>
      </c>
      <c r="C270" s="56">
        <f>IF(PRINT_SHEET!C270="","",PRINT_SHEET!C270)</f>
        <v/>
      </c>
      <c r="D270" s="56">
        <f>IF(PRINT_SHEET!D270="","",PRINT_SHEET!D270)</f>
        <v/>
      </c>
      <c r="E270" s="53">
        <f>IF(PRINT_SHEET!E270="","",PRINT_SHEET!E270)</f>
        <v/>
      </c>
      <c r="F270" s="52">
        <f>IF(PRINT_SHEET!F270="","",PRINT_SHEET!F270)</f>
        <v/>
      </c>
      <c r="G270" s="54">
        <f>IF(PRINT_SHEET!G270="","",PRINT_SHEET!G270)</f>
        <v/>
      </c>
      <c r="H270" s="54">
        <f>IF(PRINT_SHEET!H270="","",PRINT_SHEET!H270)</f>
        <v/>
      </c>
      <c r="I270" s="54">
        <f>IF(PRINT_SHEET!I270="","",PRINT_SHEET!I270)</f>
        <v/>
      </c>
      <c r="J270" s="53">
        <f>IFERROR(INDEX({"ادا شدہ","جزوی","بقایا"},MATCH(PRINT_SHEET!J270,{"PAID","PARTIAL","PENDING"},0)),PRINT_SHEET!J270)</f>
        <v/>
      </c>
      <c r="K270" s="55">
        <f>IF(PRINT_SHEET!K270="","",PRINT_SHEET!K270)</f>
        <v/>
      </c>
      <c r="L270" s="53">
        <f>IF(PRINT_SHEET!L270="","",PRINT_SHEET!L270)</f>
        <v/>
      </c>
    </row>
    <row r="271" ht="20" customHeight="1">
      <c r="A271" s="52">
        <f>IF(PRINT_SHEET!A271="","",PRINT_SHEET!A271)</f>
        <v/>
      </c>
      <c r="B271" s="53">
        <f>IF(PRINT_SHEET!B271="","",PRINT_SHEET!B271)</f>
        <v/>
      </c>
      <c r="C271" s="56">
        <f>IF(PRINT_SHEET!C271="","",PRINT_SHEET!C271)</f>
        <v/>
      </c>
      <c r="D271" s="56">
        <f>IF(PRINT_SHEET!D271="","",PRINT_SHEET!D271)</f>
        <v/>
      </c>
      <c r="E271" s="53">
        <f>IF(PRINT_SHEET!E271="","",PRINT_SHEET!E271)</f>
        <v/>
      </c>
      <c r="F271" s="52">
        <f>IF(PRINT_SHEET!F271="","",PRINT_SHEET!F271)</f>
        <v/>
      </c>
      <c r="G271" s="54">
        <f>IF(PRINT_SHEET!G271="","",PRINT_SHEET!G271)</f>
        <v/>
      </c>
      <c r="H271" s="54">
        <f>IF(PRINT_SHEET!H271="","",PRINT_SHEET!H271)</f>
        <v/>
      </c>
      <c r="I271" s="54">
        <f>IF(PRINT_SHEET!I271="","",PRINT_SHEET!I271)</f>
        <v/>
      </c>
      <c r="J271" s="53">
        <f>IFERROR(INDEX({"ادا شدہ","جزوی","بقایا"},MATCH(PRINT_SHEET!J271,{"PAID","PARTIAL","PENDING"},0)),PRINT_SHEET!J271)</f>
        <v/>
      </c>
      <c r="K271" s="55">
        <f>IF(PRINT_SHEET!K271="","",PRINT_SHEET!K271)</f>
        <v/>
      </c>
      <c r="L271" s="53">
        <f>IF(PRINT_SHEET!L271="","",PRINT_SHEET!L271)</f>
        <v/>
      </c>
    </row>
    <row r="272" ht="20" customHeight="1">
      <c r="A272" s="52">
        <f>IF(PRINT_SHEET!A272="","",PRINT_SHEET!A272)</f>
        <v/>
      </c>
      <c r="B272" s="53">
        <f>IF(PRINT_SHEET!B272="","",PRINT_SHEET!B272)</f>
        <v/>
      </c>
      <c r="C272" s="56">
        <f>IF(PRINT_SHEET!C272="","",PRINT_SHEET!C272)</f>
        <v/>
      </c>
      <c r="D272" s="56">
        <f>IF(PRINT_SHEET!D272="","",PRINT_SHEET!D272)</f>
        <v/>
      </c>
      <c r="E272" s="53">
        <f>IF(PRINT_SHEET!E272="","",PRINT_SHEET!E272)</f>
        <v/>
      </c>
      <c r="F272" s="52">
        <f>IF(PRINT_SHEET!F272="","",PRINT_SHEET!F272)</f>
        <v/>
      </c>
      <c r="G272" s="54">
        <f>IF(PRINT_SHEET!G272="","",PRINT_SHEET!G272)</f>
        <v/>
      </c>
      <c r="H272" s="54">
        <f>IF(PRINT_SHEET!H272="","",PRINT_SHEET!H272)</f>
        <v/>
      </c>
      <c r="I272" s="54">
        <f>IF(PRINT_SHEET!I272="","",PRINT_SHEET!I272)</f>
        <v/>
      </c>
      <c r="J272" s="53">
        <f>IFERROR(INDEX({"ادا شدہ","جزوی","بقایا"},MATCH(PRINT_SHEET!J272,{"PAID","PARTIAL","PENDING"},0)),PRINT_SHEET!J272)</f>
        <v/>
      </c>
      <c r="K272" s="55">
        <f>IF(PRINT_SHEET!K272="","",PRINT_SHEET!K272)</f>
        <v/>
      </c>
      <c r="L272" s="53">
        <f>IF(PRINT_SHEET!L272="","",PRINT_SHEET!L272)</f>
        <v/>
      </c>
    </row>
    <row r="273" ht="20" customHeight="1">
      <c r="A273" s="52">
        <f>IF(PRINT_SHEET!A273="","",PRINT_SHEET!A273)</f>
        <v/>
      </c>
      <c r="B273" s="53">
        <f>IF(PRINT_SHEET!B273="","",PRINT_SHEET!B273)</f>
        <v/>
      </c>
      <c r="C273" s="56">
        <f>IF(PRINT_SHEET!C273="","",PRINT_SHEET!C273)</f>
        <v/>
      </c>
      <c r="D273" s="56">
        <f>IF(PRINT_SHEET!D273="","",PRINT_SHEET!D273)</f>
        <v/>
      </c>
      <c r="E273" s="53">
        <f>IF(PRINT_SHEET!E273="","",PRINT_SHEET!E273)</f>
        <v/>
      </c>
      <c r="F273" s="52">
        <f>IF(PRINT_SHEET!F273="","",PRINT_SHEET!F273)</f>
        <v/>
      </c>
      <c r="G273" s="54">
        <f>IF(PRINT_SHEET!G273="","",PRINT_SHEET!G273)</f>
        <v/>
      </c>
      <c r="H273" s="54">
        <f>IF(PRINT_SHEET!H273="","",PRINT_SHEET!H273)</f>
        <v/>
      </c>
      <c r="I273" s="54">
        <f>IF(PRINT_SHEET!I273="","",PRINT_SHEET!I273)</f>
        <v/>
      </c>
      <c r="J273" s="53">
        <f>IFERROR(INDEX({"ادا شدہ","جزوی","بقایا"},MATCH(PRINT_SHEET!J273,{"PAID","PARTIAL","PENDING"},0)),PRINT_SHEET!J273)</f>
        <v/>
      </c>
      <c r="K273" s="55">
        <f>IF(PRINT_SHEET!K273="","",PRINT_SHEET!K273)</f>
        <v/>
      </c>
      <c r="L273" s="53">
        <f>IF(PRINT_SHEET!L273="","",PRINT_SHEET!L273)</f>
        <v/>
      </c>
    </row>
    <row r="274" ht="20" customHeight="1">
      <c r="A274" s="52">
        <f>IF(PRINT_SHEET!A274="","",PRINT_SHEET!A274)</f>
        <v/>
      </c>
      <c r="B274" s="53">
        <f>IF(PRINT_SHEET!B274="","",PRINT_SHEET!B274)</f>
        <v/>
      </c>
      <c r="C274" s="56">
        <f>IF(PRINT_SHEET!C274="","",PRINT_SHEET!C274)</f>
        <v/>
      </c>
      <c r="D274" s="56">
        <f>IF(PRINT_SHEET!D274="","",PRINT_SHEET!D274)</f>
        <v/>
      </c>
      <c r="E274" s="53">
        <f>IF(PRINT_SHEET!E274="","",PRINT_SHEET!E274)</f>
        <v/>
      </c>
      <c r="F274" s="52">
        <f>IF(PRINT_SHEET!F274="","",PRINT_SHEET!F274)</f>
        <v/>
      </c>
      <c r="G274" s="54">
        <f>IF(PRINT_SHEET!G274="","",PRINT_SHEET!G274)</f>
        <v/>
      </c>
      <c r="H274" s="54">
        <f>IF(PRINT_SHEET!H274="","",PRINT_SHEET!H274)</f>
        <v/>
      </c>
      <c r="I274" s="54">
        <f>IF(PRINT_SHEET!I274="","",PRINT_SHEET!I274)</f>
        <v/>
      </c>
      <c r="J274" s="53">
        <f>IFERROR(INDEX({"ادا شدہ","جزوی","بقایا"},MATCH(PRINT_SHEET!J274,{"PAID","PARTIAL","PENDING"},0)),PRINT_SHEET!J274)</f>
        <v/>
      </c>
      <c r="K274" s="55">
        <f>IF(PRINT_SHEET!K274="","",PRINT_SHEET!K274)</f>
        <v/>
      </c>
      <c r="L274" s="53">
        <f>IF(PRINT_SHEET!L274="","",PRINT_SHEET!L274)</f>
        <v/>
      </c>
    </row>
    <row r="275" ht="20" customHeight="1">
      <c r="A275" s="52">
        <f>IF(PRINT_SHEET!A275="","",PRINT_SHEET!A275)</f>
        <v/>
      </c>
      <c r="B275" s="53">
        <f>IF(PRINT_SHEET!B275="","",PRINT_SHEET!B275)</f>
        <v/>
      </c>
      <c r="C275" s="56">
        <f>IF(PRINT_SHEET!C275="","",PRINT_SHEET!C275)</f>
        <v/>
      </c>
      <c r="D275" s="56">
        <f>IF(PRINT_SHEET!D275="","",PRINT_SHEET!D275)</f>
        <v/>
      </c>
      <c r="E275" s="53">
        <f>IF(PRINT_SHEET!E275="","",PRINT_SHEET!E275)</f>
        <v/>
      </c>
      <c r="F275" s="52">
        <f>IF(PRINT_SHEET!F275="","",PRINT_SHEET!F275)</f>
        <v/>
      </c>
      <c r="G275" s="54">
        <f>IF(PRINT_SHEET!G275="","",PRINT_SHEET!G275)</f>
        <v/>
      </c>
      <c r="H275" s="54">
        <f>IF(PRINT_SHEET!H275="","",PRINT_SHEET!H275)</f>
        <v/>
      </c>
      <c r="I275" s="54">
        <f>IF(PRINT_SHEET!I275="","",PRINT_SHEET!I275)</f>
        <v/>
      </c>
      <c r="J275" s="53">
        <f>IFERROR(INDEX({"ادا شدہ","جزوی","بقایا"},MATCH(PRINT_SHEET!J275,{"PAID","PARTIAL","PENDING"},0)),PRINT_SHEET!J275)</f>
        <v/>
      </c>
      <c r="K275" s="55">
        <f>IF(PRINT_SHEET!K275="","",PRINT_SHEET!K275)</f>
        <v/>
      </c>
      <c r="L275" s="53">
        <f>IF(PRINT_SHEET!L275="","",PRINT_SHEET!L275)</f>
        <v/>
      </c>
    </row>
    <row r="276" ht="20" customHeight="1">
      <c r="A276" s="52">
        <f>IF(PRINT_SHEET!A276="","",PRINT_SHEET!A276)</f>
        <v/>
      </c>
      <c r="B276" s="53">
        <f>IF(PRINT_SHEET!B276="","",PRINT_SHEET!B276)</f>
        <v/>
      </c>
      <c r="C276" s="56">
        <f>IF(PRINT_SHEET!C276="","",PRINT_SHEET!C276)</f>
        <v/>
      </c>
      <c r="D276" s="56">
        <f>IF(PRINT_SHEET!D276="","",PRINT_SHEET!D276)</f>
        <v/>
      </c>
      <c r="E276" s="53">
        <f>IF(PRINT_SHEET!E276="","",PRINT_SHEET!E276)</f>
        <v/>
      </c>
      <c r="F276" s="52">
        <f>IF(PRINT_SHEET!F276="","",PRINT_SHEET!F276)</f>
        <v/>
      </c>
      <c r="G276" s="54">
        <f>IF(PRINT_SHEET!G276="","",PRINT_SHEET!G276)</f>
        <v/>
      </c>
      <c r="H276" s="54">
        <f>IF(PRINT_SHEET!H276="","",PRINT_SHEET!H276)</f>
        <v/>
      </c>
      <c r="I276" s="54">
        <f>IF(PRINT_SHEET!I276="","",PRINT_SHEET!I276)</f>
        <v/>
      </c>
      <c r="J276" s="53">
        <f>IFERROR(INDEX({"ادا شدہ","جزوی","بقایا"},MATCH(PRINT_SHEET!J276,{"PAID","PARTIAL","PENDING"},0)),PRINT_SHEET!J276)</f>
        <v/>
      </c>
      <c r="K276" s="55">
        <f>IF(PRINT_SHEET!K276="","",PRINT_SHEET!K276)</f>
        <v/>
      </c>
      <c r="L276" s="53">
        <f>IF(PRINT_SHEET!L276="","",PRINT_SHEET!L276)</f>
        <v/>
      </c>
    </row>
    <row r="277" ht="20" customHeight="1">
      <c r="A277" s="52">
        <f>IF(PRINT_SHEET!A277="","",PRINT_SHEET!A277)</f>
        <v/>
      </c>
      <c r="B277" s="53">
        <f>IF(PRINT_SHEET!B277="","",PRINT_SHEET!B277)</f>
        <v/>
      </c>
      <c r="C277" s="56">
        <f>IF(PRINT_SHEET!C277="","",PRINT_SHEET!C277)</f>
        <v/>
      </c>
      <c r="D277" s="56">
        <f>IF(PRINT_SHEET!D277="","",PRINT_SHEET!D277)</f>
        <v/>
      </c>
      <c r="E277" s="53">
        <f>IF(PRINT_SHEET!E277="","",PRINT_SHEET!E277)</f>
        <v/>
      </c>
      <c r="F277" s="52">
        <f>IF(PRINT_SHEET!F277="","",PRINT_SHEET!F277)</f>
        <v/>
      </c>
      <c r="G277" s="54">
        <f>IF(PRINT_SHEET!G277="","",PRINT_SHEET!G277)</f>
        <v/>
      </c>
      <c r="H277" s="54">
        <f>IF(PRINT_SHEET!H277="","",PRINT_SHEET!H277)</f>
        <v/>
      </c>
      <c r="I277" s="54">
        <f>IF(PRINT_SHEET!I277="","",PRINT_SHEET!I277)</f>
        <v/>
      </c>
      <c r="J277" s="53">
        <f>IFERROR(INDEX({"ادا شدہ","جزوی","بقایا"},MATCH(PRINT_SHEET!J277,{"PAID","PARTIAL","PENDING"},0)),PRINT_SHEET!J277)</f>
        <v/>
      </c>
      <c r="K277" s="55">
        <f>IF(PRINT_SHEET!K277="","",PRINT_SHEET!K277)</f>
        <v/>
      </c>
      <c r="L277" s="53">
        <f>IF(PRINT_SHEET!L277="","",PRINT_SHEET!L277)</f>
        <v/>
      </c>
    </row>
    <row r="278" ht="20" customHeight="1">
      <c r="A278" s="52">
        <f>IF(PRINT_SHEET!A278="","",PRINT_SHEET!A278)</f>
        <v/>
      </c>
      <c r="B278" s="53">
        <f>IF(PRINT_SHEET!B278="","",PRINT_SHEET!B278)</f>
        <v/>
      </c>
      <c r="C278" s="56">
        <f>IF(PRINT_SHEET!C278="","",PRINT_SHEET!C278)</f>
        <v/>
      </c>
      <c r="D278" s="56">
        <f>IF(PRINT_SHEET!D278="","",PRINT_SHEET!D278)</f>
        <v/>
      </c>
      <c r="E278" s="53">
        <f>IF(PRINT_SHEET!E278="","",PRINT_SHEET!E278)</f>
        <v/>
      </c>
      <c r="F278" s="52">
        <f>IF(PRINT_SHEET!F278="","",PRINT_SHEET!F278)</f>
        <v/>
      </c>
      <c r="G278" s="54">
        <f>IF(PRINT_SHEET!G278="","",PRINT_SHEET!G278)</f>
        <v/>
      </c>
      <c r="H278" s="54">
        <f>IF(PRINT_SHEET!H278="","",PRINT_SHEET!H278)</f>
        <v/>
      </c>
      <c r="I278" s="54">
        <f>IF(PRINT_SHEET!I278="","",PRINT_SHEET!I278)</f>
        <v/>
      </c>
      <c r="J278" s="53">
        <f>IFERROR(INDEX({"ادا شدہ","جزوی","بقایا"},MATCH(PRINT_SHEET!J278,{"PAID","PARTIAL","PENDING"},0)),PRINT_SHEET!J278)</f>
        <v/>
      </c>
      <c r="K278" s="55">
        <f>IF(PRINT_SHEET!K278="","",PRINT_SHEET!K278)</f>
        <v/>
      </c>
      <c r="L278" s="53">
        <f>IF(PRINT_SHEET!L278="","",PRINT_SHEET!L278)</f>
        <v/>
      </c>
    </row>
    <row r="279" ht="20" customHeight="1">
      <c r="A279" s="52">
        <f>IF(PRINT_SHEET!A279="","",PRINT_SHEET!A279)</f>
        <v/>
      </c>
      <c r="B279" s="53">
        <f>IF(PRINT_SHEET!B279="","",PRINT_SHEET!B279)</f>
        <v/>
      </c>
      <c r="C279" s="56">
        <f>IF(PRINT_SHEET!C279="","",PRINT_SHEET!C279)</f>
        <v/>
      </c>
      <c r="D279" s="56">
        <f>IF(PRINT_SHEET!D279="","",PRINT_SHEET!D279)</f>
        <v/>
      </c>
      <c r="E279" s="53">
        <f>IF(PRINT_SHEET!E279="","",PRINT_SHEET!E279)</f>
        <v/>
      </c>
      <c r="F279" s="52">
        <f>IF(PRINT_SHEET!F279="","",PRINT_SHEET!F279)</f>
        <v/>
      </c>
      <c r="G279" s="54">
        <f>IF(PRINT_SHEET!G279="","",PRINT_SHEET!G279)</f>
        <v/>
      </c>
      <c r="H279" s="54">
        <f>IF(PRINT_SHEET!H279="","",PRINT_SHEET!H279)</f>
        <v/>
      </c>
      <c r="I279" s="54">
        <f>IF(PRINT_SHEET!I279="","",PRINT_SHEET!I279)</f>
        <v/>
      </c>
      <c r="J279" s="53">
        <f>IFERROR(INDEX({"ادا شدہ","جزوی","بقایا"},MATCH(PRINT_SHEET!J279,{"PAID","PARTIAL","PENDING"},0)),PRINT_SHEET!J279)</f>
        <v/>
      </c>
      <c r="K279" s="55">
        <f>IF(PRINT_SHEET!K279="","",PRINT_SHEET!K279)</f>
        <v/>
      </c>
      <c r="L279" s="53">
        <f>IF(PRINT_SHEET!L279="","",PRINT_SHEET!L279)</f>
        <v/>
      </c>
    </row>
    <row r="280" ht="20" customHeight="1">
      <c r="A280" s="52">
        <f>IF(PRINT_SHEET!A280="","",PRINT_SHEET!A280)</f>
        <v/>
      </c>
      <c r="B280" s="53">
        <f>IF(PRINT_SHEET!B280="","",PRINT_SHEET!B280)</f>
        <v/>
      </c>
      <c r="C280" s="56">
        <f>IF(PRINT_SHEET!C280="","",PRINT_SHEET!C280)</f>
        <v/>
      </c>
      <c r="D280" s="56">
        <f>IF(PRINT_SHEET!D280="","",PRINT_SHEET!D280)</f>
        <v/>
      </c>
      <c r="E280" s="53">
        <f>IF(PRINT_SHEET!E280="","",PRINT_SHEET!E280)</f>
        <v/>
      </c>
      <c r="F280" s="52">
        <f>IF(PRINT_SHEET!F280="","",PRINT_SHEET!F280)</f>
        <v/>
      </c>
      <c r="G280" s="54">
        <f>IF(PRINT_SHEET!G280="","",PRINT_SHEET!G280)</f>
        <v/>
      </c>
      <c r="H280" s="54">
        <f>IF(PRINT_SHEET!H280="","",PRINT_SHEET!H280)</f>
        <v/>
      </c>
      <c r="I280" s="54">
        <f>IF(PRINT_SHEET!I280="","",PRINT_SHEET!I280)</f>
        <v/>
      </c>
      <c r="J280" s="53">
        <f>IFERROR(INDEX({"ادا شدہ","جزوی","بقایا"},MATCH(PRINT_SHEET!J280,{"PAID","PARTIAL","PENDING"},0)),PRINT_SHEET!J280)</f>
        <v/>
      </c>
      <c r="K280" s="55">
        <f>IF(PRINT_SHEET!K280="","",PRINT_SHEET!K280)</f>
        <v/>
      </c>
      <c r="L280" s="53">
        <f>IF(PRINT_SHEET!L280="","",PRINT_SHEET!L280)</f>
        <v/>
      </c>
    </row>
    <row r="281" ht="20" customHeight="1">
      <c r="A281" s="52">
        <f>IF(PRINT_SHEET!A281="","",PRINT_SHEET!A281)</f>
        <v/>
      </c>
      <c r="B281" s="53">
        <f>IF(PRINT_SHEET!B281="","",PRINT_SHEET!B281)</f>
        <v/>
      </c>
      <c r="C281" s="56">
        <f>IF(PRINT_SHEET!C281="","",PRINT_SHEET!C281)</f>
        <v/>
      </c>
      <c r="D281" s="56">
        <f>IF(PRINT_SHEET!D281="","",PRINT_SHEET!D281)</f>
        <v/>
      </c>
      <c r="E281" s="53">
        <f>IF(PRINT_SHEET!E281="","",PRINT_SHEET!E281)</f>
        <v/>
      </c>
      <c r="F281" s="52">
        <f>IF(PRINT_SHEET!F281="","",PRINT_SHEET!F281)</f>
        <v/>
      </c>
      <c r="G281" s="54">
        <f>IF(PRINT_SHEET!G281="","",PRINT_SHEET!G281)</f>
        <v/>
      </c>
      <c r="H281" s="54">
        <f>IF(PRINT_SHEET!H281="","",PRINT_SHEET!H281)</f>
        <v/>
      </c>
      <c r="I281" s="54">
        <f>IF(PRINT_SHEET!I281="","",PRINT_SHEET!I281)</f>
        <v/>
      </c>
      <c r="J281" s="53">
        <f>IFERROR(INDEX({"ادا شدہ","جزوی","بقایا"},MATCH(PRINT_SHEET!J281,{"PAID","PARTIAL","PENDING"},0)),PRINT_SHEET!J281)</f>
        <v/>
      </c>
      <c r="K281" s="55">
        <f>IF(PRINT_SHEET!K281="","",PRINT_SHEET!K281)</f>
        <v/>
      </c>
      <c r="L281" s="53">
        <f>IF(PRINT_SHEET!L281="","",PRINT_SHEET!L281)</f>
        <v/>
      </c>
    </row>
    <row r="282" ht="20" customHeight="1">
      <c r="A282" s="52">
        <f>IF(PRINT_SHEET!A282="","",PRINT_SHEET!A282)</f>
        <v/>
      </c>
      <c r="B282" s="53">
        <f>IF(PRINT_SHEET!B282="","",PRINT_SHEET!B282)</f>
        <v/>
      </c>
      <c r="C282" s="56">
        <f>IF(PRINT_SHEET!C282="","",PRINT_SHEET!C282)</f>
        <v/>
      </c>
      <c r="D282" s="56">
        <f>IF(PRINT_SHEET!D282="","",PRINT_SHEET!D282)</f>
        <v/>
      </c>
      <c r="E282" s="53">
        <f>IF(PRINT_SHEET!E282="","",PRINT_SHEET!E282)</f>
        <v/>
      </c>
      <c r="F282" s="52">
        <f>IF(PRINT_SHEET!F282="","",PRINT_SHEET!F282)</f>
        <v/>
      </c>
      <c r="G282" s="54">
        <f>IF(PRINT_SHEET!G282="","",PRINT_SHEET!G282)</f>
        <v/>
      </c>
      <c r="H282" s="54">
        <f>IF(PRINT_SHEET!H282="","",PRINT_SHEET!H282)</f>
        <v/>
      </c>
      <c r="I282" s="54">
        <f>IF(PRINT_SHEET!I282="","",PRINT_SHEET!I282)</f>
        <v/>
      </c>
      <c r="J282" s="53">
        <f>IFERROR(INDEX({"ادا شدہ","جزوی","بقایا"},MATCH(PRINT_SHEET!J282,{"PAID","PARTIAL","PENDING"},0)),PRINT_SHEET!J282)</f>
        <v/>
      </c>
      <c r="K282" s="55">
        <f>IF(PRINT_SHEET!K282="","",PRINT_SHEET!K282)</f>
        <v/>
      </c>
      <c r="L282" s="53">
        <f>IF(PRINT_SHEET!L282="","",PRINT_SHEET!L282)</f>
        <v/>
      </c>
    </row>
    <row r="283" ht="20" customHeight="1">
      <c r="A283" s="52">
        <f>IF(PRINT_SHEET!A283="","",PRINT_SHEET!A283)</f>
        <v/>
      </c>
      <c r="B283" s="53">
        <f>IF(PRINT_SHEET!B283="","",PRINT_SHEET!B283)</f>
        <v/>
      </c>
      <c r="C283" s="56">
        <f>IF(PRINT_SHEET!C283="","",PRINT_SHEET!C283)</f>
        <v/>
      </c>
      <c r="D283" s="56">
        <f>IF(PRINT_SHEET!D283="","",PRINT_SHEET!D283)</f>
        <v/>
      </c>
      <c r="E283" s="53">
        <f>IF(PRINT_SHEET!E283="","",PRINT_SHEET!E283)</f>
        <v/>
      </c>
      <c r="F283" s="52">
        <f>IF(PRINT_SHEET!F283="","",PRINT_SHEET!F283)</f>
        <v/>
      </c>
      <c r="G283" s="54">
        <f>IF(PRINT_SHEET!G283="","",PRINT_SHEET!G283)</f>
        <v/>
      </c>
      <c r="H283" s="54">
        <f>IF(PRINT_SHEET!H283="","",PRINT_SHEET!H283)</f>
        <v/>
      </c>
      <c r="I283" s="54">
        <f>IF(PRINT_SHEET!I283="","",PRINT_SHEET!I283)</f>
        <v/>
      </c>
      <c r="J283" s="53">
        <f>IFERROR(INDEX({"ادا شدہ","جزوی","بقایا"},MATCH(PRINT_SHEET!J283,{"PAID","PARTIAL","PENDING"},0)),PRINT_SHEET!J283)</f>
        <v/>
      </c>
      <c r="K283" s="55">
        <f>IF(PRINT_SHEET!K283="","",PRINT_SHEET!K283)</f>
        <v/>
      </c>
      <c r="L283" s="53">
        <f>IF(PRINT_SHEET!L283="","",PRINT_SHEET!L283)</f>
        <v/>
      </c>
    </row>
    <row r="284" ht="20" customHeight="1">
      <c r="A284" s="52">
        <f>IF(PRINT_SHEET!A284="","",PRINT_SHEET!A284)</f>
        <v/>
      </c>
      <c r="B284" s="53">
        <f>IF(PRINT_SHEET!B284="","",PRINT_SHEET!B284)</f>
        <v/>
      </c>
      <c r="C284" s="56">
        <f>IF(PRINT_SHEET!C284="","",PRINT_SHEET!C284)</f>
        <v/>
      </c>
      <c r="D284" s="56">
        <f>IF(PRINT_SHEET!D284="","",PRINT_SHEET!D284)</f>
        <v/>
      </c>
      <c r="E284" s="53">
        <f>IF(PRINT_SHEET!E284="","",PRINT_SHEET!E284)</f>
        <v/>
      </c>
      <c r="F284" s="52">
        <f>IF(PRINT_SHEET!F284="","",PRINT_SHEET!F284)</f>
        <v/>
      </c>
      <c r="G284" s="54">
        <f>IF(PRINT_SHEET!G284="","",PRINT_SHEET!G284)</f>
        <v/>
      </c>
      <c r="H284" s="54">
        <f>IF(PRINT_SHEET!H284="","",PRINT_SHEET!H284)</f>
        <v/>
      </c>
      <c r="I284" s="54">
        <f>IF(PRINT_SHEET!I284="","",PRINT_SHEET!I284)</f>
        <v/>
      </c>
      <c r="J284" s="53">
        <f>IFERROR(INDEX({"ادا شدہ","جزوی","بقایا"},MATCH(PRINT_SHEET!J284,{"PAID","PARTIAL","PENDING"},0)),PRINT_SHEET!J284)</f>
        <v/>
      </c>
      <c r="K284" s="55">
        <f>IF(PRINT_SHEET!K284="","",PRINT_SHEET!K284)</f>
        <v/>
      </c>
      <c r="L284" s="53">
        <f>IF(PRINT_SHEET!L284="","",PRINT_SHEET!L284)</f>
        <v/>
      </c>
    </row>
    <row r="285" ht="20" customHeight="1">
      <c r="A285" s="52">
        <f>IF(PRINT_SHEET!A285="","",PRINT_SHEET!A285)</f>
        <v/>
      </c>
      <c r="B285" s="53">
        <f>IF(PRINT_SHEET!B285="","",PRINT_SHEET!B285)</f>
        <v/>
      </c>
      <c r="C285" s="56">
        <f>IF(PRINT_SHEET!C285="","",PRINT_SHEET!C285)</f>
        <v/>
      </c>
      <c r="D285" s="56">
        <f>IF(PRINT_SHEET!D285="","",PRINT_SHEET!D285)</f>
        <v/>
      </c>
      <c r="E285" s="53">
        <f>IF(PRINT_SHEET!E285="","",PRINT_SHEET!E285)</f>
        <v/>
      </c>
      <c r="F285" s="52">
        <f>IF(PRINT_SHEET!F285="","",PRINT_SHEET!F285)</f>
        <v/>
      </c>
      <c r="G285" s="54">
        <f>IF(PRINT_SHEET!G285="","",PRINT_SHEET!G285)</f>
        <v/>
      </c>
      <c r="H285" s="54">
        <f>IF(PRINT_SHEET!H285="","",PRINT_SHEET!H285)</f>
        <v/>
      </c>
      <c r="I285" s="54">
        <f>IF(PRINT_SHEET!I285="","",PRINT_SHEET!I285)</f>
        <v/>
      </c>
      <c r="J285" s="53">
        <f>IFERROR(INDEX({"ادا شدہ","جزوی","بقایا"},MATCH(PRINT_SHEET!J285,{"PAID","PARTIAL","PENDING"},0)),PRINT_SHEET!J285)</f>
        <v/>
      </c>
      <c r="K285" s="55">
        <f>IF(PRINT_SHEET!K285="","",PRINT_SHEET!K285)</f>
        <v/>
      </c>
      <c r="L285" s="53">
        <f>IF(PRINT_SHEET!L285="","",PRINT_SHEET!L285)</f>
        <v/>
      </c>
    </row>
    <row r="286" ht="20" customHeight="1">
      <c r="A286" s="52">
        <f>IF(PRINT_SHEET!A286="","",PRINT_SHEET!A286)</f>
        <v/>
      </c>
      <c r="B286" s="53">
        <f>IF(PRINT_SHEET!B286="","",PRINT_SHEET!B286)</f>
        <v/>
      </c>
      <c r="C286" s="56">
        <f>IF(PRINT_SHEET!C286="","",PRINT_SHEET!C286)</f>
        <v/>
      </c>
      <c r="D286" s="56">
        <f>IF(PRINT_SHEET!D286="","",PRINT_SHEET!D286)</f>
        <v/>
      </c>
      <c r="E286" s="53">
        <f>IF(PRINT_SHEET!E286="","",PRINT_SHEET!E286)</f>
        <v/>
      </c>
      <c r="F286" s="52">
        <f>IF(PRINT_SHEET!F286="","",PRINT_SHEET!F286)</f>
        <v/>
      </c>
      <c r="G286" s="54">
        <f>IF(PRINT_SHEET!G286="","",PRINT_SHEET!G286)</f>
        <v/>
      </c>
      <c r="H286" s="54">
        <f>IF(PRINT_SHEET!H286="","",PRINT_SHEET!H286)</f>
        <v/>
      </c>
      <c r="I286" s="54">
        <f>IF(PRINT_SHEET!I286="","",PRINT_SHEET!I286)</f>
        <v/>
      </c>
      <c r="J286" s="53">
        <f>IFERROR(INDEX({"ادا شدہ","جزوی","بقایا"},MATCH(PRINT_SHEET!J286,{"PAID","PARTIAL","PENDING"},0)),PRINT_SHEET!J286)</f>
        <v/>
      </c>
      <c r="K286" s="55">
        <f>IF(PRINT_SHEET!K286="","",PRINT_SHEET!K286)</f>
        <v/>
      </c>
      <c r="L286" s="53">
        <f>IF(PRINT_SHEET!L286="","",PRINT_SHEET!L286)</f>
        <v/>
      </c>
    </row>
    <row r="287" ht="20" customHeight="1">
      <c r="A287" s="52">
        <f>IF(PRINT_SHEET!A287="","",PRINT_SHEET!A287)</f>
        <v/>
      </c>
      <c r="B287" s="53">
        <f>IF(PRINT_SHEET!B287="","",PRINT_SHEET!B287)</f>
        <v/>
      </c>
      <c r="C287" s="56">
        <f>IF(PRINT_SHEET!C287="","",PRINT_SHEET!C287)</f>
        <v/>
      </c>
      <c r="D287" s="56">
        <f>IF(PRINT_SHEET!D287="","",PRINT_SHEET!D287)</f>
        <v/>
      </c>
      <c r="E287" s="53">
        <f>IF(PRINT_SHEET!E287="","",PRINT_SHEET!E287)</f>
        <v/>
      </c>
      <c r="F287" s="52">
        <f>IF(PRINT_SHEET!F287="","",PRINT_SHEET!F287)</f>
        <v/>
      </c>
      <c r="G287" s="54">
        <f>IF(PRINT_SHEET!G287="","",PRINT_SHEET!G287)</f>
        <v/>
      </c>
      <c r="H287" s="54">
        <f>IF(PRINT_SHEET!H287="","",PRINT_SHEET!H287)</f>
        <v/>
      </c>
      <c r="I287" s="54">
        <f>IF(PRINT_SHEET!I287="","",PRINT_SHEET!I287)</f>
        <v/>
      </c>
      <c r="J287" s="53">
        <f>IFERROR(INDEX({"ادا شدہ","جزوی","بقایا"},MATCH(PRINT_SHEET!J287,{"PAID","PARTIAL","PENDING"},0)),PRINT_SHEET!J287)</f>
        <v/>
      </c>
      <c r="K287" s="55">
        <f>IF(PRINT_SHEET!K287="","",PRINT_SHEET!K287)</f>
        <v/>
      </c>
      <c r="L287" s="53">
        <f>IF(PRINT_SHEET!L287="","",PRINT_SHEET!L287)</f>
        <v/>
      </c>
    </row>
    <row r="288" ht="20" customHeight="1">
      <c r="A288" s="52">
        <f>IF(PRINT_SHEET!A288="","",PRINT_SHEET!A288)</f>
        <v/>
      </c>
      <c r="B288" s="53">
        <f>IF(PRINT_SHEET!B288="","",PRINT_SHEET!B288)</f>
        <v/>
      </c>
      <c r="C288" s="56">
        <f>IF(PRINT_SHEET!C288="","",PRINT_SHEET!C288)</f>
        <v/>
      </c>
      <c r="D288" s="56">
        <f>IF(PRINT_SHEET!D288="","",PRINT_SHEET!D288)</f>
        <v/>
      </c>
      <c r="E288" s="53">
        <f>IF(PRINT_SHEET!E288="","",PRINT_SHEET!E288)</f>
        <v/>
      </c>
      <c r="F288" s="52">
        <f>IF(PRINT_SHEET!F288="","",PRINT_SHEET!F288)</f>
        <v/>
      </c>
      <c r="G288" s="54">
        <f>IF(PRINT_SHEET!G288="","",PRINT_SHEET!G288)</f>
        <v/>
      </c>
      <c r="H288" s="54">
        <f>IF(PRINT_SHEET!H288="","",PRINT_SHEET!H288)</f>
        <v/>
      </c>
      <c r="I288" s="54">
        <f>IF(PRINT_SHEET!I288="","",PRINT_SHEET!I288)</f>
        <v/>
      </c>
      <c r="J288" s="53">
        <f>IFERROR(INDEX({"ادا شدہ","جزوی","بقایا"},MATCH(PRINT_SHEET!J288,{"PAID","PARTIAL","PENDING"},0)),PRINT_SHEET!J288)</f>
        <v/>
      </c>
      <c r="K288" s="55">
        <f>IF(PRINT_SHEET!K288="","",PRINT_SHEET!K288)</f>
        <v/>
      </c>
      <c r="L288" s="53">
        <f>IF(PRINT_SHEET!L288="","",PRINT_SHEET!L288)</f>
        <v/>
      </c>
    </row>
    <row r="289" ht="20" customHeight="1">
      <c r="A289" s="52">
        <f>IF(PRINT_SHEET!A289="","",PRINT_SHEET!A289)</f>
        <v/>
      </c>
      <c r="B289" s="53">
        <f>IF(PRINT_SHEET!B289="","",PRINT_SHEET!B289)</f>
        <v/>
      </c>
      <c r="C289" s="56">
        <f>IF(PRINT_SHEET!C289="","",PRINT_SHEET!C289)</f>
        <v/>
      </c>
      <c r="D289" s="56">
        <f>IF(PRINT_SHEET!D289="","",PRINT_SHEET!D289)</f>
        <v/>
      </c>
      <c r="E289" s="53">
        <f>IF(PRINT_SHEET!E289="","",PRINT_SHEET!E289)</f>
        <v/>
      </c>
      <c r="F289" s="52">
        <f>IF(PRINT_SHEET!F289="","",PRINT_SHEET!F289)</f>
        <v/>
      </c>
      <c r="G289" s="54">
        <f>IF(PRINT_SHEET!G289="","",PRINT_SHEET!G289)</f>
        <v/>
      </c>
      <c r="H289" s="54">
        <f>IF(PRINT_SHEET!H289="","",PRINT_SHEET!H289)</f>
        <v/>
      </c>
      <c r="I289" s="54">
        <f>IF(PRINT_SHEET!I289="","",PRINT_SHEET!I289)</f>
        <v/>
      </c>
      <c r="J289" s="53">
        <f>IFERROR(INDEX({"ادا شدہ","جزوی","بقایا"},MATCH(PRINT_SHEET!J289,{"PAID","PARTIAL","PENDING"},0)),PRINT_SHEET!J289)</f>
        <v/>
      </c>
      <c r="K289" s="55">
        <f>IF(PRINT_SHEET!K289="","",PRINT_SHEET!K289)</f>
        <v/>
      </c>
      <c r="L289" s="53">
        <f>IF(PRINT_SHEET!L289="","",PRINT_SHEET!L289)</f>
        <v/>
      </c>
    </row>
    <row r="290" ht="20" customHeight="1">
      <c r="A290" s="52">
        <f>IF(PRINT_SHEET!A290="","",PRINT_SHEET!A290)</f>
        <v/>
      </c>
      <c r="B290" s="53">
        <f>IF(PRINT_SHEET!B290="","",PRINT_SHEET!B290)</f>
        <v/>
      </c>
      <c r="C290" s="56">
        <f>IF(PRINT_SHEET!C290="","",PRINT_SHEET!C290)</f>
        <v/>
      </c>
      <c r="D290" s="56">
        <f>IF(PRINT_SHEET!D290="","",PRINT_SHEET!D290)</f>
        <v/>
      </c>
      <c r="E290" s="53">
        <f>IF(PRINT_SHEET!E290="","",PRINT_SHEET!E290)</f>
        <v/>
      </c>
      <c r="F290" s="52">
        <f>IF(PRINT_SHEET!F290="","",PRINT_SHEET!F290)</f>
        <v/>
      </c>
      <c r="G290" s="54">
        <f>IF(PRINT_SHEET!G290="","",PRINT_SHEET!G290)</f>
        <v/>
      </c>
      <c r="H290" s="54">
        <f>IF(PRINT_SHEET!H290="","",PRINT_SHEET!H290)</f>
        <v/>
      </c>
      <c r="I290" s="54">
        <f>IF(PRINT_SHEET!I290="","",PRINT_SHEET!I290)</f>
        <v/>
      </c>
      <c r="J290" s="53">
        <f>IFERROR(INDEX({"ادا شدہ","جزوی","بقایا"},MATCH(PRINT_SHEET!J290,{"PAID","PARTIAL","PENDING"},0)),PRINT_SHEET!J290)</f>
        <v/>
      </c>
      <c r="K290" s="55">
        <f>IF(PRINT_SHEET!K290="","",PRINT_SHEET!K290)</f>
        <v/>
      </c>
      <c r="L290" s="53">
        <f>IF(PRINT_SHEET!L290="","",PRINT_SHEET!L290)</f>
        <v/>
      </c>
    </row>
    <row r="291" ht="20" customHeight="1">
      <c r="A291" s="52">
        <f>IF(PRINT_SHEET!A291="","",PRINT_SHEET!A291)</f>
        <v/>
      </c>
      <c r="B291" s="53">
        <f>IF(PRINT_SHEET!B291="","",PRINT_SHEET!B291)</f>
        <v/>
      </c>
      <c r="C291" s="56">
        <f>IF(PRINT_SHEET!C291="","",PRINT_SHEET!C291)</f>
        <v/>
      </c>
      <c r="D291" s="56">
        <f>IF(PRINT_SHEET!D291="","",PRINT_SHEET!D291)</f>
        <v/>
      </c>
      <c r="E291" s="53">
        <f>IF(PRINT_SHEET!E291="","",PRINT_SHEET!E291)</f>
        <v/>
      </c>
      <c r="F291" s="52">
        <f>IF(PRINT_SHEET!F291="","",PRINT_SHEET!F291)</f>
        <v/>
      </c>
      <c r="G291" s="54">
        <f>IF(PRINT_SHEET!G291="","",PRINT_SHEET!G291)</f>
        <v/>
      </c>
      <c r="H291" s="54">
        <f>IF(PRINT_SHEET!H291="","",PRINT_SHEET!H291)</f>
        <v/>
      </c>
      <c r="I291" s="54">
        <f>IF(PRINT_SHEET!I291="","",PRINT_SHEET!I291)</f>
        <v/>
      </c>
      <c r="J291" s="53">
        <f>IFERROR(INDEX({"ادا شدہ","جزوی","بقایا"},MATCH(PRINT_SHEET!J291,{"PAID","PARTIAL","PENDING"},0)),PRINT_SHEET!J291)</f>
        <v/>
      </c>
      <c r="K291" s="55">
        <f>IF(PRINT_SHEET!K291="","",PRINT_SHEET!K291)</f>
        <v/>
      </c>
      <c r="L291" s="53">
        <f>IF(PRINT_SHEET!L291="","",PRINT_SHEET!L291)</f>
        <v/>
      </c>
    </row>
    <row r="292" ht="20" customHeight="1">
      <c r="A292" s="52">
        <f>IF(PRINT_SHEET!A292="","",PRINT_SHEET!A292)</f>
        <v/>
      </c>
      <c r="B292" s="53">
        <f>IF(PRINT_SHEET!B292="","",PRINT_SHEET!B292)</f>
        <v/>
      </c>
      <c r="C292" s="56">
        <f>IF(PRINT_SHEET!C292="","",PRINT_SHEET!C292)</f>
        <v/>
      </c>
      <c r="D292" s="56">
        <f>IF(PRINT_SHEET!D292="","",PRINT_SHEET!D292)</f>
        <v/>
      </c>
      <c r="E292" s="53">
        <f>IF(PRINT_SHEET!E292="","",PRINT_SHEET!E292)</f>
        <v/>
      </c>
      <c r="F292" s="52">
        <f>IF(PRINT_SHEET!F292="","",PRINT_SHEET!F292)</f>
        <v/>
      </c>
      <c r="G292" s="54">
        <f>IF(PRINT_SHEET!G292="","",PRINT_SHEET!G292)</f>
        <v/>
      </c>
      <c r="H292" s="54">
        <f>IF(PRINT_SHEET!H292="","",PRINT_SHEET!H292)</f>
        <v/>
      </c>
      <c r="I292" s="54">
        <f>IF(PRINT_SHEET!I292="","",PRINT_SHEET!I292)</f>
        <v/>
      </c>
      <c r="J292" s="53">
        <f>IFERROR(INDEX({"ادا شدہ","جزوی","بقایا"},MATCH(PRINT_SHEET!J292,{"PAID","PARTIAL","PENDING"},0)),PRINT_SHEET!J292)</f>
        <v/>
      </c>
      <c r="K292" s="55">
        <f>IF(PRINT_SHEET!K292="","",PRINT_SHEET!K292)</f>
        <v/>
      </c>
      <c r="L292" s="53">
        <f>IF(PRINT_SHEET!L292="","",PRINT_SHEET!L292)</f>
        <v/>
      </c>
    </row>
    <row r="293" ht="20" customHeight="1">
      <c r="A293" s="52">
        <f>IF(PRINT_SHEET!A293="","",PRINT_SHEET!A293)</f>
        <v/>
      </c>
      <c r="B293" s="53">
        <f>IF(PRINT_SHEET!B293="","",PRINT_SHEET!B293)</f>
        <v/>
      </c>
      <c r="C293" s="56">
        <f>IF(PRINT_SHEET!C293="","",PRINT_SHEET!C293)</f>
        <v/>
      </c>
      <c r="D293" s="56">
        <f>IF(PRINT_SHEET!D293="","",PRINT_SHEET!D293)</f>
        <v/>
      </c>
      <c r="E293" s="53">
        <f>IF(PRINT_SHEET!E293="","",PRINT_SHEET!E293)</f>
        <v/>
      </c>
      <c r="F293" s="52">
        <f>IF(PRINT_SHEET!F293="","",PRINT_SHEET!F293)</f>
        <v/>
      </c>
      <c r="G293" s="54">
        <f>IF(PRINT_SHEET!G293="","",PRINT_SHEET!G293)</f>
        <v/>
      </c>
      <c r="H293" s="54">
        <f>IF(PRINT_SHEET!H293="","",PRINT_SHEET!H293)</f>
        <v/>
      </c>
      <c r="I293" s="54">
        <f>IF(PRINT_SHEET!I293="","",PRINT_SHEET!I293)</f>
        <v/>
      </c>
      <c r="J293" s="53">
        <f>IFERROR(INDEX({"ادا شدہ","جزوی","بقایا"},MATCH(PRINT_SHEET!J293,{"PAID","PARTIAL","PENDING"},0)),PRINT_SHEET!J293)</f>
        <v/>
      </c>
      <c r="K293" s="55">
        <f>IF(PRINT_SHEET!K293="","",PRINT_SHEET!K293)</f>
        <v/>
      </c>
      <c r="L293" s="53">
        <f>IF(PRINT_SHEET!L293="","",PRINT_SHEET!L293)</f>
        <v/>
      </c>
    </row>
    <row r="294" ht="20" customHeight="1">
      <c r="A294" s="52">
        <f>IF(PRINT_SHEET!A294="","",PRINT_SHEET!A294)</f>
        <v/>
      </c>
      <c r="B294" s="53">
        <f>IF(PRINT_SHEET!B294="","",PRINT_SHEET!B294)</f>
        <v/>
      </c>
      <c r="C294" s="56">
        <f>IF(PRINT_SHEET!C294="","",PRINT_SHEET!C294)</f>
        <v/>
      </c>
      <c r="D294" s="56">
        <f>IF(PRINT_SHEET!D294="","",PRINT_SHEET!D294)</f>
        <v/>
      </c>
      <c r="E294" s="53">
        <f>IF(PRINT_SHEET!E294="","",PRINT_SHEET!E294)</f>
        <v/>
      </c>
      <c r="F294" s="52">
        <f>IF(PRINT_SHEET!F294="","",PRINT_SHEET!F294)</f>
        <v/>
      </c>
      <c r="G294" s="54">
        <f>IF(PRINT_SHEET!G294="","",PRINT_SHEET!G294)</f>
        <v/>
      </c>
      <c r="H294" s="54">
        <f>IF(PRINT_SHEET!H294="","",PRINT_SHEET!H294)</f>
        <v/>
      </c>
      <c r="I294" s="54">
        <f>IF(PRINT_SHEET!I294="","",PRINT_SHEET!I294)</f>
        <v/>
      </c>
      <c r="J294" s="53">
        <f>IFERROR(INDEX({"ادا شدہ","جزوی","بقایا"},MATCH(PRINT_SHEET!J294,{"PAID","PARTIAL","PENDING"},0)),PRINT_SHEET!J294)</f>
        <v/>
      </c>
      <c r="K294" s="55">
        <f>IF(PRINT_SHEET!K294="","",PRINT_SHEET!K294)</f>
        <v/>
      </c>
      <c r="L294" s="53">
        <f>IF(PRINT_SHEET!L294="","",PRINT_SHEET!L294)</f>
        <v/>
      </c>
    </row>
    <row r="295" ht="20" customHeight="1">
      <c r="A295" s="52">
        <f>IF(PRINT_SHEET!A295="","",PRINT_SHEET!A295)</f>
        <v/>
      </c>
      <c r="B295" s="53">
        <f>IF(PRINT_SHEET!B295="","",PRINT_SHEET!B295)</f>
        <v/>
      </c>
      <c r="C295" s="56">
        <f>IF(PRINT_SHEET!C295="","",PRINT_SHEET!C295)</f>
        <v/>
      </c>
      <c r="D295" s="56">
        <f>IF(PRINT_SHEET!D295="","",PRINT_SHEET!D295)</f>
        <v/>
      </c>
      <c r="E295" s="53">
        <f>IF(PRINT_SHEET!E295="","",PRINT_SHEET!E295)</f>
        <v/>
      </c>
      <c r="F295" s="52">
        <f>IF(PRINT_SHEET!F295="","",PRINT_SHEET!F295)</f>
        <v/>
      </c>
      <c r="G295" s="54">
        <f>IF(PRINT_SHEET!G295="","",PRINT_SHEET!G295)</f>
        <v/>
      </c>
      <c r="H295" s="54">
        <f>IF(PRINT_SHEET!H295="","",PRINT_SHEET!H295)</f>
        <v/>
      </c>
      <c r="I295" s="54">
        <f>IF(PRINT_SHEET!I295="","",PRINT_SHEET!I295)</f>
        <v/>
      </c>
      <c r="J295" s="53">
        <f>IFERROR(INDEX({"ادا شدہ","جزوی","بقایا"},MATCH(PRINT_SHEET!J295,{"PAID","PARTIAL","PENDING"},0)),PRINT_SHEET!J295)</f>
        <v/>
      </c>
      <c r="K295" s="55">
        <f>IF(PRINT_SHEET!K295="","",PRINT_SHEET!K295)</f>
        <v/>
      </c>
      <c r="L295" s="53">
        <f>IF(PRINT_SHEET!L295="","",PRINT_SHEET!L295)</f>
        <v/>
      </c>
    </row>
    <row r="296" ht="20" customHeight="1">
      <c r="A296" s="52">
        <f>IF(PRINT_SHEET!A296="","",PRINT_SHEET!A296)</f>
        <v/>
      </c>
      <c r="B296" s="53">
        <f>IF(PRINT_SHEET!B296="","",PRINT_SHEET!B296)</f>
        <v/>
      </c>
      <c r="C296" s="56">
        <f>IF(PRINT_SHEET!C296="","",PRINT_SHEET!C296)</f>
        <v/>
      </c>
      <c r="D296" s="56">
        <f>IF(PRINT_SHEET!D296="","",PRINT_SHEET!D296)</f>
        <v/>
      </c>
      <c r="E296" s="53">
        <f>IF(PRINT_SHEET!E296="","",PRINT_SHEET!E296)</f>
        <v/>
      </c>
      <c r="F296" s="52">
        <f>IF(PRINT_SHEET!F296="","",PRINT_SHEET!F296)</f>
        <v/>
      </c>
      <c r="G296" s="54">
        <f>IF(PRINT_SHEET!G296="","",PRINT_SHEET!G296)</f>
        <v/>
      </c>
      <c r="H296" s="54">
        <f>IF(PRINT_SHEET!H296="","",PRINT_SHEET!H296)</f>
        <v/>
      </c>
      <c r="I296" s="54">
        <f>IF(PRINT_SHEET!I296="","",PRINT_SHEET!I296)</f>
        <v/>
      </c>
      <c r="J296" s="53">
        <f>IFERROR(INDEX({"ادا شدہ","جزوی","بقایا"},MATCH(PRINT_SHEET!J296,{"PAID","PARTIAL","PENDING"},0)),PRINT_SHEET!J296)</f>
        <v/>
      </c>
      <c r="K296" s="55">
        <f>IF(PRINT_SHEET!K296="","",PRINT_SHEET!K296)</f>
        <v/>
      </c>
      <c r="L296" s="53">
        <f>IF(PRINT_SHEET!L296="","",PRINT_SHEET!L296)</f>
        <v/>
      </c>
    </row>
    <row r="297" ht="20" customHeight="1">
      <c r="A297" s="52">
        <f>IF(PRINT_SHEET!A297="","",PRINT_SHEET!A297)</f>
        <v/>
      </c>
      <c r="B297" s="53">
        <f>IF(PRINT_SHEET!B297="","",PRINT_SHEET!B297)</f>
        <v/>
      </c>
      <c r="C297" s="56">
        <f>IF(PRINT_SHEET!C297="","",PRINT_SHEET!C297)</f>
        <v/>
      </c>
      <c r="D297" s="56">
        <f>IF(PRINT_SHEET!D297="","",PRINT_SHEET!D297)</f>
        <v/>
      </c>
      <c r="E297" s="53">
        <f>IF(PRINT_SHEET!E297="","",PRINT_SHEET!E297)</f>
        <v/>
      </c>
      <c r="F297" s="52">
        <f>IF(PRINT_SHEET!F297="","",PRINT_SHEET!F297)</f>
        <v/>
      </c>
      <c r="G297" s="54">
        <f>IF(PRINT_SHEET!G297="","",PRINT_SHEET!G297)</f>
        <v/>
      </c>
      <c r="H297" s="54">
        <f>IF(PRINT_SHEET!H297="","",PRINT_SHEET!H297)</f>
        <v/>
      </c>
      <c r="I297" s="54">
        <f>IF(PRINT_SHEET!I297="","",PRINT_SHEET!I297)</f>
        <v/>
      </c>
      <c r="J297" s="53">
        <f>IFERROR(INDEX({"ادا شدہ","جزوی","بقایا"},MATCH(PRINT_SHEET!J297,{"PAID","PARTIAL","PENDING"},0)),PRINT_SHEET!J297)</f>
        <v/>
      </c>
      <c r="K297" s="55">
        <f>IF(PRINT_SHEET!K297="","",PRINT_SHEET!K297)</f>
        <v/>
      </c>
      <c r="L297" s="53">
        <f>IF(PRINT_SHEET!L297="","",PRINT_SHEET!L297)</f>
        <v/>
      </c>
    </row>
    <row r="298" ht="20" customHeight="1">
      <c r="A298" s="52">
        <f>IF(PRINT_SHEET!A298="","",PRINT_SHEET!A298)</f>
        <v/>
      </c>
      <c r="B298" s="53">
        <f>IF(PRINT_SHEET!B298="","",PRINT_SHEET!B298)</f>
        <v/>
      </c>
      <c r="C298" s="56">
        <f>IF(PRINT_SHEET!C298="","",PRINT_SHEET!C298)</f>
        <v/>
      </c>
      <c r="D298" s="56">
        <f>IF(PRINT_SHEET!D298="","",PRINT_SHEET!D298)</f>
        <v/>
      </c>
      <c r="E298" s="53">
        <f>IF(PRINT_SHEET!E298="","",PRINT_SHEET!E298)</f>
        <v/>
      </c>
      <c r="F298" s="52">
        <f>IF(PRINT_SHEET!F298="","",PRINT_SHEET!F298)</f>
        <v/>
      </c>
      <c r="G298" s="54">
        <f>IF(PRINT_SHEET!G298="","",PRINT_SHEET!G298)</f>
        <v/>
      </c>
      <c r="H298" s="54">
        <f>IF(PRINT_SHEET!H298="","",PRINT_SHEET!H298)</f>
        <v/>
      </c>
      <c r="I298" s="54">
        <f>IF(PRINT_SHEET!I298="","",PRINT_SHEET!I298)</f>
        <v/>
      </c>
      <c r="J298" s="53">
        <f>IFERROR(INDEX({"ادا شدہ","جزوی","بقایا"},MATCH(PRINT_SHEET!J298,{"PAID","PARTIAL","PENDING"},0)),PRINT_SHEET!J298)</f>
        <v/>
      </c>
      <c r="K298" s="55">
        <f>IF(PRINT_SHEET!K298="","",PRINT_SHEET!K298)</f>
        <v/>
      </c>
      <c r="L298" s="53">
        <f>IF(PRINT_SHEET!L298="","",PRINT_SHEET!L298)</f>
        <v/>
      </c>
    </row>
    <row r="299" ht="20" customHeight="1">
      <c r="A299" s="52">
        <f>IF(PRINT_SHEET!A299="","",PRINT_SHEET!A299)</f>
        <v/>
      </c>
      <c r="B299" s="53">
        <f>IF(PRINT_SHEET!B299="","",PRINT_SHEET!B299)</f>
        <v/>
      </c>
      <c r="C299" s="56">
        <f>IF(PRINT_SHEET!C299="","",PRINT_SHEET!C299)</f>
        <v/>
      </c>
      <c r="D299" s="56">
        <f>IF(PRINT_SHEET!D299="","",PRINT_SHEET!D299)</f>
        <v/>
      </c>
      <c r="E299" s="53">
        <f>IF(PRINT_SHEET!E299="","",PRINT_SHEET!E299)</f>
        <v/>
      </c>
      <c r="F299" s="52">
        <f>IF(PRINT_SHEET!F299="","",PRINT_SHEET!F299)</f>
        <v/>
      </c>
      <c r="G299" s="54">
        <f>IF(PRINT_SHEET!G299="","",PRINT_SHEET!G299)</f>
        <v/>
      </c>
      <c r="H299" s="54">
        <f>IF(PRINT_SHEET!H299="","",PRINT_SHEET!H299)</f>
        <v/>
      </c>
      <c r="I299" s="54">
        <f>IF(PRINT_SHEET!I299="","",PRINT_SHEET!I299)</f>
        <v/>
      </c>
      <c r="J299" s="53">
        <f>IFERROR(INDEX({"ادا شدہ","جزوی","بقایا"},MATCH(PRINT_SHEET!J299,{"PAID","PARTIAL","PENDING"},0)),PRINT_SHEET!J299)</f>
        <v/>
      </c>
      <c r="K299" s="55">
        <f>IF(PRINT_SHEET!K299="","",PRINT_SHEET!K299)</f>
        <v/>
      </c>
      <c r="L299" s="53">
        <f>IF(PRINT_SHEET!L299="","",PRINT_SHEET!L299)</f>
        <v/>
      </c>
    </row>
    <row r="300" ht="20" customHeight="1">
      <c r="A300" s="52">
        <f>IF(PRINT_SHEET!A300="","",PRINT_SHEET!A300)</f>
        <v/>
      </c>
      <c r="B300" s="53">
        <f>IF(PRINT_SHEET!B300="","",PRINT_SHEET!B300)</f>
        <v/>
      </c>
      <c r="C300" s="56">
        <f>IF(PRINT_SHEET!C300="","",PRINT_SHEET!C300)</f>
        <v/>
      </c>
      <c r="D300" s="56">
        <f>IF(PRINT_SHEET!D300="","",PRINT_SHEET!D300)</f>
        <v/>
      </c>
      <c r="E300" s="53">
        <f>IF(PRINT_SHEET!E300="","",PRINT_SHEET!E300)</f>
        <v/>
      </c>
      <c r="F300" s="52">
        <f>IF(PRINT_SHEET!F300="","",PRINT_SHEET!F300)</f>
        <v/>
      </c>
      <c r="G300" s="54">
        <f>IF(PRINT_SHEET!G300="","",PRINT_SHEET!G300)</f>
        <v/>
      </c>
      <c r="H300" s="54">
        <f>IF(PRINT_SHEET!H300="","",PRINT_SHEET!H300)</f>
        <v/>
      </c>
      <c r="I300" s="54">
        <f>IF(PRINT_SHEET!I300="","",PRINT_SHEET!I300)</f>
        <v/>
      </c>
      <c r="J300" s="53">
        <f>IFERROR(INDEX({"ادا شدہ","جزوی","بقایا"},MATCH(PRINT_SHEET!J300,{"PAID","PARTIAL","PENDING"},0)),PRINT_SHEET!J300)</f>
        <v/>
      </c>
      <c r="K300" s="55">
        <f>IF(PRINT_SHEET!K300="","",PRINT_SHEET!K300)</f>
        <v/>
      </c>
      <c r="L300" s="53">
        <f>IF(PRINT_SHEET!L300="","",PRINT_SHEET!L300)</f>
        <v/>
      </c>
    </row>
    <row r="301" ht="20" customHeight="1">
      <c r="A301" s="52">
        <f>IF(PRINT_SHEET!A301="","",PRINT_SHEET!A301)</f>
        <v/>
      </c>
      <c r="B301" s="53">
        <f>IF(PRINT_SHEET!B301="","",PRINT_SHEET!B301)</f>
        <v/>
      </c>
      <c r="C301" s="56">
        <f>IF(PRINT_SHEET!C301="","",PRINT_SHEET!C301)</f>
        <v/>
      </c>
      <c r="D301" s="56">
        <f>IF(PRINT_SHEET!D301="","",PRINT_SHEET!D301)</f>
        <v/>
      </c>
      <c r="E301" s="53">
        <f>IF(PRINT_SHEET!E301="","",PRINT_SHEET!E301)</f>
        <v/>
      </c>
      <c r="F301" s="52">
        <f>IF(PRINT_SHEET!F301="","",PRINT_SHEET!F301)</f>
        <v/>
      </c>
      <c r="G301" s="54">
        <f>IF(PRINT_SHEET!G301="","",PRINT_SHEET!G301)</f>
        <v/>
      </c>
      <c r="H301" s="54">
        <f>IF(PRINT_SHEET!H301="","",PRINT_SHEET!H301)</f>
        <v/>
      </c>
      <c r="I301" s="54">
        <f>IF(PRINT_SHEET!I301="","",PRINT_SHEET!I301)</f>
        <v/>
      </c>
      <c r="J301" s="53">
        <f>IFERROR(INDEX({"ادا شدہ","جزوی","بقایا"},MATCH(PRINT_SHEET!J301,{"PAID","PARTIAL","PENDING"},0)),PRINT_SHEET!J301)</f>
        <v/>
      </c>
      <c r="K301" s="55">
        <f>IF(PRINT_SHEET!K301="","",PRINT_SHEET!K301)</f>
        <v/>
      </c>
      <c r="L301" s="53">
        <f>IF(PRINT_SHEET!L301="","",PRINT_SHEET!L301)</f>
        <v/>
      </c>
    </row>
    <row r="302" ht="20" customHeight="1">
      <c r="A302" s="52">
        <f>IF(PRINT_SHEET!A302="","",PRINT_SHEET!A302)</f>
        <v/>
      </c>
      <c r="B302" s="53">
        <f>IF(PRINT_SHEET!B302="","",PRINT_SHEET!B302)</f>
        <v/>
      </c>
      <c r="C302" s="56">
        <f>IF(PRINT_SHEET!C302="","",PRINT_SHEET!C302)</f>
        <v/>
      </c>
      <c r="D302" s="56">
        <f>IF(PRINT_SHEET!D302="","",PRINT_SHEET!D302)</f>
        <v/>
      </c>
      <c r="E302" s="53">
        <f>IF(PRINT_SHEET!E302="","",PRINT_SHEET!E302)</f>
        <v/>
      </c>
      <c r="F302" s="52">
        <f>IF(PRINT_SHEET!F302="","",PRINT_SHEET!F302)</f>
        <v/>
      </c>
      <c r="G302" s="54">
        <f>IF(PRINT_SHEET!G302="","",PRINT_SHEET!G302)</f>
        <v/>
      </c>
      <c r="H302" s="54">
        <f>IF(PRINT_SHEET!H302="","",PRINT_SHEET!H302)</f>
        <v/>
      </c>
      <c r="I302" s="54">
        <f>IF(PRINT_SHEET!I302="","",PRINT_SHEET!I302)</f>
        <v/>
      </c>
      <c r="J302" s="53">
        <f>IFERROR(INDEX({"ادا شدہ","جزوی","بقایا"},MATCH(PRINT_SHEET!J302,{"PAID","PARTIAL","PENDING"},0)),PRINT_SHEET!J302)</f>
        <v/>
      </c>
      <c r="K302" s="55">
        <f>IF(PRINT_SHEET!K302="","",PRINT_SHEET!K302)</f>
        <v/>
      </c>
      <c r="L302" s="53">
        <f>IF(PRINT_SHEET!L302="","",PRINT_SHEET!L302)</f>
        <v/>
      </c>
    </row>
    <row r="303" ht="20" customHeight="1">
      <c r="A303" s="52">
        <f>IF(PRINT_SHEET!A303="","",PRINT_SHEET!A303)</f>
        <v/>
      </c>
      <c r="B303" s="53">
        <f>IF(PRINT_SHEET!B303="","",PRINT_SHEET!B303)</f>
        <v/>
      </c>
      <c r="C303" s="56">
        <f>IF(PRINT_SHEET!C303="","",PRINT_SHEET!C303)</f>
        <v/>
      </c>
      <c r="D303" s="56">
        <f>IF(PRINT_SHEET!D303="","",PRINT_SHEET!D303)</f>
        <v/>
      </c>
      <c r="E303" s="53">
        <f>IF(PRINT_SHEET!E303="","",PRINT_SHEET!E303)</f>
        <v/>
      </c>
      <c r="F303" s="52">
        <f>IF(PRINT_SHEET!F303="","",PRINT_SHEET!F303)</f>
        <v/>
      </c>
      <c r="G303" s="54">
        <f>IF(PRINT_SHEET!G303="","",PRINT_SHEET!G303)</f>
        <v/>
      </c>
      <c r="H303" s="54">
        <f>IF(PRINT_SHEET!H303="","",PRINT_SHEET!H303)</f>
        <v/>
      </c>
      <c r="I303" s="54">
        <f>IF(PRINT_SHEET!I303="","",PRINT_SHEET!I303)</f>
        <v/>
      </c>
      <c r="J303" s="53">
        <f>IFERROR(INDEX({"ادا شدہ","جزوی","بقایا"},MATCH(PRINT_SHEET!J303,{"PAID","PARTIAL","PENDING"},0)),PRINT_SHEET!J303)</f>
        <v/>
      </c>
      <c r="K303" s="55">
        <f>IF(PRINT_SHEET!K303="","",PRINT_SHEET!K303)</f>
        <v/>
      </c>
      <c r="L303" s="53">
        <f>IF(PRINT_SHEET!L303="","",PRINT_SHEET!L303)</f>
        <v/>
      </c>
    </row>
    <row r="304" ht="20" customHeight="1">
      <c r="A304" s="52">
        <f>IF(PRINT_SHEET!A304="","",PRINT_SHEET!A304)</f>
        <v/>
      </c>
      <c r="B304" s="53">
        <f>IF(PRINT_SHEET!B304="","",PRINT_SHEET!B304)</f>
        <v/>
      </c>
      <c r="C304" s="56">
        <f>IF(PRINT_SHEET!C304="","",PRINT_SHEET!C304)</f>
        <v/>
      </c>
      <c r="D304" s="56">
        <f>IF(PRINT_SHEET!D304="","",PRINT_SHEET!D304)</f>
        <v/>
      </c>
      <c r="E304" s="53">
        <f>IF(PRINT_SHEET!E304="","",PRINT_SHEET!E304)</f>
        <v/>
      </c>
      <c r="F304" s="52">
        <f>IF(PRINT_SHEET!F304="","",PRINT_SHEET!F304)</f>
        <v/>
      </c>
      <c r="G304" s="54">
        <f>IF(PRINT_SHEET!G304="","",PRINT_SHEET!G304)</f>
        <v/>
      </c>
      <c r="H304" s="54">
        <f>IF(PRINT_SHEET!H304="","",PRINT_SHEET!H304)</f>
        <v/>
      </c>
      <c r="I304" s="54">
        <f>IF(PRINT_SHEET!I304="","",PRINT_SHEET!I304)</f>
        <v/>
      </c>
      <c r="J304" s="53">
        <f>IFERROR(INDEX({"ادا شدہ","جزوی","بقایا"},MATCH(PRINT_SHEET!J304,{"PAID","PARTIAL","PENDING"},0)),PRINT_SHEET!J304)</f>
        <v/>
      </c>
      <c r="K304" s="55">
        <f>IF(PRINT_SHEET!K304="","",PRINT_SHEET!K304)</f>
        <v/>
      </c>
      <c r="L304" s="53">
        <f>IF(PRINT_SHEET!L304="","",PRINT_SHEET!L304)</f>
        <v/>
      </c>
    </row>
    <row r="305" ht="20" customHeight="1">
      <c r="A305" s="52">
        <f>IF(PRINT_SHEET!A305="","",PRINT_SHEET!A305)</f>
        <v/>
      </c>
      <c r="B305" s="53">
        <f>IF(PRINT_SHEET!B305="","",PRINT_SHEET!B305)</f>
        <v/>
      </c>
      <c r="C305" s="56">
        <f>IF(PRINT_SHEET!C305="","",PRINT_SHEET!C305)</f>
        <v/>
      </c>
      <c r="D305" s="56">
        <f>IF(PRINT_SHEET!D305="","",PRINT_SHEET!D305)</f>
        <v/>
      </c>
      <c r="E305" s="53">
        <f>IF(PRINT_SHEET!E305="","",PRINT_SHEET!E305)</f>
        <v/>
      </c>
      <c r="F305" s="52">
        <f>IF(PRINT_SHEET!F305="","",PRINT_SHEET!F305)</f>
        <v/>
      </c>
      <c r="G305" s="54">
        <f>IF(PRINT_SHEET!G305="","",PRINT_SHEET!G305)</f>
        <v/>
      </c>
      <c r="H305" s="54">
        <f>IF(PRINT_SHEET!H305="","",PRINT_SHEET!H305)</f>
        <v/>
      </c>
      <c r="I305" s="54">
        <f>IF(PRINT_SHEET!I305="","",PRINT_SHEET!I305)</f>
        <v/>
      </c>
      <c r="J305" s="53">
        <f>IFERROR(INDEX({"ادا شدہ","جزوی","بقایا"},MATCH(PRINT_SHEET!J305,{"PAID","PARTIAL","PENDING"},0)),PRINT_SHEET!J305)</f>
        <v/>
      </c>
      <c r="K305" s="55">
        <f>IF(PRINT_SHEET!K305="","",PRINT_SHEET!K305)</f>
        <v/>
      </c>
      <c r="L305" s="53">
        <f>IF(PRINT_SHEET!L305="","",PRINT_SHEET!L305)</f>
        <v/>
      </c>
    </row>
    <row r="306" ht="20" customHeight="1">
      <c r="A306" s="52">
        <f>IF(PRINT_SHEET!A306="","",PRINT_SHEET!A306)</f>
        <v/>
      </c>
      <c r="B306" s="53">
        <f>IF(PRINT_SHEET!B306="","",PRINT_SHEET!B306)</f>
        <v/>
      </c>
      <c r="C306" s="56">
        <f>IF(PRINT_SHEET!C306="","",PRINT_SHEET!C306)</f>
        <v/>
      </c>
      <c r="D306" s="56">
        <f>IF(PRINT_SHEET!D306="","",PRINT_SHEET!D306)</f>
        <v/>
      </c>
      <c r="E306" s="53">
        <f>IF(PRINT_SHEET!E306="","",PRINT_SHEET!E306)</f>
        <v/>
      </c>
      <c r="F306" s="52">
        <f>IF(PRINT_SHEET!F306="","",PRINT_SHEET!F306)</f>
        <v/>
      </c>
      <c r="G306" s="54">
        <f>IF(PRINT_SHEET!G306="","",PRINT_SHEET!G306)</f>
        <v/>
      </c>
      <c r="H306" s="54">
        <f>IF(PRINT_SHEET!H306="","",PRINT_SHEET!H306)</f>
        <v/>
      </c>
      <c r="I306" s="54">
        <f>IF(PRINT_SHEET!I306="","",PRINT_SHEET!I306)</f>
        <v/>
      </c>
      <c r="J306" s="53">
        <f>IFERROR(INDEX({"ادا شدہ","جزوی","بقایا"},MATCH(PRINT_SHEET!J306,{"PAID","PARTIAL","PENDING"},0)),PRINT_SHEET!J306)</f>
        <v/>
      </c>
      <c r="K306" s="55">
        <f>IF(PRINT_SHEET!K306="","",PRINT_SHEET!K306)</f>
        <v/>
      </c>
      <c r="L306" s="53">
        <f>IF(PRINT_SHEET!L306="","",PRINT_SHEET!L306)</f>
        <v/>
      </c>
    </row>
    <row r="307" ht="20" customHeight="1">
      <c r="A307" s="52">
        <f>IF(PRINT_SHEET!A307="","",PRINT_SHEET!A307)</f>
        <v/>
      </c>
      <c r="B307" s="53">
        <f>IF(PRINT_SHEET!B307="","",PRINT_SHEET!B307)</f>
        <v/>
      </c>
      <c r="C307" s="56">
        <f>IF(PRINT_SHEET!C307="","",PRINT_SHEET!C307)</f>
        <v/>
      </c>
      <c r="D307" s="56">
        <f>IF(PRINT_SHEET!D307="","",PRINT_SHEET!D307)</f>
        <v/>
      </c>
      <c r="E307" s="53">
        <f>IF(PRINT_SHEET!E307="","",PRINT_SHEET!E307)</f>
        <v/>
      </c>
      <c r="F307" s="52">
        <f>IF(PRINT_SHEET!F307="","",PRINT_SHEET!F307)</f>
        <v/>
      </c>
      <c r="G307" s="54">
        <f>IF(PRINT_SHEET!G307="","",PRINT_SHEET!G307)</f>
        <v/>
      </c>
      <c r="H307" s="54">
        <f>IF(PRINT_SHEET!H307="","",PRINT_SHEET!H307)</f>
        <v/>
      </c>
      <c r="I307" s="54">
        <f>IF(PRINT_SHEET!I307="","",PRINT_SHEET!I307)</f>
        <v/>
      </c>
      <c r="J307" s="53">
        <f>IFERROR(INDEX({"ادا شدہ","جزوی","بقایا"},MATCH(PRINT_SHEET!J307,{"PAID","PARTIAL","PENDING"},0)),PRINT_SHEET!J307)</f>
        <v/>
      </c>
      <c r="K307" s="55">
        <f>IF(PRINT_SHEET!K307="","",PRINT_SHEET!K307)</f>
        <v/>
      </c>
      <c r="L307" s="53">
        <f>IF(PRINT_SHEET!L307="","",PRINT_SHEET!L307)</f>
        <v/>
      </c>
    </row>
    <row r="308" ht="20" customHeight="1">
      <c r="A308" s="52">
        <f>IF(PRINT_SHEET!A308="","",PRINT_SHEET!A308)</f>
        <v/>
      </c>
      <c r="B308" s="53">
        <f>IF(PRINT_SHEET!B308="","",PRINT_SHEET!B308)</f>
        <v/>
      </c>
      <c r="C308" s="56">
        <f>IF(PRINT_SHEET!C308="","",PRINT_SHEET!C308)</f>
        <v/>
      </c>
      <c r="D308" s="56">
        <f>IF(PRINT_SHEET!D308="","",PRINT_SHEET!D308)</f>
        <v/>
      </c>
      <c r="E308" s="53">
        <f>IF(PRINT_SHEET!E308="","",PRINT_SHEET!E308)</f>
        <v/>
      </c>
      <c r="F308" s="52">
        <f>IF(PRINT_SHEET!F308="","",PRINT_SHEET!F308)</f>
        <v/>
      </c>
      <c r="G308" s="54">
        <f>IF(PRINT_SHEET!G308="","",PRINT_SHEET!G308)</f>
        <v/>
      </c>
      <c r="H308" s="54">
        <f>IF(PRINT_SHEET!H308="","",PRINT_SHEET!H308)</f>
        <v/>
      </c>
      <c r="I308" s="54">
        <f>IF(PRINT_SHEET!I308="","",PRINT_SHEET!I308)</f>
        <v/>
      </c>
      <c r="J308" s="53">
        <f>IFERROR(INDEX({"ادا شدہ","جزوی","بقایا"},MATCH(PRINT_SHEET!J308,{"PAID","PARTIAL","PENDING"},0)),PRINT_SHEET!J308)</f>
        <v/>
      </c>
      <c r="K308" s="55">
        <f>IF(PRINT_SHEET!K308="","",PRINT_SHEET!K308)</f>
        <v/>
      </c>
      <c r="L308" s="53">
        <f>IF(PRINT_SHEET!L308="","",PRINT_SHEET!L308)</f>
        <v/>
      </c>
    </row>
    <row r="309" ht="20" customHeight="1">
      <c r="A309" s="52">
        <f>IF(PRINT_SHEET!A309="","",PRINT_SHEET!A309)</f>
        <v/>
      </c>
      <c r="B309" s="53">
        <f>IF(PRINT_SHEET!B309="","",PRINT_SHEET!B309)</f>
        <v/>
      </c>
      <c r="C309" s="56">
        <f>IF(PRINT_SHEET!C309="","",PRINT_SHEET!C309)</f>
        <v/>
      </c>
      <c r="D309" s="56">
        <f>IF(PRINT_SHEET!D309="","",PRINT_SHEET!D309)</f>
        <v/>
      </c>
      <c r="E309" s="53">
        <f>IF(PRINT_SHEET!E309="","",PRINT_SHEET!E309)</f>
        <v/>
      </c>
      <c r="F309" s="52">
        <f>IF(PRINT_SHEET!F309="","",PRINT_SHEET!F309)</f>
        <v/>
      </c>
      <c r="G309" s="54">
        <f>IF(PRINT_SHEET!G309="","",PRINT_SHEET!G309)</f>
        <v/>
      </c>
      <c r="H309" s="54">
        <f>IF(PRINT_SHEET!H309="","",PRINT_SHEET!H309)</f>
        <v/>
      </c>
      <c r="I309" s="54">
        <f>IF(PRINT_SHEET!I309="","",PRINT_SHEET!I309)</f>
        <v/>
      </c>
      <c r="J309" s="53">
        <f>IFERROR(INDEX({"ادا شدہ","جزوی","بقایا"},MATCH(PRINT_SHEET!J309,{"PAID","PARTIAL","PENDING"},0)),PRINT_SHEET!J309)</f>
        <v/>
      </c>
      <c r="K309" s="55">
        <f>IF(PRINT_SHEET!K309="","",PRINT_SHEET!K309)</f>
        <v/>
      </c>
      <c r="L309" s="53">
        <f>IF(PRINT_SHEET!L309="","",PRINT_SHEET!L309)</f>
        <v/>
      </c>
    </row>
    <row r="310" ht="20" customHeight="1">
      <c r="A310" s="52">
        <f>IF(PRINT_SHEET!A310="","",PRINT_SHEET!A310)</f>
        <v/>
      </c>
      <c r="B310" s="53">
        <f>IF(PRINT_SHEET!B310="","",PRINT_SHEET!B310)</f>
        <v/>
      </c>
      <c r="C310" s="56">
        <f>IF(PRINT_SHEET!C310="","",PRINT_SHEET!C310)</f>
        <v/>
      </c>
      <c r="D310" s="56">
        <f>IF(PRINT_SHEET!D310="","",PRINT_SHEET!D310)</f>
        <v/>
      </c>
      <c r="E310" s="53">
        <f>IF(PRINT_SHEET!E310="","",PRINT_SHEET!E310)</f>
        <v/>
      </c>
      <c r="F310" s="52">
        <f>IF(PRINT_SHEET!F310="","",PRINT_SHEET!F310)</f>
        <v/>
      </c>
      <c r="G310" s="54">
        <f>IF(PRINT_SHEET!G310="","",PRINT_SHEET!G310)</f>
        <v/>
      </c>
      <c r="H310" s="54">
        <f>IF(PRINT_SHEET!H310="","",PRINT_SHEET!H310)</f>
        <v/>
      </c>
      <c r="I310" s="54">
        <f>IF(PRINT_SHEET!I310="","",PRINT_SHEET!I310)</f>
        <v/>
      </c>
      <c r="J310" s="53">
        <f>IFERROR(INDEX({"ادا شدہ","جزوی","بقایا"},MATCH(PRINT_SHEET!J310,{"PAID","PARTIAL","PENDING"},0)),PRINT_SHEET!J310)</f>
        <v/>
      </c>
      <c r="K310" s="55">
        <f>IF(PRINT_SHEET!K310="","",PRINT_SHEET!K310)</f>
        <v/>
      </c>
      <c r="L310" s="53">
        <f>IF(PRINT_SHEET!L310="","",PRINT_SHEET!L310)</f>
        <v/>
      </c>
    </row>
    <row r="311" ht="20" customHeight="1">
      <c r="A311" s="52">
        <f>IF(PRINT_SHEET!A311="","",PRINT_SHEET!A311)</f>
        <v/>
      </c>
      <c r="B311" s="53">
        <f>IF(PRINT_SHEET!B311="","",PRINT_SHEET!B311)</f>
        <v/>
      </c>
      <c r="C311" s="56">
        <f>IF(PRINT_SHEET!C311="","",PRINT_SHEET!C311)</f>
        <v/>
      </c>
      <c r="D311" s="56">
        <f>IF(PRINT_SHEET!D311="","",PRINT_SHEET!D311)</f>
        <v/>
      </c>
      <c r="E311" s="53">
        <f>IF(PRINT_SHEET!E311="","",PRINT_SHEET!E311)</f>
        <v/>
      </c>
      <c r="F311" s="52">
        <f>IF(PRINT_SHEET!F311="","",PRINT_SHEET!F311)</f>
        <v/>
      </c>
      <c r="G311" s="54">
        <f>IF(PRINT_SHEET!G311="","",PRINT_SHEET!G311)</f>
        <v/>
      </c>
      <c r="H311" s="54">
        <f>IF(PRINT_SHEET!H311="","",PRINT_SHEET!H311)</f>
        <v/>
      </c>
      <c r="I311" s="54">
        <f>IF(PRINT_SHEET!I311="","",PRINT_SHEET!I311)</f>
        <v/>
      </c>
      <c r="J311" s="53">
        <f>IFERROR(INDEX({"ادا شدہ","جزوی","بقایا"},MATCH(PRINT_SHEET!J311,{"PAID","PARTIAL","PENDING"},0)),PRINT_SHEET!J311)</f>
        <v/>
      </c>
      <c r="K311" s="55">
        <f>IF(PRINT_SHEET!K311="","",PRINT_SHEET!K311)</f>
        <v/>
      </c>
      <c r="L311" s="53">
        <f>IF(PRINT_SHEET!L311="","",PRINT_SHEET!L311)</f>
        <v/>
      </c>
    </row>
    <row r="312" ht="20" customHeight="1">
      <c r="A312" s="52">
        <f>IF(PRINT_SHEET!A312="","",PRINT_SHEET!A312)</f>
        <v/>
      </c>
      <c r="B312" s="53">
        <f>IF(PRINT_SHEET!B312="","",PRINT_SHEET!B312)</f>
        <v/>
      </c>
      <c r="C312" s="56">
        <f>IF(PRINT_SHEET!C312="","",PRINT_SHEET!C312)</f>
        <v/>
      </c>
      <c r="D312" s="56">
        <f>IF(PRINT_SHEET!D312="","",PRINT_SHEET!D312)</f>
        <v/>
      </c>
      <c r="E312" s="53">
        <f>IF(PRINT_SHEET!E312="","",PRINT_SHEET!E312)</f>
        <v/>
      </c>
      <c r="F312" s="52">
        <f>IF(PRINT_SHEET!F312="","",PRINT_SHEET!F312)</f>
        <v/>
      </c>
      <c r="G312" s="54">
        <f>IF(PRINT_SHEET!G312="","",PRINT_SHEET!G312)</f>
        <v/>
      </c>
      <c r="H312" s="54">
        <f>IF(PRINT_SHEET!H312="","",PRINT_SHEET!H312)</f>
        <v/>
      </c>
      <c r="I312" s="54">
        <f>IF(PRINT_SHEET!I312="","",PRINT_SHEET!I312)</f>
        <v/>
      </c>
      <c r="J312" s="53">
        <f>IFERROR(INDEX({"ادا شدہ","جزوی","بقایا"},MATCH(PRINT_SHEET!J312,{"PAID","PARTIAL","PENDING"},0)),PRINT_SHEET!J312)</f>
        <v/>
      </c>
      <c r="K312" s="55">
        <f>IF(PRINT_SHEET!K312="","",PRINT_SHEET!K312)</f>
        <v/>
      </c>
      <c r="L312" s="53">
        <f>IF(PRINT_SHEET!L312="","",PRINT_SHEET!L312)</f>
        <v/>
      </c>
    </row>
    <row r="313" ht="20" customHeight="1">
      <c r="A313" s="52">
        <f>IF(PRINT_SHEET!A313="","",PRINT_SHEET!A313)</f>
        <v/>
      </c>
      <c r="B313" s="53">
        <f>IF(PRINT_SHEET!B313="","",PRINT_SHEET!B313)</f>
        <v/>
      </c>
      <c r="C313" s="56">
        <f>IF(PRINT_SHEET!C313="","",PRINT_SHEET!C313)</f>
        <v/>
      </c>
      <c r="D313" s="56">
        <f>IF(PRINT_SHEET!D313="","",PRINT_SHEET!D313)</f>
        <v/>
      </c>
      <c r="E313" s="53">
        <f>IF(PRINT_SHEET!E313="","",PRINT_SHEET!E313)</f>
        <v/>
      </c>
      <c r="F313" s="52">
        <f>IF(PRINT_SHEET!F313="","",PRINT_SHEET!F313)</f>
        <v/>
      </c>
      <c r="G313" s="54">
        <f>IF(PRINT_SHEET!G313="","",PRINT_SHEET!G313)</f>
        <v/>
      </c>
      <c r="H313" s="54">
        <f>IF(PRINT_SHEET!H313="","",PRINT_SHEET!H313)</f>
        <v/>
      </c>
      <c r="I313" s="54">
        <f>IF(PRINT_SHEET!I313="","",PRINT_SHEET!I313)</f>
        <v/>
      </c>
      <c r="J313" s="53">
        <f>IFERROR(INDEX({"ادا شدہ","جزوی","بقایا"},MATCH(PRINT_SHEET!J313,{"PAID","PARTIAL","PENDING"},0)),PRINT_SHEET!J313)</f>
        <v/>
      </c>
      <c r="K313" s="55">
        <f>IF(PRINT_SHEET!K313="","",PRINT_SHEET!K313)</f>
        <v/>
      </c>
      <c r="L313" s="53">
        <f>IF(PRINT_SHEET!L313="","",PRINT_SHEET!L313)</f>
        <v/>
      </c>
    </row>
    <row r="314" ht="20" customHeight="1">
      <c r="A314" s="52">
        <f>IF(PRINT_SHEET!A314="","",PRINT_SHEET!A314)</f>
        <v/>
      </c>
      <c r="B314" s="53">
        <f>IF(PRINT_SHEET!B314="","",PRINT_SHEET!B314)</f>
        <v/>
      </c>
      <c r="C314" s="56">
        <f>IF(PRINT_SHEET!C314="","",PRINT_SHEET!C314)</f>
        <v/>
      </c>
      <c r="D314" s="56">
        <f>IF(PRINT_SHEET!D314="","",PRINT_SHEET!D314)</f>
        <v/>
      </c>
      <c r="E314" s="53">
        <f>IF(PRINT_SHEET!E314="","",PRINT_SHEET!E314)</f>
        <v/>
      </c>
      <c r="F314" s="52">
        <f>IF(PRINT_SHEET!F314="","",PRINT_SHEET!F314)</f>
        <v/>
      </c>
      <c r="G314" s="54">
        <f>IF(PRINT_SHEET!G314="","",PRINT_SHEET!G314)</f>
        <v/>
      </c>
      <c r="H314" s="54">
        <f>IF(PRINT_SHEET!H314="","",PRINT_SHEET!H314)</f>
        <v/>
      </c>
      <c r="I314" s="54">
        <f>IF(PRINT_SHEET!I314="","",PRINT_SHEET!I314)</f>
        <v/>
      </c>
      <c r="J314" s="53">
        <f>IFERROR(INDEX({"ادا شدہ","جزوی","بقایا"},MATCH(PRINT_SHEET!J314,{"PAID","PARTIAL","PENDING"},0)),PRINT_SHEET!J314)</f>
        <v/>
      </c>
      <c r="K314" s="55">
        <f>IF(PRINT_SHEET!K314="","",PRINT_SHEET!K314)</f>
        <v/>
      </c>
      <c r="L314" s="53">
        <f>IF(PRINT_SHEET!L314="","",PRINT_SHEET!L314)</f>
        <v/>
      </c>
    </row>
    <row r="315" ht="20" customHeight="1">
      <c r="A315" s="52">
        <f>IF(PRINT_SHEET!A315="","",PRINT_SHEET!A315)</f>
        <v/>
      </c>
      <c r="B315" s="53">
        <f>IF(PRINT_SHEET!B315="","",PRINT_SHEET!B315)</f>
        <v/>
      </c>
      <c r="C315" s="56">
        <f>IF(PRINT_SHEET!C315="","",PRINT_SHEET!C315)</f>
        <v/>
      </c>
      <c r="D315" s="56">
        <f>IF(PRINT_SHEET!D315="","",PRINT_SHEET!D315)</f>
        <v/>
      </c>
      <c r="E315" s="53">
        <f>IF(PRINT_SHEET!E315="","",PRINT_SHEET!E315)</f>
        <v/>
      </c>
      <c r="F315" s="52">
        <f>IF(PRINT_SHEET!F315="","",PRINT_SHEET!F315)</f>
        <v/>
      </c>
      <c r="G315" s="54">
        <f>IF(PRINT_SHEET!G315="","",PRINT_SHEET!G315)</f>
        <v/>
      </c>
      <c r="H315" s="54">
        <f>IF(PRINT_SHEET!H315="","",PRINT_SHEET!H315)</f>
        <v/>
      </c>
      <c r="I315" s="54">
        <f>IF(PRINT_SHEET!I315="","",PRINT_SHEET!I315)</f>
        <v/>
      </c>
      <c r="J315" s="53">
        <f>IFERROR(INDEX({"ادا شدہ","جزوی","بقایا"},MATCH(PRINT_SHEET!J315,{"PAID","PARTIAL","PENDING"},0)),PRINT_SHEET!J315)</f>
        <v/>
      </c>
      <c r="K315" s="55">
        <f>IF(PRINT_SHEET!K315="","",PRINT_SHEET!K315)</f>
        <v/>
      </c>
      <c r="L315" s="53">
        <f>IF(PRINT_SHEET!L315="","",PRINT_SHEET!L315)</f>
        <v/>
      </c>
    </row>
    <row r="316" ht="20" customHeight="1">
      <c r="A316" s="52">
        <f>IF(PRINT_SHEET!A316="","",PRINT_SHEET!A316)</f>
        <v/>
      </c>
      <c r="B316" s="53">
        <f>IF(PRINT_SHEET!B316="","",PRINT_SHEET!B316)</f>
        <v/>
      </c>
      <c r="C316" s="56">
        <f>IF(PRINT_SHEET!C316="","",PRINT_SHEET!C316)</f>
        <v/>
      </c>
      <c r="D316" s="56">
        <f>IF(PRINT_SHEET!D316="","",PRINT_SHEET!D316)</f>
        <v/>
      </c>
      <c r="E316" s="53">
        <f>IF(PRINT_SHEET!E316="","",PRINT_SHEET!E316)</f>
        <v/>
      </c>
      <c r="F316" s="52">
        <f>IF(PRINT_SHEET!F316="","",PRINT_SHEET!F316)</f>
        <v/>
      </c>
      <c r="G316" s="54">
        <f>IF(PRINT_SHEET!G316="","",PRINT_SHEET!G316)</f>
        <v/>
      </c>
      <c r="H316" s="54">
        <f>IF(PRINT_SHEET!H316="","",PRINT_SHEET!H316)</f>
        <v/>
      </c>
      <c r="I316" s="54">
        <f>IF(PRINT_SHEET!I316="","",PRINT_SHEET!I316)</f>
        <v/>
      </c>
      <c r="J316" s="53">
        <f>IFERROR(INDEX({"ادا شدہ","جزوی","بقایا"},MATCH(PRINT_SHEET!J316,{"PAID","PARTIAL","PENDING"},0)),PRINT_SHEET!J316)</f>
        <v/>
      </c>
      <c r="K316" s="55">
        <f>IF(PRINT_SHEET!K316="","",PRINT_SHEET!K316)</f>
        <v/>
      </c>
      <c r="L316" s="53">
        <f>IF(PRINT_SHEET!L316="","",PRINT_SHEET!L316)</f>
        <v/>
      </c>
    </row>
    <row r="317" ht="20" customHeight="1">
      <c r="A317" s="52">
        <f>IF(PRINT_SHEET!A317="","",PRINT_SHEET!A317)</f>
        <v/>
      </c>
      <c r="B317" s="53">
        <f>IF(PRINT_SHEET!B317="","",PRINT_SHEET!B317)</f>
        <v/>
      </c>
      <c r="C317" s="56">
        <f>IF(PRINT_SHEET!C317="","",PRINT_SHEET!C317)</f>
        <v/>
      </c>
      <c r="D317" s="56">
        <f>IF(PRINT_SHEET!D317="","",PRINT_SHEET!D317)</f>
        <v/>
      </c>
      <c r="E317" s="53">
        <f>IF(PRINT_SHEET!E317="","",PRINT_SHEET!E317)</f>
        <v/>
      </c>
      <c r="F317" s="52">
        <f>IF(PRINT_SHEET!F317="","",PRINT_SHEET!F317)</f>
        <v/>
      </c>
      <c r="G317" s="54">
        <f>IF(PRINT_SHEET!G317="","",PRINT_SHEET!G317)</f>
        <v/>
      </c>
      <c r="H317" s="54">
        <f>IF(PRINT_SHEET!H317="","",PRINT_SHEET!H317)</f>
        <v/>
      </c>
      <c r="I317" s="54">
        <f>IF(PRINT_SHEET!I317="","",PRINT_SHEET!I317)</f>
        <v/>
      </c>
      <c r="J317" s="53">
        <f>IFERROR(INDEX({"ادا شدہ","جزوی","بقایا"},MATCH(PRINT_SHEET!J317,{"PAID","PARTIAL","PENDING"},0)),PRINT_SHEET!J317)</f>
        <v/>
      </c>
      <c r="K317" s="55">
        <f>IF(PRINT_SHEET!K317="","",PRINT_SHEET!K317)</f>
        <v/>
      </c>
      <c r="L317" s="53">
        <f>IF(PRINT_SHEET!L317="","",PRINT_SHEET!L317)</f>
        <v/>
      </c>
    </row>
    <row r="318" ht="20" customHeight="1">
      <c r="A318" s="52">
        <f>IF(PRINT_SHEET!A318="","",PRINT_SHEET!A318)</f>
        <v/>
      </c>
      <c r="B318" s="53">
        <f>IF(PRINT_SHEET!B318="","",PRINT_SHEET!B318)</f>
        <v/>
      </c>
      <c r="C318" s="56">
        <f>IF(PRINT_SHEET!C318="","",PRINT_SHEET!C318)</f>
        <v/>
      </c>
      <c r="D318" s="56">
        <f>IF(PRINT_SHEET!D318="","",PRINT_SHEET!D318)</f>
        <v/>
      </c>
      <c r="E318" s="53">
        <f>IF(PRINT_SHEET!E318="","",PRINT_SHEET!E318)</f>
        <v/>
      </c>
      <c r="F318" s="52">
        <f>IF(PRINT_SHEET!F318="","",PRINT_SHEET!F318)</f>
        <v/>
      </c>
      <c r="G318" s="54">
        <f>IF(PRINT_SHEET!G318="","",PRINT_SHEET!G318)</f>
        <v/>
      </c>
      <c r="H318" s="54">
        <f>IF(PRINT_SHEET!H318="","",PRINT_SHEET!H318)</f>
        <v/>
      </c>
      <c r="I318" s="54">
        <f>IF(PRINT_SHEET!I318="","",PRINT_SHEET!I318)</f>
        <v/>
      </c>
      <c r="J318" s="53">
        <f>IFERROR(INDEX({"ادا شدہ","جزوی","بقایا"},MATCH(PRINT_SHEET!J318,{"PAID","PARTIAL","PENDING"},0)),PRINT_SHEET!J318)</f>
        <v/>
      </c>
      <c r="K318" s="55">
        <f>IF(PRINT_SHEET!K318="","",PRINT_SHEET!K318)</f>
        <v/>
      </c>
      <c r="L318" s="53">
        <f>IF(PRINT_SHEET!L318="","",PRINT_SHEET!L318)</f>
        <v/>
      </c>
    </row>
    <row r="319" ht="20" customHeight="1">
      <c r="A319" s="52">
        <f>IF(PRINT_SHEET!A319="","",PRINT_SHEET!A319)</f>
        <v/>
      </c>
      <c r="B319" s="53">
        <f>IF(PRINT_SHEET!B319="","",PRINT_SHEET!B319)</f>
        <v/>
      </c>
      <c r="C319" s="56">
        <f>IF(PRINT_SHEET!C319="","",PRINT_SHEET!C319)</f>
        <v/>
      </c>
      <c r="D319" s="56">
        <f>IF(PRINT_SHEET!D319="","",PRINT_SHEET!D319)</f>
        <v/>
      </c>
      <c r="E319" s="53">
        <f>IF(PRINT_SHEET!E319="","",PRINT_SHEET!E319)</f>
        <v/>
      </c>
      <c r="F319" s="52">
        <f>IF(PRINT_SHEET!F319="","",PRINT_SHEET!F319)</f>
        <v/>
      </c>
      <c r="G319" s="54">
        <f>IF(PRINT_SHEET!G319="","",PRINT_SHEET!G319)</f>
        <v/>
      </c>
      <c r="H319" s="54">
        <f>IF(PRINT_SHEET!H319="","",PRINT_SHEET!H319)</f>
        <v/>
      </c>
      <c r="I319" s="54">
        <f>IF(PRINT_SHEET!I319="","",PRINT_SHEET!I319)</f>
        <v/>
      </c>
      <c r="J319" s="53">
        <f>IFERROR(INDEX({"ادا شدہ","جزوی","بقایا"},MATCH(PRINT_SHEET!J319,{"PAID","PARTIAL","PENDING"},0)),PRINT_SHEET!J319)</f>
        <v/>
      </c>
      <c r="K319" s="55">
        <f>IF(PRINT_SHEET!K319="","",PRINT_SHEET!K319)</f>
        <v/>
      </c>
      <c r="L319" s="53">
        <f>IF(PRINT_SHEET!L319="","",PRINT_SHEET!L319)</f>
        <v/>
      </c>
    </row>
    <row r="320" ht="20" customHeight="1">
      <c r="A320" s="52">
        <f>IF(PRINT_SHEET!A320="","",PRINT_SHEET!A320)</f>
        <v/>
      </c>
      <c r="B320" s="53">
        <f>IF(PRINT_SHEET!B320="","",PRINT_SHEET!B320)</f>
        <v/>
      </c>
      <c r="C320" s="56">
        <f>IF(PRINT_SHEET!C320="","",PRINT_SHEET!C320)</f>
        <v/>
      </c>
      <c r="D320" s="56">
        <f>IF(PRINT_SHEET!D320="","",PRINT_SHEET!D320)</f>
        <v/>
      </c>
      <c r="E320" s="53">
        <f>IF(PRINT_SHEET!E320="","",PRINT_SHEET!E320)</f>
        <v/>
      </c>
      <c r="F320" s="52">
        <f>IF(PRINT_SHEET!F320="","",PRINT_SHEET!F320)</f>
        <v/>
      </c>
      <c r="G320" s="54">
        <f>IF(PRINT_SHEET!G320="","",PRINT_SHEET!G320)</f>
        <v/>
      </c>
      <c r="H320" s="54">
        <f>IF(PRINT_SHEET!H320="","",PRINT_SHEET!H320)</f>
        <v/>
      </c>
      <c r="I320" s="54">
        <f>IF(PRINT_SHEET!I320="","",PRINT_SHEET!I320)</f>
        <v/>
      </c>
      <c r="J320" s="53">
        <f>IFERROR(INDEX({"ادا شدہ","جزوی","بقایا"},MATCH(PRINT_SHEET!J320,{"PAID","PARTIAL","PENDING"},0)),PRINT_SHEET!J320)</f>
        <v/>
      </c>
      <c r="K320" s="55">
        <f>IF(PRINT_SHEET!K320="","",PRINT_SHEET!K320)</f>
        <v/>
      </c>
      <c r="L320" s="53">
        <f>IF(PRINT_SHEET!L320="","",PRINT_SHEET!L320)</f>
        <v/>
      </c>
    </row>
    <row r="321" ht="20" customHeight="1">
      <c r="A321" s="52">
        <f>IF(PRINT_SHEET!A321="","",PRINT_SHEET!A321)</f>
        <v/>
      </c>
      <c r="B321" s="53">
        <f>IF(PRINT_SHEET!B321="","",PRINT_SHEET!B321)</f>
        <v/>
      </c>
      <c r="C321" s="56">
        <f>IF(PRINT_SHEET!C321="","",PRINT_SHEET!C321)</f>
        <v/>
      </c>
      <c r="D321" s="56">
        <f>IF(PRINT_SHEET!D321="","",PRINT_SHEET!D321)</f>
        <v/>
      </c>
      <c r="E321" s="53">
        <f>IF(PRINT_SHEET!E321="","",PRINT_SHEET!E321)</f>
        <v/>
      </c>
      <c r="F321" s="52">
        <f>IF(PRINT_SHEET!F321="","",PRINT_SHEET!F321)</f>
        <v/>
      </c>
      <c r="G321" s="54">
        <f>IF(PRINT_SHEET!G321="","",PRINT_SHEET!G321)</f>
        <v/>
      </c>
      <c r="H321" s="54">
        <f>IF(PRINT_SHEET!H321="","",PRINT_SHEET!H321)</f>
        <v/>
      </c>
      <c r="I321" s="54">
        <f>IF(PRINT_SHEET!I321="","",PRINT_SHEET!I321)</f>
        <v/>
      </c>
      <c r="J321" s="53">
        <f>IFERROR(INDEX({"ادا شدہ","جزوی","بقایا"},MATCH(PRINT_SHEET!J321,{"PAID","PARTIAL","PENDING"},0)),PRINT_SHEET!J321)</f>
        <v/>
      </c>
      <c r="K321" s="55">
        <f>IF(PRINT_SHEET!K321="","",PRINT_SHEET!K321)</f>
        <v/>
      </c>
      <c r="L321" s="53">
        <f>IF(PRINT_SHEET!L321="","",PRINT_SHEET!L321)</f>
        <v/>
      </c>
    </row>
    <row r="322" ht="20" customHeight="1">
      <c r="A322" s="52">
        <f>IF(PRINT_SHEET!A322="","",PRINT_SHEET!A322)</f>
        <v/>
      </c>
      <c r="B322" s="53">
        <f>IF(PRINT_SHEET!B322="","",PRINT_SHEET!B322)</f>
        <v/>
      </c>
      <c r="C322" s="56">
        <f>IF(PRINT_SHEET!C322="","",PRINT_SHEET!C322)</f>
        <v/>
      </c>
      <c r="D322" s="56">
        <f>IF(PRINT_SHEET!D322="","",PRINT_SHEET!D322)</f>
        <v/>
      </c>
      <c r="E322" s="53">
        <f>IF(PRINT_SHEET!E322="","",PRINT_SHEET!E322)</f>
        <v/>
      </c>
      <c r="F322" s="52">
        <f>IF(PRINT_SHEET!F322="","",PRINT_SHEET!F322)</f>
        <v/>
      </c>
      <c r="G322" s="54">
        <f>IF(PRINT_SHEET!G322="","",PRINT_SHEET!G322)</f>
        <v/>
      </c>
      <c r="H322" s="54">
        <f>IF(PRINT_SHEET!H322="","",PRINT_SHEET!H322)</f>
        <v/>
      </c>
      <c r="I322" s="54">
        <f>IF(PRINT_SHEET!I322="","",PRINT_SHEET!I322)</f>
        <v/>
      </c>
      <c r="J322" s="53">
        <f>IFERROR(INDEX({"ادا شدہ","جزوی","بقایا"},MATCH(PRINT_SHEET!J322,{"PAID","PARTIAL","PENDING"},0)),PRINT_SHEET!J322)</f>
        <v/>
      </c>
      <c r="K322" s="55">
        <f>IF(PRINT_SHEET!K322="","",PRINT_SHEET!K322)</f>
        <v/>
      </c>
      <c r="L322" s="53">
        <f>IF(PRINT_SHEET!L322="","",PRINT_SHEET!L322)</f>
        <v/>
      </c>
    </row>
    <row r="323" ht="20" customHeight="1">
      <c r="A323" s="52">
        <f>IF(PRINT_SHEET!A323="","",PRINT_SHEET!A323)</f>
        <v/>
      </c>
      <c r="B323" s="53">
        <f>IF(PRINT_SHEET!B323="","",PRINT_SHEET!B323)</f>
        <v/>
      </c>
      <c r="C323" s="56">
        <f>IF(PRINT_SHEET!C323="","",PRINT_SHEET!C323)</f>
        <v/>
      </c>
      <c r="D323" s="56">
        <f>IF(PRINT_SHEET!D323="","",PRINT_SHEET!D323)</f>
        <v/>
      </c>
      <c r="E323" s="53">
        <f>IF(PRINT_SHEET!E323="","",PRINT_SHEET!E323)</f>
        <v/>
      </c>
      <c r="F323" s="52">
        <f>IF(PRINT_SHEET!F323="","",PRINT_SHEET!F323)</f>
        <v/>
      </c>
      <c r="G323" s="54">
        <f>IF(PRINT_SHEET!G323="","",PRINT_SHEET!G323)</f>
        <v/>
      </c>
      <c r="H323" s="54">
        <f>IF(PRINT_SHEET!H323="","",PRINT_SHEET!H323)</f>
        <v/>
      </c>
      <c r="I323" s="54">
        <f>IF(PRINT_SHEET!I323="","",PRINT_SHEET!I323)</f>
        <v/>
      </c>
      <c r="J323" s="53">
        <f>IFERROR(INDEX({"ادا شدہ","جزوی","بقایا"},MATCH(PRINT_SHEET!J323,{"PAID","PARTIAL","PENDING"},0)),PRINT_SHEET!J323)</f>
        <v/>
      </c>
      <c r="K323" s="55">
        <f>IF(PRINT_SHEET!K323="","",PRINT_SHEET!K323)</f>
        <v/>
      </c>
      <c r="L323" s="53">
        <f>IF(PRINT_SHEET!L323="","",PRINT_SHEET!L323)</f>
        <v/>
      </c>
    </row>
    <row r="324" ht="20" customHeight="1">
      <c r="A324" s="52">
        <f>IF(PRINT_SHEET!A324="","",PRINT_SHEET!A324)</f>
        <v/>
      </c>
      <c r="B324" s="53">
        <f>IF(PRINT_SHEET!B324="","",PRINT_SHEET!B324)</f>
        <v/>
      </c>
      <c r="C324" s="56">
        <f>IF(PRINT_SHEET!C324="","",PRINT_SHEET!C324)</f>
        <v/>
      </c>
      <c r="D324" s="56">
        <f>IF(PRINT_SHEET!D324="","",PRINT_SHEET!D324)</f>
        <v/>
      </c>
      <c r="E324" s="53">
        <f>IF(PRINT_SHEET!E324="","",PRINT_SHEET!E324)</f>
        <v/>
      </c>
      <c r="F324" s="52">
        <f>IF(PRINT_SHEET!F324="","",PRINT_SHEET!F324)</f>
        <v/>
      </c>
      <c r="G324" s="54">
        <f>IF(PRINT_SHEET!G324="","",PRINT_SHEET!G324)</f>
        <v/>
      </c>
      <c r="H324" s="54">
        <f>IF(PRINT_SHEET!H324="","",PRINT_SHEET!H324)</f>
        <v/>
      </c>
      <c r="I324" s="54">
        <f>IF(PRINT_SHEET!I324="","",PRINT_SHEET!I324)</f>
        <v/>
      </c>
      <c r="J324" s="53">
        <f>IFERROR(INDEX({"ادا شدہ","جزوی","بقایا"},MATCH(PRINT_SHEET!J324,{"PAID","PARTIAL","PENDING"},0)),PRINT_SHEET!J324)</f>
        <v/>
      </c>
      <c r="K324" s="55">
        <f>IF(PRINT_SHEET!K324="","",PRINT_SHEET!K324)</f>
        <v/>
      </c>
      <c r="L324" s="53">
        <f>IF(PRINT_SHEET!L324="","",PRINT_SHEET!L324)</f>
        <v/>
      </c>
    </row>
    <row r="325" ht="20" customHeight="1">
      <c r="A325" s="52">
        <f>IF(PRINT_SHEET!A325="","",PRINT_SHEET!A325)</f>
        <v/>
      </c>
      <c r="B325" s="53">
        <f>IF(PRINT_SHEET!B325="","",PRINT_SHEET!B325)</f>
        <v/>
      </c>
      <c r="C325" s="56">
        <f>IF(PRINT_SHEET!C325="","",PRINT_SHEET!C325)</f>
        <v/>
      </c>
      <c r="D325" s="56">
        <f>IF(PRINT_SHEET!D325="","",PRINT_SHEET!D325)</f>
        <v/>
      </c>
      <c r="E325" s="53">
        <f>IF(PRINT_SHEET!E325="","",PRINT_SHEET!E325)</f>
        <v/>
      </c>
      <c r="F325" s="52">
        <f>IF(PRINT_SHEET!F325="","",PRINT_SHEET!F325)</f>
        <v/>
      </c>
      <c r="G325" s="54">
        <f>IF(PRINT_SHEET!G325="","",PRINT_SHEET!G325)</f>
        <v/>
      </c>
      <c r="H325" s="54">
        <f>IF(PRINT_SHEET!H325="","",PRINT_SHEET!H325)</f>
        <v/>
      </c>
      <c r="I325" s="54">
        <f>IF(PRINT_SHEET!I325="","",PRINT_SHEET!I325)</f>
        <v/>
      </c>
      <c r="J325" s="53">
        <f>IFERROR(INDEX({"ادا شدہ","جزوی","بقایا"},MATCH(PRINT_SHEET!J325,{"PAID","PARTIAL","PENDING"},0)),PRINT_SHEET!J325)</f>
        <v/>
      </c>
      <c r="K325" s="55">
        <f>IF(PRINT_SHEET!K325="","",PRINT_SHEET!K325)</f>
        <v/>
      </c>
      <c r="L325" s="53">
        <f>IF(PRINT_SHEET!L325="","",PRINT_SHEET!L325)</f>
        <v/>
      </c>
    </row>
    <row r="326" ht="20" customHeight="1">
      <c r="A326" s="52">
        <f>IF(PRINT_SHEET!A326="","",PRINT_SHEET!A326)</f>
        <v/>
      </c>
      <c r="B326" s="53">
        <f>IF(PRINT_SHEET!B326="","",PRINT_SHEET!B326)</f>
        <v/>
      </c>
      <c r="C326" s="56">
        <f>IF(PRINT_SHEET!C326="","",PRINT_SHEET!C326)</f>
        <v/>
      </c>
      <c r="D326" s="56">
        <f>IF(PRINT_SHEET!D326="","",PRINT_SHEET!D326)</f>
        <v/>
      </c>
      <c r="E326" s="53">
        <f>IF(PRINT_SHEET!E326="","",PRINT_SHEET!E326)</f>
        <v/>
      </c>
      <c r="F326" s="52">
        <f>IF(PRINT_SHEET!F326="","",PRINT_SHEET!F326)</f>
        <v/>
      </c>
      <c r="G326" s="54">
        <f>IF(PRINT_SHEET!G326="","",PRINT_SHEET!G326)</f>
        <v/>
      </c>
      <c r="H326" s="54">
        <f>IF(PRINT_SHEET!H326="","",PRINT_SHEET!H326)</f>
        <v/>
      </c>
      <c r="I326" s="54">
        <f>IF(PRINT_SHEET!I326="","",PRINT_SHEET!I326)</f>
        <v/>
      </c>
      <c r="J326" s="53">
        <f>IFERROR(INDEX({"ادا شدہ","جزوی","بقایا"},MATCH(PRINT_SHEET!J326,{"PAID","PARTIAL","PENDING"},0)),PRINT_SHEET!J326)</f>
        <v/>
      </c>
      <c r="K326" s="55">
        <f>IF(PRINT_SHEET!K326="","",PRINT_SHEET!K326)</f>
        <v/>
      </c>
      <c r="L326" s="53">
        <f>IF(PRINT_SHEET!L326="","",PRINT_SHEET!L326)</f>
        <v/>
      </c>
    </row>
    <row r="327" ht="20" customHeight="1">
      <c r="A327" s="52">
        <f>IF(PRINT_SHEET!A327="","",PRINT_SHEET!A327)</f>
        <v/>
      </c>
      <c r="B327" s="53">
        <f>IF(PRINT_SHEET!B327="","",PRINT_SHEET!B327)</f>
        <v/>
      </c>
      <c r="C327" s="56">
        <f>IF(PRINT_SHEET!C327="","",PRINT_SHEET!C327)</f>
        <v/>
      </c>
      <c r="D327" s="56">
        <f>IF(PRINT_SHEET!D327="","",PRINT_SHEET!D327)</f>
        <v/>
      </c>
      <c r="E327" s="53">
        <f>IF(PRINT_SHEET!E327="","",PRINT_SHEET!E327)</f>
        <v/>
      </c>
      <c r="F327" s="52">
        <f>IF(PRINT_SHEET!F327="","",PRINT_SHEET!F327)</f>
        <v/>
      </c>
      <c r="G327" s="54">
        <f>IF(PRINT_SHEET!G327="","",PRINT_SHEET!G327)</f>
        <v/>
      </c>
      <c r="H327" s="54">
        <f>IF(PRINT_SHEET!H327="","",PRINT_SHEET!H327)</f>
        <v/>
      </c>
      <c r="I327" s="54">
        <f>IF(PRINT_SHEET!I327="","",PRINT_SHEET!I327)</f>
        <v/>
      </c>
      <c r="J327" s="53">
        <f>IFERROR(INDEX({"ادا شدہ","جزوی","بقایا"},MATCH(PRINT_SHEET!J327,{"PAID","PARTIAL","PENDING"},0)),PRINT_SHEET!J327)</f>
        <v/>
      </c>
      <c r="K327" s="55">
        <f>IF(PRINT_SHEET!K327="","",PRINT_SHEET!K327)</f>
        <v/>
      </c>
      <c r="L327" s="53">
        <f>IF(PRINT_SHEET!L327="","",PRINT_SHEET!L327)</f>
        <v/>
      </c>
    </row>
    <row r="328" ht="20" customHeight="1">
      <c r="A328" s="52">
        <f>IF(PRINT_SHEET!A328="","",PRINT_SHEET!A328)</f>
        <v/>
      </c>
      <c r="B328" s="53">
        <f>IF(PRINT_SHEET!B328="","",PRINT_SHEET!B328)</f>
        <v/>
      </c>
      <c r="C328" s="56">
        <f>IF(PRINT_SHEET!C328="","",PRINT_SHEET!C328)</f>
        <v/>
      </c>
      <c r="D328" s="56">
        <f>IF(PRINT_SHEET!D328="","",PRINT_SHEET!D328)</f>
        <v/>
      </c>
      <c r="E328" s="53">
        <f>IF(PRINT_SHEET!E328="","",PRINT_SHEET!E328)</f>
        <v/>
      </c>
      <c r="F328" s="52">
        <f>IF(PRINT_SHEET!F328="","",PRINT_SHEET!F328)</f>
        <v/>
      </c>
      <c r="G328" s="54">
        <f>IF(PRINT_SHEET!G328="","",PRINT_SHEET!G328)</f>
        <v/>
      </c>
      <c r="H328" s="54">
        <f>IF(PRINT_SHEET!H328="","",PRINT_SHEET!H328)</f>
        <v/>
      </c>
      <c r="I328" s="54">
        <f>IF(PRINT_SHEET!I328="","",PRINT_SHEET!I328)</f>
        <v/>
      </c>
      <c r="J328" s="53">
        <f>IFERROR(INDEX({"ادا شدہ","جزوی","بقایا"},MATCH(PRINT_SHEET!J328,{"PAID","PARTIAL","PENDING"},0)),PRINT_SHEET!J328)</f>
        <v/>
      </c>
      <c r="K328" s="55">
        <f>IF(PRINT_SHEET!K328="","",PRINT_SHEET!K328)</f>
        <v/>
      </c>
      <c r="L328" s="53">
        <f>IF(PRINT_SHEET!L328="","",PRINT_SHEET!L328)</f>
        <v/>
      </c>
    </row>
    <row r="329" ht="20" customHeight="1">
      <c r="A329" s="52">
        <f>IF(PRINT_SHEET!A329="","",PRINT_SHEET!A329)</f>
        <v/>
      </c>
      <c r="B329" s="53">
        <f>IF(PRINT_SHEET!B329="","",PRINT_SHEET!B329)</f>
        <v/>
      </c>
      <c r="C329" s="56">
        <f>IF(PRINT_SHEET!C329="","",PRINT_SHEET!C329)</f>
        <v/>
      </c>
      <c r="D329" s="56">
        <f>IF(PRINT_SHEET!D329="","",PRINT_SHEET!D329)</f>
        <v/>
      </c>
      <c r="E329" s="53">
        <f>IF(PRINT_SHEET!E329="","",PRINT_SHEET!E329)</f>
        <v/>
      </c>
      <c r="F329" s="52">
        <f>IF(PRINT_SHEET!F329="","",PRINT_SHEET!F329)</f>
        <v/>
      </c>
      <c r="G329" s="54">
        <f>IF(PRINT_SHEET!G329="","",PRINT_SHEET!G329)</f>
        <v/>
      </c>
      <c r="H329" s="54">
        <f>IF(PRINT_SHEET!H329="","",PRINT_SHEET!H329)</f>
        <v/>
      </c>
      <c r="I329" s="54">
        <f>IF(PRINT_SHEET!I329="","",PRINT_SHEET!I329)</f>
        <v/>
      </c>
      <c r="J329" s="53">
        <f>IFERROR(INDEX({"ادا شدہ","جزوی","بقایا"},MATCH(PRINT_SHEET!J329,{"PAID","PARTIAL","PENDING"},0)),PRINT_SHEET!J329)</f>
        <v/>
      </c>
      <c r="K329" s="55">
        <f>IF(PRINT_SHEET!K329="","",PRINT_SHEET!K329)</f>
        <v/>
      </c>
      <c r="L329" s="53">
        <f>IF(PRINT_SHEET!L329="","",PRINT_SHEET!L329)</f>
        <v/>
      </c>
    </row>
    <row r="330" ht="20" customHeight="1">
      <c r="A330" s="52">
        <f>IF(PRINT_SHEET!A330="","",PRINT_SHEET!A330)</f>
        <v/>
      </c>
      <c r="B330" s="53">
        <f>IF(PRINT_SHEET!B330="","",PRINT_SHEET!B330)</f>
        <v/>
      </c>
      <c r="C330" s="56">
        <f>IF(PRINT_SHEET!C330="","",PRINT_SHEET!C330)</f>
        <v/>
      </c>
      <c r="D330" s="56">
        <f>IF(PRINT_SHEET!D330="","",PRINT_SHEET!D330)</f>
        <v/>
      </c>
      <c r="E330" s="53">
        <f>IF(PRINT_SHEET!E330="","",PRINT_SHEET!E330)</f>
        <v/>
      </c>
      <c r="F330" s="52">
        <f>IF(PRINT_SHEET!F330="","",PRINT_SHEET!F330)</f>
        <v/>
      </c>
      <c r="G330" s="54">
        <f>IF(PRINT_SHEET!G330="","",PRINT_SHEET!G330)</f>
        <v/>
      </c>
      <c r="H330" s="54">
        <f>IF(PRINT_SHEET!H330="","",PRINT_SHEET!H330)</f>
        <v/>
      </c>
      <c r="I330" s="54">
        <f>IF(PRINT_SHEET!I330="","",PRINT_SHEET!I330)</f>
        <v/>
      </c>
      <c r="J330" s="53">
        <f>IFERROR(INDEX({"ادا شدہ","جزوی","بقایا"},MATCH(PRINT_SHEET!J330,{"PAID","PARTIAL","PENDING"},0)),PRINT_SHEET!J330)</f>
        <v/>
      </c>
      <c r="K330" s="55">
        <f>IF(PRINT_SHEET!K330="","",PRINT_SHEET!K330)</f>
        <v/>
      </c>
      <c r="L330" s="53">
        <f>IF(PRINT_SHEET!L330="","",PRINT_SHEET!L330)</f>
        <v/>
      </c>
    </row>
    <row r="331" ht="20" customHeight="1">
      <c r="A331" s="52">
        <f>IF(PRINT_SHEET!A331="","",PRINT_SHEET!A331)</f>
        <v/>
      </c>
      <c r="B331" s="53">
        <f>IF(PRINT_SHEET!B331="","",PRINT_SHEET!B331)</f>
        <v/>
      </c>
      <c r="C331" s="56">
        <f>IF(PRINT_SHEET!C331="","",PRINT_SHEET!C331)</f>
        <v/>
      </c>
      <c r="D331" s="56">
        <f>IF(PRINT_SHEET!D331="","",PRINT_SHEET!D331)</f>
        <v/>
      </c>
      <c r="E331" s="53">
        <f>IF(PRINT_SHEET!E331="","",PRINT_SHEET!E331)</f>
        <v/>
      </c>
      <c r="F331" s="52">
        <f>IF(PRINT_SHEET!F331="","",PRINT_SHEET!F331)</f>
        <v/>
      </c>
      <c r="G331" s="54">
        <f>IF(PRINT_SHEET!G331="","",PRINT_SHEET!G331)</f>
        <v/>
      </c>
      <c r="H331" s="54">
        <f>IF(PRINT_SHEET!H331="","",PRINT_SHEET!H331)</f>
        <v/>
      </c>
      <c r="I331" s="54">
        <f>IF(PRINT_SHEET!I331="","",PRINT_SHEET!I331)</f>
        <v/>
      </c>
      <c r="J331" s="53">
        <f>IFERROR(INDEX({"ادا شدہ","جزوی","بقایا"},MATCH(PRINT_SHEET!J331,{"PAID","PARTIAL","PENDING"},0)),PRINT_SHEET!J331)</f>
        <v/>
      </c>
      <c r="K331" s="55">
        <f>IF(PRINT_SHEET!K331="","",PRINT_SHEET!K331)</f>
        <v/>
      </c>
      <c r="L331" s="53">
        <f>IF(PRINT_SHEET!L331="","",PRINT_SHEET!L331)</f>
        <v/>
      </c>
    </row>
    <row r="332" ht="20" customHeight="1">
      <c r="A332" s="52">
        <f>IF(PRINT_SHEET!A332="","",PRINT_SHEET!A332)</f>
        <v/>
      </c>
      <c r="B332" s="53">
        <f>IF(PRINT_SHEET!B332="","",PRINT_SHEET!B332)</f>
        <v/>
      </c>
      <c r="C332" s="56">
        <f>IF(PRINT_SHEET!C332="","",PRINT_SHEET!C332)</f>
        <v/>
      </c>
      <c r="D332" s="56">
        <f>IF(PRINT_SHEET!D332="","",PRINT_SHEET!D332)</f>
        <v/>
      </c>
      <c r="E332" s="53">
        <f>IF(PRINT_SHEET!E332="","",PRINT_SHEET!E332)</f>
        <v/>
      </c>
      <c r="F332" s="52">
        <f>IF(PRINT_SHEET!F332="","",PRINT_SHEET!F332)</f>
        <v/>
      </c>
      <c r="G332" s="54">
        <f>IF(PRINT_SHEET!G332="","",PRINT_SHEET!G332)</f>
        <v/>
      </c>
      <c r="H332" s="54">
        <f>IF(PRINT_SHEET!H332="","",PRINT_SHEET!H332)</f>
        <v/>
      </c>
      <c r="I332" s="54">
        <f>IF(PRINT_SHEET!I332="","",PRINT_SHEET!I332)</f>
        <v/>
      </c>
      <c r="J332" s="53">
        <f>IFERROR(INDEX({"ادا شدہ","جزوی","بقایا"},MATCH(PRINT_SHEET!J332,{"PAID","PARTIAL","PENDING"},0)),PRINT_SHEET!J332)</f>
        <v/>
      </c>
      <c r="K332" s="55">
        <f>IF(PRINT_SHEET!K332="","",PRINT_SHEET!K332)</f>
        <v/>
      </c>
      <c r="L332" s="53">
        <f>IF(PRINT_SHEET!L332="","",PRINT_SHEET!L332)</f>
        <v/>
      </c>
    </row>
    <row r="333" ht="20" customHeight="1">
      <c r="A333" s="52">
        <f>IF(PRINT_SHEET!A333="","",PRINT_SHEET!A333)</f>
        <v/>
      </c>
      <c r="B333" s="53">
        <f>IF(PRINT_SHEET!B333="","",PRINT_SHEET!B333)</f>
        <v/>
      </c>
      <c r="C333" s="56">
        <f>IF(PRINT_SHEET!C333="","",PRINT_SHEET!C333)</f>
        <v/>
      </c>
      <c r="D333" s="56">
        <f>IF(PRINT_SHEET!D333="","",PRINT_SHEET!D333)</f>
        <v/>
      </c>
      <c r="E333" s="53">
        <f>IF(PRINT_SHEET!E333="","",PRINT_SHEET!E333)</f>
        <v/>
      </c>
      <c r="F333" s="52">
        <f>IF(PRINT_SHEET!F333="","",PRINT_SHEET!F333)</f>
        <v/>
      </c>
      <c r="G333" s="54">
        <f>IF(PRINT_SHEET!G333="","",PRINT_SHEET!G333)</f>
        <v/>
      </c>
      <c r="H333" s="54">
        <f>IF(PRINT_SHEET!H333="","",PRINT_SHEET!H333)</f>
        <v/>
      </c>
      <c r="I333" s="54">
        <f>IF(PRINT_SHEET!I333="","",PRINT_SHEET!I333)</f>
        <v/>
      </c>
      <c r="J333" s="53">
        <f>IFERROR(INDEX({"ادا شدہ","جزوی","بقایا"},MATCH(PRINT_SHEET!J333,{"PAID","PARTIAL","PENDING"},0)),PRINT_SHEET!J333)</f>
        <v/>
      </c>
      <c r="K333" s="55">
        <f>IF(PRINT_SHEET!K333="","",PRINT_SHEET!K333)</f>
        <v/>
      </c>
      <c r="L333" s="53">
        <f>IF(PRINT_SHEET!L333="","",PRINT_SHEET!L333)</f>
        <v/>
      </c>
    </row>
    <row r="334" ht="20" customHeight="1">
      <c r="A334" s="52">
        <f>IF(PRINT_SHEET!A334="","",PRINT_SHEET!A334)</f>
        <v/>
      </c>
      <c r="B334" s="53">
        <f>IF(PRINT_SHEET!B334="","",PRINT_SHEET!B334)</f>
        <v/>
      </c>
      <c r="C334" s="56">
        <f>IF(PRINT_SHEET!C334="","",PRINT_SHEET!C334)</f>
        <v/>
      </c>
      <c r="D334" s="56">
        <f>IF(PRINT_SHEET!D334="","",PRINT_SHEET!D334)</f>
        <v/>
      </c>
      <c r="E334" s="53">
        <f>IF(PRINT_SHEET!E334="","",PRINT_SHEET!E334)</f>
        <v/>
      </c>
      <c r="F334" s="52">
        <f>IF(PRINT_SHEET!F334="","",PRINT_SHEET!F334)</f>
        <v/>
      </c>
      <c r="G334" s="54">
        <f>IF(PRINT_SHEET!G334="","",PRINT_SHEET!G334)</f>
        <v/>
      </c>
      <c r="H334" s="54">
        <f>IF(PRINT_SHEET!H334="","",PRINT_SHEET!H334)</f>
        <v/>
      </c>
      <c r="I334" s="54">
        <f>IF(PRINT_SHEET!I334="","",PRINT_SHEET!I334)</f>
        <v/>
      </c>
      <c r="J334" s="53">
        <f>IFERROR(INDEX({"ادا شدہ","جزوی","بقایا"},MATCH(PRINT_SHEET!J334,{"PAID","PARTIAL","PENDING"},0)),PRINT_SHEET!J334)</f>
        <v/>
      </c>
      <c r="K334" s="55">
        <f>IF(PRINT_SHEET!K334="","",PRINT_SHEET!K334)</f>
        <v/>
      </c>
      <c r="L334" s="53">
        <f>IF(PRINT_SHEET!L334="","",PRINT_SHEET!L334)</f>
        <v/>
      </c>
    </row>
    <row r="335" ht="20" customHeight="1">
      <c r="A335" s="52">
        <f>IF(PRINT_SHEET!A335="","",PRINT_SHEET!A335)</f>
        <v/>
      </c>
      <c r="B335" s="53">
        <f>IF(PRINT_SHEET!B335="","",PRINT_SHEET!B335)</f>
        <v/>
      </c>
      <c r="C335" s="56">
        <f>IF(PRINT_SHEET!C335="","",PRINT_SHEET!C335)</f>
        <v/>
      </c>
      <c r="D335" s="56">
        <f>IF(PRINT_SHEET!D335="","",PRINT_SHEET!D335)</f>
        <v/>
      </c>
      <c r="E335" s="53">
        <f>IF(PRINT_SHEET!E335="","",PRINT_SHEET!E335)</f>
        <v/>
      </c>
      <c r="F335" s="52">
        <f>IF(PRINT_SHEET!F335="","",PRINT_SHEET!F335)</f>
        <v/>
      </c>
      <c r="G335" s="54">
        <f>IF(PRINT_SHEET!G335="","",PRINT_SHEET!G335)</f>
        <v/>
      </c>
      <c r="H335" s="54">
        <f>IF(PRINT_SHEET!H335="","",PRINT_SHEET!H335)</f>
        <v/>
      </c>
      <c r="I335" s="54">
        <f>IF(PRINT_SHEET!I335="","",PRINT_SHEET!I335)</f>
        <v/>
      </c>
      <c r="J335" s="53">
        <f>IFERROR(INDEX({"ادا شدہ","جزوی","بقایا"},MATCH(PRINT_SHEET!J335,{"PAID","PARTIAL","PENDING"},0)),PRINT_SHEET!J335)</f>
        <v/>
      </c>
      <c r="K335" s="55">
        <f>IF(PRINT_SHEET!K335="","",PRINT_SHEET!K335)</f>
        <v/>
      </c>
      <c r="L335" s="53">
        <f>IF(PRINT_SHEET!L335="","",PRINT_SHEET!L335)</f>
        <v/>
      </c>
    </row>
    <row r="336" ht="20" customHeight="1">
      <c r="A336" s="52">
        <f>IF(PRINT_SHEET!A336="","",PRINT_SHEET!A336)</f>
        <v/>
      </c>
      <c r="B336" s="53">
        <f>IF(PRINT_SHEET!B336="","",PRINT_SHEET!B336)</f>
        <v/>
      </c>
      <c r="C336" s="56">
        <f>IF(PRINT_SHEET!C336="","",PRINT_SHEET!C336)</f>
        <v/>
      </c>
      <c r="D336" s="56">
        <f>IF(PRINT_SHEET!D336="","",PRINT_SHEET!D336)</f>
        <v/>
      </c>
      <c r="E336" s="53">
        <f>IF(PRINT_SHEET!E336="","",PRINT_SHEET!E336)</f>
        <v/>
      </c>
      <c r="F336" s="52">
        <f>IF(PRINT_SHEET!F336="","",PRINT_SHEET!F336)</f>
        <v/>
      </c>
      <c r="G336" s="54">
        <f>IF(PRINT_SHEET!G336="","",PRINT_SHEET!G336)</f>
        <v/>
      </c>
      <c r="H336" s="54">
        <f>IF(PRINT_SHEET!H336="","",PRINT_SHEET!H336)</f>
        <v/>
      </c>
      <c r="I336" s="54">
        <f>IF(PRINT_SHEET!I336="","",PRINT_SHEET!I336)</f>
        <v/>
      </c>
      <c r="J336" s="53">
        <f>IFERROR(INDEX({"ادا شدہ","جزوی","بقایا"},MATCH(PRINT_SHEET!J336,{"PAID","PARTIAL","PENDING"},0)),PRINT_SHEET!J336)</f>
        <v/>
      </c>
      <c r="K336" s="55">
        <f>IF(PRINT_SHEET!K336="","",PRINT_SHEET!K336)</f>
        <v/>
      </c>
      <c r="L336" s="53">
        <f>IF(PRINT_SHEET!L336="","",PRINT_SHEET!L336)</f>
        <v/>
      </c>
    </row>
    <row r="337" ht="20" customHeight="1">
      <c r="A337" s="52">
        <f>IF(PRINT_SHEET!A337="","",PRINT_SHEET!A337)</f>
        <v/>
      </c>
      <c r="B337" s="53">
        <f>IF(PRINT_SHEET!B337="","",PRINT_SHEET!B337)</f>
        <v/>
      </c>
      <c r="C337" s="56">
        <f>IF(PRINT_SHEET!C337="","",PRINT_SHEET!C337)</f>
        <v/>
      </c>
      <c r="D337" s="56">
        <f>IF(PRINT_SHEET!D337="","",PRINT_SHEET!D337)</f>
        <v/>
      </c>
      <c r="E337" s="53">
        <f>IF(PRINT_SHEET!E337="","",PRINT_SHEET!E337)</f>
        <v/>
      </c>
      <c r="F337" s="52">
        <f>IF(PRINT_SHEET!F337="","",PRINT_SHEET!F337)</f>
        <v/>
      </c>
      <c r="G337" s="54">
        <f>IF(PRINT_SHEET!G337="","",PRINT_SHEET!G337)</f>
        <v/>
      </c>
      <c r="H337" s="54">
        <f>IF(PRINT_SHEET!H337="","",PRINT_SHEET!H337)</f>
        <v/>
      </c>
      <c r="I337" s="54">
        <f>IF(PRINT_SHEET!I337="","",PRINT_SHEET!I337)</f>
        <v/>
      </c>
      <c r="J337" s="53">
        <f>IFERROR(INDEX({"ادا شدہ","جزوی","بقایا"},MATCH(PRINT_SHEET!J337,{"PAID","PARTIAL","PENDING"},0)),PRINT_SHEET!J337)</f>
        <v/>
      </c>
      <c r="K337" s="55">
        <f>IF(PRINT_SHEET!K337="","",PRINT_SHEET!K337)</f>
        <v/>
      </c>
      <c r="L337" s="53">
        <f>IF(PRINT_SHEET!L337="","",PRINT_SHEET!L337)</f>
        <v/>
      </c>
    </row>
    <row r="338" ht="20" customHeight="1">
      <c r="A338" s="52">
        <f>IF(PRINT_SHEET!A338="","",PRINT_SHEET!A338)</f>
        <v/>
      </c>
      <c r="B338" s="53">
        <f>IF(PRINT_SHEET!B338="","",PRINT_SHEET!B338)</f>
        <v/>
      </c>
      <c r="C338" s="56">
        <f>IF(PRINT_SHEET!C338="","",PRINT_SHEET!C338)</f>
        <v/>
      </c>
      <c r="D338" s="56">
        <f>IF(PRINT_SHEET!D338="","",PRINT_SHEET!D338)</f>
        <v/>
      </c>
      <c r="E338" s="53">
        <f>IF(PRINT_SHEET!E338="","",PRINT_SHEET!E338)</f>
        <v/>
      </c>
      <c r="F338" s="52">
        <f>IF(PRINT_SHEET!F338="","",PRINT_SHEET!F338)</f>
        <v/>
      </c>
      <c r="G338" s="54">
        <f>IF(PRINT_SHEET!G338="","",PRINT_SHEET!G338)</f>
        <v/>
      </c>
      <c r="H338" s="54">
        <f>IF(PRINT_SHEET!H338="","",PRINT_SHEET!H338)</f>
        <v/>
      </c>
      <c r="I338" s="54">
        <f>IF(PRINT_SHEET!I338="","",PRINT_SHEET!I338)</f>
        <v/>
      </c>
      <c r="J338" s="53">
        <f>IFERROR(INDEX({"ادا شدہ","جزوی","بقایا"},MATCH(PRINT_SHEET!J338,{"PAID","PARTIAL","PENDING"},0)),PRINT_SHEET!J338)</f>
        <v/>
      </c>
      <c r="K338" s="55">
        <f>IF(PRINT_SHEET!K338="","",PRINT_SHEET!K338)</f>
        <v/>
      </c>
      <c r="L338" s="53">
        <f>IF(PRINT_SHEET!L338="","",PRINT_SHEET!L338)</f>
        <v/>
      </c>
    </row>
    <row r="339" ht="20" customHeight="1">
      <c r="A339" s="52">
        <f>IF(PRINT_SHEET!A339="","",PRINT_SHEET!A339)</f>
        <v/>
      </c>
      <c r="B339" s="53">
        <f>IF(PRINT_SHEET!B339="","",PRINT_SHEET!B339)</f>
        <v/>
      </c>
      <c r="C339" s="56">
        <f>IF(PRINT_SHEET!C339="","",PRINT_SHEET!C339)</f>
        <v/>
      </c>
      <c r="D339" s="56">
        <f>IF(PRINT_SHEET!D339="","",PRINT_SHEET!D339)</f>
        <v/>
      </c>
      <c r="E339" s="53">
        <f>IF(PRINT_SHEET!E339="","",PRINT_SHEET!E339)</f>
        <v/>
      </c>
      <c r="F339" s="52">
        <f>IF(PRINT_SHEET!F339="","",PRINT_SHEET!F339)</f>
        <v/>
      </c>
      <c r="G339" s="54">
        <f>IF(PRINT_SHEET!G339="","",PRINT_SHEET!G339)</f>
        <v/>
      </c>
      <c r="H339" s="54">
        <f>IF(PRINT_SHEET!H339="","",PRINT_SHEET!H339)</f>
        <v/>
      </c>
      <c r="I339" s="54">
        <f>IF(PRINT_SHEET!I339="","",PRINT_SHEET!I339)</f>
        <v/>
      </c>
      <c r="J339" s="53">
        <f>IFERROR(INDEX({"ادا شدہ","جزوی","بقایا"},MATCH(PRINT_SHEET!J339,{"PAID","PARTIAL","PENDING"},0)),PRINT_SHEET!J339)</f>
        <v/>
      </c>
      <c r="K339" s="55">
        <f>IF(PRINT_SHEET!K339="","",PRINT_SHEET!K339)</f>
        <v/>
      </c>
      <c r="L339" s="53">
        <f>IF(PRINT_SHEET!L339="","",PRINT_SHEET!L339)</f>
        <v/>
      </c>
    </row>
    <row r="340" ht="20" customHeight="1">
      <c r="A340" s="52">
        <f>IF(PRINT_SHEET!A340="","",PRINT_SHEET!A340)</f>
        <v/>
      </c>
      <c r="B340" s="53">
        <f>IF(PRINT_SHEET!B340="","",PRINT_SHEET!B340)</f>
        <v/>
      </c>
      <c r="C340" s="56">
        <f>IF(PRINT_SHEET!C340="","",PRINT_SHEET!C340)</f>
        <v/>
      </c>
      <c r="D340" s="56">
        <f>IF(PRINT_SHEET!D340="","",PRINT_SHEET!D340)</f>
        <v/>
      </c>
      <c r="E340" s="53">
        <f>IF(PRINT_SHEET!E340="","",PRINT_SHEET!E340)</f>
        <v/>
      </c>
      <c r="F340" s="52">
        <f>IF(PRINT_SHEET!F340="","",PRINT_SHEET!F340)</f>
        <v/>
      </c>
      <c r="G340" s="54">
        <f>IF(PRINT_SHEET!G340="","",PRINT_SHEET!G340)</f>
        <v/>
      </c>
      <c r="H340" s="54">
        <f>IF(PRINT_SHEET!H340="","",PRINT_SHEET!H340)</f>
        <v/>
      </c>
      <c r="I340" s="54">
        <f>IF(PRINT_SHEET!I340="","",PRINT_SHEET!I340)</f>
        <v/>
      </c>
      <c r="J340" s="53">
        <f>IFERROR(INDEX({"ادا شدہ","جزوی","بقایا"},MATCH(PRINT_SHEET!J340,{"PAID","PARTIAL","PENDING"},0)),PRINT_SHEET!J340)</f>
        <v/>
      </c>
      <c r="K340" s="55">
        <f>IF(PRINT_SHEET!K340="","",PRINT_SHEET!K340)</f>
        <v/>
      </c>
      <c r="L340" s="53">
        <f>IF(PRINT_SHEET!L340="","",PRINT_SHEET!L340)</f>
        <v/>
      </c>
    </row>
    <row r="341" ht="20" customHeight="1">
      <c r="A341" s="52">
        <f>IF(PRINT_SHEET!A341="","",PRINT_SHEET!A341)</f>
        <v/>
      </c>
      <c r="B341" s="53">
        <f>IF(PRINT_SHEET!B341="","",PRINT_SHEET!B341)</f>
        <v/>
      </c>
      <c r="C341" s="56">
        <f>IF(PRINT_SHEET!C341="","",PRINT_SHEET!C341)</f>
        <v/>
      </c>
      <c r="D341" s="56">
        <f>IF(PRINT_SHEET!D341="","",PRINT_SHEET!D341)</f>
        <v/>
      </c>
      <c r="E341" s="53">
        <f>IF(PRINT_SHEET!E341="","",PRINT_SHEET!E341)</f>
        <v/>
      </c>
      <c r="F341" s="52">
        <f>IF(PRINT_SHEET!F341="","",PRINT_SHEET!F341)</f>
        <v/>
      </c>
      <c r="G341" s="54">
        <f>IF(PRINT_SHEET!G341="","",PRINT_SHEET!G341)</f>
        <v/>
      </c>
      <c r="H341" s="54">
        <f>IF(PRINT_SHEET!H341="","",PRINT_SHEET!H341)</f>
        <v/>
      </c>
      <c r="I341" s="54">
        <f>IF(PRINT_SHEET!I341="","",PRINT_SHEET!I341)</f>
        <v/>
      </c>
      <c r="J341" s="53">
        <f>IFERROR(INDEX({"ادا شدہ","جزوی","بقایا"},MATCH(PRINT_SHEET!J341,{"PAID","PARTIAL","PENDING"},0)),PRINT_SHEET!J341)</f>
        <v/>
      </c>
      <c r="K341" s="55">
        <f>IF(PRINT_SHEET!K341="","",PRINT_SHEET!K341)</f>
        <v/>
      </c>
      <c r="L341" s="53">
        <f>IF(PRINT_SHEET!L341="","",PRINT_SHEET!L341)</f>
        <v/>
      </c>
    </row>
    <row r="342" ht="20" customHeight="1">
      <c r="A342" s="52">
        <f>IF(PRINT_SHEET!A342="","",PRINT_SHEET!A342)</f>
        <v/>
      </c>
      <c r="B342" s="53">
        <f>IF(PRINT_SHEET!B342="","",PRINT_SHEET!B342)</f>
        <v/>
      </c>
      <c r="C342" s="56">
        <f>IF(PRINT_SHEET!C342="","",PRINT_SHEET!C342)</f>
        <v/>
      </c>
      <c r="D342" s="56">
        <f>IF(PRINT_SHEET!D342="","",PRINT_SHEET!D342)</f>
        <v/>
      </c>
      <c r="E342" s="53">
        <f>IF(PRINT_SHEET!E342="","",PRINT_SHEET!E342)</f>
        <v/>
      </c>
      <c r="F342" s="52">
        <f>IF(PRINT_SHEET!F342="","",PRINT_SHEET!F342)</f>
        <v/>
      </c>
      <c r="G342" s="54">
        <f>IF(PRINT_SHEET!G342="","",PRINT_SHEET!G342)</f>
        <v/>
      </c>
      <c r="H342" s="54">
        <f>IF(PRINT_SHEET!H342="","",PRINT_SHEET!H342)</f>
        <v/>
      </c>
      <c r="I342" s="54">
        <f>IF(PRINT_SHEET!I342="","",PRINT_SHEET!I342)</f>
        <v/>
      </c>
      <c r="J342" s="53">
        <f>IFERROR(INDEX({"ادا شدہ","جزوی","بقایا"},MATCH(PRINT_SHEET!J342,{"PAID","PARTIAL","PENDING"},0)),PRINT_SHEET!J342)</f>
        <v/>
      </c>
      <c r="K342" s="55">
        <f>IF(PRINT_SHEET!K342="","",PRINT_SHEET!K342)</f>
        <v/>
      </c>
      <c r="L342" s="53">
        <f>IF(PRINT_SHEET!L342="","",PRINT_SHEET!L342)</f>
        <v/>
      </c>
    </row>
    <row r="343" ht="20" customHeight="1">
      <c r="A343" s="52">
        <f>IF(PRINT_SHEET!A343="","",PRINT_SHEET!A343)</f>
        <v/>
      </c>
      <c r="B343" s="53">
        <f>IF(PRINT_SHEET!B343="","",PRINT_SHEET!B343)</f>
        <v/>
      </c>
      <c r="C343" s="56">
        <f>IF(PRINT_SHEET!C343="","",PRINT_SHEET!C343)</f>
        <v/>
      </c>
      <c r="D343" s="56">
        <f>IF(PRINT_SHEET!D343="","",PRINT_SHEET!D343)</f>
        <v/>
      </c>
      <c r="E343" s="53">
        <f>IF(PRINT_SHEET!E343="","",PRINT_SHEET!E343)</f>
        <v/>
      </c>
      <c r="F343" s="52">
        <f>IF(PRINT_SHEET!F343="","",PRINT_SHEET!F343)</f>
        <v/>
      </c>
      <c r="G343" s="54">
        <f>IF(PRINT_SHEET!G343="","",PRINT_SHEET!G343)</f>
        <v/>
      </c>
      <c r="H343" s="54">
        <f>IF(PRINT_SHEET!H343="","",PRINT_SHEET!H343)</f>
        <v/>
      </c>
      <c r="I343" s="54">
        <f>IF(PRINT_SHEET!I343="","",PRINT_SHEET!I343)</f>
        <v/>
      </c>
      <c r="J343" s="53">
        <f>IFERROR(INDEX({"ادا شدہ","جزوی","بقایا"},MATCH(PRINT_SHEET!J343,{"PAID","PARTIAL","PENDING"},0)),PRINT_SHEET!J343)</f>
        <v/>
      </c>
      <c r="K343" s="55">
        <f>IF(PRINT_SHEET!K343="","",PRINT_SHEET!K343)</f>
        <v/>
      </c>
      <c r="L343" s="53">
        <f>IF(PRINT_SHEET!L343="","",PRINT_SHEET!L343)</f>
        <v/>
      </c>
    </row>
    <row r="344" ht="20" customHeight="1">
      <c r="A344" s="52">
        <f>IF(PRINT_SHEET!A344="","",PRINT_SHEET!A344)</f>
        <v/>
      </c>
      <c r="B344" s="53">
        <f>IF(PRINT_SHEET!B344="","",PRINT_SHEET!B344)</f>
        <v/>
      </c>
      <c r="C344" s="56">
        <f>IF(PRINT_SHEET!C344="","",PRINT_SHEET!C344)</f>
        <v/>
      </c>
      <c r="D344" s="56">
        <f>IF(PRINT_SHEET!D344="","",PRINT_SHEET!D344)</f>
        <v/>
      </c>
      <c r="E344" s="53">
        <f>IF(PRINT_SHEET!E344="","",PRINT_SHEET!E344)</f>
        <v/>
      </c>
      <c r="F344" s="52">
        <f>IF(PRINT_SHEET!F344="","",PRINT_SHEET!F344)</f>
        <v/>
      </c>
      <c r="G344" s="54">
        <f>IF(PRINT_SHEET!G344="","",PRINT_SHEET!G344)</f>
        <v/>
      </c>
      <c r="H344" s="54">
        <f>IF(PRINT_SHEET!H344="","",PRINT_SHEET!H344)</f>
        <v/>
      </c>
      <c r="I344" s="54">
        <f>IF(PRINT_SHEET!I344="","",PRINT_SHEET!I344)</f>
        <v/>
      </c>
      <c r="J344" s="53">
        <f>IFERROR(INDEX({"ادا شدہ","جزوی","بقایا"},MATCH(PRINT_SHEET!J344,{"PAID","PARTIAL","PENDING"},0)),PRINT_SHEET!J344)</f>
        <v/>
      </c>
      <c r="K344" s="55">
        <f>IF(PRINT_SHEET!K344="","",PRINT_SHEET!K344)</f>
        <v/>
      </c>
      <c r="L344" s="53">
        <f>IF(PRINT_SHEET!L344="","",PRINT_SHEET!L344)</f>
        <v/>
      </c>
    </row>
    <row r="345" ht="20" customHeight="1">
      <c r="A345" s="52">
        <f>IF(PRINT_SHEET!A345="","",PRINT_SHEET!A345)</f>
        <v/>
      </c>
      <c r="B345" s="53">
        <f>IF(PRINT_SHEET!B345="","",PRINT_SHEET!B345)</f>
        <v/>
      </c>
      <c r="C345" s="56">
        <f>IF(PRINT_SHEET!C345="","",PRINT_SHEET!C345)</f>
        <v/>
      </c>
      <c r="D345" s="56">
        <f>IF(PRINT_SHEET!D345="","",PRINT_SHEET!D345)</f>
        <v/>
      </c>
      <c r="E345" s="53">
        <f>IF(PRINT_SHEET!E345="","",PRINT_SHEET!E345)</f>
        <v/>
      </c>
      <c r="F345" s="52">
        <f>IF(PRINT_SHEET!F345="","",PRINT_SHEET!F345)</f>
        <v/>
      </c>
      <c r="G345" s="54">
        <f>IF(PRINT_SHEET!G345="","",PRINT_SHEET!G345)</f>
        <v/>
      </c>
      <c r="H345" s="54">
        <f>IF(PRINT_SHEET!H345="","",PRINT_SHEET!H345)</f>
        <v/>
      </c>
      <c r="I345" s="54">
        <f>IF(PRINT_SHEET!I345="","",PRINT_SHEET!I345)</f>
        <v/>
      </c>
      <c r="J345" s="53">
        <f>IFERROR(INDEX({"ادا شدہ","جزوی","بقایا"},MATCH(PRINT_SHEET!J345,{"PAID","PARTIAL","PENDING"},0)),PRINT_SHEET!J345)</f>
        <v/>
      </c>
      <c r="K345" s="55">
        <f>IF(PRINT_SHEET!K345="","",PRINT_SHEET!K345)</f>
        <v/>
      </c>
      <c r="L345" s="53">
        <f>IF(PRINT_SHEET!L345="","",PRINT_SHEET!L345)</f>
        <v/>
      </c>
    </row>
    <row r="346" ht="20" customHeight="1">
      <c r="A346" s="52">
        <f>IF(PRINT_SHEET!A346="","",PRINT_SHEET!A346)</f>
        <v/>
      </c>
      <c r="B346" s="53">
        <f>IF(PRINT_SHEET!B346="","",PRINT_SHEET!B346)</f>
        <v/>
      </c>
      <c r="C346" s="56">
        <f>IF(PRINT_SHEET!C346="","",PRINT_SHEET!C346)</f>
        <v/>
      </c>
      <c r="D346" s="56">
        <f>IF(PRINT_SHEET!D346="","",PRINT_SHEET!D346)</f>
        <v/>
      </c>
      <c r="E346" s="53">
        <f>IF(PRINT_SHEET!E346="","",PRINT_SHEET!E346)</f>
        <v/>
      </c>
      <c r="F346" s="52">
        <f>IF(PRINT_SHEET!F346="","",PRINT_SHEET!F346)</f>
        <v/>
      </c>
      <c r="G346" s="54">
        <f>IF(PRINT_SHEET!G346="","",PRINT_SHEET!G346)</f>
        <v/>
      </c>
      <c r="H346" s="54">
        <f>IF(PRINT_SHEET!H346="","",PRINT_SHEET!H346)</f>
        <v/>
      </c>
      <c r="I346" s="54">
        <f>IF(PRINT_SHEET!I346="","",PRINT_SHEET!I346)</f>
        <v/>
      </c>
      <c r="J346" s="53">
        <f>IFERROR(INDEX({"ادا شدہ","جزوی","بقایا"},MATCH(PRINT_SHEET!J346,{"PAID","PARTIAL","PENDING"},0)),PRINT_SHEET!J346)</f>
        <v/>
      </c>
      <c r="K346" s="55">
        <f>IF(PRINT_SHEET!K346="","",PRINT_SHEET!K346)</f>
        <v/>
      </c>
      <c r="L346" s="53">
        <f>IF(PRINT_SHEET!L346="","",PRINT_SHEET!L346)</f>
        <v/>
      </c>
    </row>
    <row r="347" ht="20" customHeight="1">
      <c r="A347" s="52">
        <f>IF(PRINT_SHEET!A347="","",PRINT_SHEET!A347)</f>
        <v/>
      </c>
      <c r="B347" s="53">
        <f>IF(PRINT_SHEET!B347="","",PRINT_SHEET!B347)</f>
        <v/>
      </c>
      <c r="C347" s="56">
        <f>IF(PRINT_SHEET!C347="","",PRINT_SHEET!C347)</f>
        <v/>
      </c>
      <c r="D347" s="56">
        <f>IF(PRINT_SHEET!D347="","",PRINT_SHEET!D347)</f>
        <v/>
      </c>
      <c r="E347" s="53">
        <f>IF(PRINT_SHEET!E347="","",PRINT_SHEET!E347)</f>
        <v/>
      </c>
      <c r="F347" s="52">
        <f>IF(PRINT_SHEET!F347="","",PRINT_SHEET!F347)</f>
        <v/>
      </c>
      <c r="G347" s="54">
        <f>IF(PRINT_SHEET!G347="","",PRINT_SHEET!G347)</f>
        <v/>
      </c>
      <c r="H347" s="54">
        <f>IF(PRINT_SHEET!H347="","",PRINT_SHEET!H347)</f>
        <v/>
      </c>
      <c r="I347" s="54">
        <f>IF(PRINT_SHEET!I347="","",PRINT_SHEET!I347)</f>
        <v/>
      </c>
      <c r="J347" s="53">
        <f>IFERROR(INDEX({"ادا شدہ","جزوی","بقایا"},MATCH(PRINT_SHEET!J347,{"PAID","PARTIAL","PENDING"},0)),PRINT_SHEET!J347)</f>
        <v/>
      </c>
      <c r="K347" s="55">
        <f>IF(PRINT_SHEET!K347="","",PRINT_SHEET!K347)</f>
        <v/>
      </c>
      <c r="L347" s="53">
        <f>IF(PRINT_SHEET!L347="","",PRINT_SHEET!L347)</f>
        <v/>
      </c>
    </row>
    <row r="348" ht="20" customHeight="1">
      <c r="A348" s="52">
        <f>IF(PRINT_SHEET!A348="","",PRINT_SHEET!A348)</f>
        <v/>
      </c>
      <c r="B348" s="53">
        <f>IF(PRINT_SHEET!B348="","",PRINT_SHEET!B348)</f>
        <v/>
      </c>
      <c r="C348" s="56">
        <f>IF(PRINT_SHEET!C348="","",PRINT_SHEET!C348)</f>
        <v/>
      </c>
      <c r="D348" s="56">
        <f>IF(PRINT_SHEET!D348="","",PRINT_SHEET!D348)</f>
        <v/>
      </c>
      <c r="E348" s="53">
        <f>IF(PRINT_SHEET!E348="","",PRINT_SHEET!E348)</f>
        <v/>
      </c>
      <c r="F348" s="52">
        <f>IF(PRINT_SHEET!F348="","",PRINT_SHEET!F348)</f>
        <v/>
      </c>
      <c r="G348" s="54">
        <f>IF(PRINT_SHEET!G348="","",PRINT_SHEET!G348)</f>
        <v/>
      </c>
      <c r="H348" s="54">
        <f>IF(PRINT_SHEET!H348="","",PRINT_SHEET!H348)</f>
        <v/>
      </c>
      <c r="I348" s="54">
        <f>IF(PRINT_SHEET!I348="","",PRINT_SHEET!I348)</f>
        <v/>
      </c>
      <c r="J348" s="53">
        <f>IFERROR(INDEX({"ادا شدہ","جزوی","بقایا"},MATCH(PRINT_SHEET!J348,{"PAID","PARTIAL","PENDING"},0)),PRINT_SHEET!J348)</f>
        <v/>
      </c>
      <c r="K348" s="55">
        <f>IF(PRINT_SHEET!K348="","",PRINT_SHEET!K348)</f>
        <v/>
      </c>
      <c r="L348" s="53">
        <f>IF(PRINT_SHEET!L348="","",PRINT_SHEET!L348)</f>
        <v/>
      </c>
    </row>
    <row r="349" ht="20" customHeight="1">
      <c r="A349" s="52">
        <f>IF(PRINT_SHEET!A349="","",PRINT_SHEET!A349)</f>
        <v/>
      </c>
      <c r="B349" s="53">
        <f>IF(PRINT_SHEET!B349="","",PRINT_SHEET!B349)</f>
        <v/>
      </c>
      <c r="C349" s="56">
        <f>IF(PRINT_SHEET!C349="","",PRINT_SHEET!C349)</f>
        <v/>
      </c>
      <c r="D349" s="56">
        <f>IF(PRINT_SHEET!D349="","",PRINT_SHEET!D349)</f>
        <v/>
      </c>
      <c r="E349" s="53">
        <f>IF(PRINT_SHEET!E349="","",PRINT_SHEET!E349)</f>
        <v/>
      </c>
      <c r="F349" s="52">
        <f>IF(PRINT_SHEET!F349="","",PRINT_SHEET!F349)</f>
        <v/>
      </c>
      <c r="G349" s="54">
        <f>IF(PRINT_SHEET!G349="","",PRINT_SHEET!G349)</f>
        <v/>
      </c>
      <c r="H349" s="54">
        <f>IF(PRINT_SHEET!H349="","",PRINT_SHEET!H349)</f>
        <v/>
      </c>
      <c r="I349" s="54">
        <f>IF(PRINT_SHEET!I349="","",PRINT_SHEET!I349)</f>
        <v/>
      </c>
      <c r="J349" s="53">
        <f>IFERROR(INDEX({"ادا شدہ","جزوی","بقایا"},MATCH(PRINT_SHEET!J349,{"PAID","PARTIAL","PENDING"},0)),PRINT_SHEET!J349)</f>
        <v/>
      </c>
      <c r="K349" s="55">
        <f>IF(PRINT_SHEET!K349="","",PRINT_SHEET!K349)</f>
        <v/>
      </c>
      <c r="L349" s="53">
        <f>IF(PRINT_SHEET!L349="","",PRINT_SHEET!L349)</f>
        <v/>
      </c>
    </row>
    <row r="350" ht="20" customHeight="1">
      <c r="A350" s="52">
        <f>IF(PRINT_SHEET!A350="","",PRINT_SHEET!A350)</f>
        <v/>
      </c>
      <c r="B350" s="53">
        <f>IF(PRINT_SHEET!B350="","",PRINT_SHEET!B350)</f>
        <v/>
      </c>
      <c r="C350" s="56">
        <f>IF(PRINT_SHEET!C350="","",PRINT_SHEET!C350)</f>
        <v/>
      </c>
      <c r="D350" s="56">
        <f>IF(PRINT_SHEET!D350="","",PRINT_SHEET!D350)</f>
        <v/>
      </c>
      <c r="E350" s="53">
        <f>IF(PRINT_SHEET!E350="","",PRINT_SHEET!E350)</f>
        <v/>
      </c>
      <c r="F350" s="52">
        <f>IF(PRINT_SHEET!F350="","",PRINT_SHEET!F350)</f>
        <v/>
      </c>
      <c r="G350" s="54">
        <f>IF(PRINT_SHEET!G350="","",PRINT_SHEET!G350)</f>
        <v/>
      </c>
      <c r="H350" s="54">
        <f>IF(PRINT_SHEET!H350="","",PRINT_SHEET!H350)</f>
        <v/>
      </c>
      <c r="I350" s="54">
        <f>IF(PRINT_SHEET!I350="","",PRINT_SHEET!I350)</f>
        <v/>
      </c>
      <c r="J350" s="53">
        <f>IFERROR(INDEX({"ادا شدہ","جزوی","بقایا"},MATCH(PRINT_SHEET!J350,{"PAID","PARTIAL","PENDING"},0)),PRINT_SHEET!J350)</f>
        <v/>
      </c>
      <c r="K350" s="55">
        <f>IF(PRINT_SHEET!K350="","",PRINT_SHEET!K350)</f>
        <v/>
      </c>
      <c r="L350" s="53">
        <f>IF(PRINT_SHEET!L350="","",PRINT_SHEET!L350)</f>
        <v/>
      </c>
    </row>
    <row r="351" ht="20" customHeight="1">
      <c r="A351" s="52">
        <f>IF(PRINT_SHEET!A351="","",PRINT_SHEET!A351)</f>
        <v/>
      </c>
      <c r="B351" s="53">
        <f>IF(PRINT_SHEET!B351="","",PRINT_SHEET!B351)</f>
        <v/>
      </c>
      <c r="C351" s="56">
        <f>IF(PRINT_SHEET!C351="","",PRINT_SHEET!C351)</f>
        <v/>
      </c>
      <c r="D351" s="56">
        <f>IF(PRINT_SHEET!D351="","",PRINT_SHEET!D351)</f>
        <v/>
      </c>
      <c r="E351" s="53">
        <f>IF(PRINT_SHEET!E351="","",PRINT_SHEET!E351)</f>
        <v/>
      </c>
      <c r="F351" s="52">
        <f>IF(PRINT_SHEET!F351="","",PRINT_SHEET!F351)</f>
        <v/>
      </c>
      <c r="G351" s="54">
        <f>IF(PRINT_SHEET!G351="","",PRINT_SHEET!G351)</f>
        <v/>
      </c>
      <c r="H351" s="54">
        <f>IF(PRINT_SHEET!H351="","",PRINT_SHEET!H351)</f>
        <v/>
      </c>
      <c r="I351" s="54">
        <f>IF(PRINT_SHEET!I351="","",PRINT_SHEET!I351)</f>
        <v/>
      </c>
      <c r="J351" s="53">
        <f>IFERROR(INDEX({"ادا شدہ","جزوی","بقایا"},MATCH(PRINT_SHEET!J351,{"PAID","PARTIAL","PENDING"},0)),PRINT_SHEET!J351)</f>
        <v/>
      </c>
      <c r="K351" s="55">
        <f>IF(PRINT_SHEET!K351="","",PRINT_SHEET!K351)</f>
        <v/>
      </c>
      <c r="L351" s="53">
        <f>IF(PRINT_SHEET!L351="","",PRINT_SHEET!L351)</f>
        <v/>
      </c>
    </row>
    <row r="352" ht="20" customHeight="1">
      <c r="A352" s="52">
        <f>IF(PRINT_SHEET!A352="","",PRINT_SHEET!A352)</f>
        <v/>
      </c>
      <c r="B352" s="53">
        <f>IF(PRINT_SHEET!B352="","",PRINT_SHEET!B352)</f>
        <v/>
      </c>
      <c r="C352" s="56">
        <f>IF(PRINT_SHEET!C352="","",PRINT_SHEET!C352)</f>
        <v/>
      </c>
      <c r="D352" s="56">
        <f>IF(PRINT_SHEET!D352="","",PRINT_SHEET!D352)</f>
        <v/>
      </c>
      <c r="E352" s="53">
        <f>IF(PRINT_SHEET!E352="","",PRINT_SHEET!E352)</f>
        <v/>
      </c>
      <c r="F352" s="52">
        <f>IF(PRINT_SHEET!F352="","",PRINT_SHEET!F352)</f>
        <v/>
      </c>
      <c r="G352" s="54">
        <f>IF(PRINT_SHEET!G352="","",PRINT_SHEET!G352)</f>
        <v/>
      </c>
      <c r="H352" s="54">
        <f>IF(PRINT_SHEET!H352="","",PRINT_SHEET!H352)</f>
        <v/>
      </c>
      <c r="I352" s="54">
        <f>IF(PRINT_SHEET!I352="","",PRINT_SHEET!I352)</f>
        <v/>
      </c>
      <c r="J352" s="53">
        <f>IFERROR(INDEX({"ادا شدہ","جزوی","بقایا"},MATCH(PRINT_SHEET!J352,{"PAID","PARTIAL","PENDING"},0)),PRINT_SHEET!J352)</f>
        <v/>
      </c>
      <c r="K352" s="55">
        <f>IF(PRINT_SHEET!K352="","",PRINT_SHEET!K352)</f>
        <v/>
      </c>
      <c r="L352" s="53">
        <f>IF(PRINT_SHEET!L352="","",PRINT_SHEET!L352)</f>
        <v/>
      </c>
    </row>
    <row r="353" ht="20" customHeight="1">
      <c r="A353" s="52">
        <f>IF(PRINT_SHEET!A353="","",PRINT_SHEET!A353)</f>
        <v/>
      </c>
      <c r="B353" s="53">
        <f>IF(PRINT_SHEET!B353="","",PRINT_SHEET!B353)</f>
        <v/>
      </c>
      <c r="C353" s="56">
        <f>IF(PRINT_SHEET!C353="","",PRINT_SHEET!C353)</f>
        <v/>
      </c>
      <c r="D353" s="56">
        <f>IF(PRINT_SHEET!D353="","",PRINT_SHEET!D353)</f>
        <v/>
      </c>
      <c r="E353" s="53">
        <f>IF(PRINT_SHEET!E353="","",PRINT_SHEET!E353)</f>
        <v/>
      </c>
      <c r="F353" s="52">
        <f>IF(PRINT_SHEET!F353="","",PRINT_SHEET!F353)</f>
        <v/>
      </c>
      <c r="G353" s="54">
        <f>IF(PRINT_SHEET!G353="","",PRINT_SHEET!G353)</f>
        <v/>
      </c>
      <c r="H353" s="54">
        <f>IF(PRINT_SHEET!H353="","",PRINT_SHEET!H353)</f>
        <v/>
      </c>
      <c r="I353" s="54">
        <f>IF(PRINT_SHEET!I353="","",PRINT_SHEET!I353)</f>
        <v/>
      </c>
      <c r="J353" s="53">
        <f>IFERROR(INDEX({"ادا شدہ","جزوی","بقایا"},MATCH(PRINT_SHEET!J353,{"PAID","PARTIAL","PENDING"},0)),PRINT_SHEET!J353)</f>
        <v/>
      </c>
      <c r="K353" s="55">
        <f>IF(PRINT_SHEET!K353="","",PRINT_SHEET!K353)</f>
        <v/>
      </c>
      <c r="L353" s="53">
        <f>IF(PRINT_SHEET!L353="","",PRINT_SHEET!L353)</f>
        <v/>
      </c>
    </row>
    <row r="354" ht="20" customHeight="1">
      <c r="A354" s="52">
        <f>IF(PRINT_SHEET!A354="","",PRINT_SHEET!A354)</f>
        <v/>
      </c>
      <c r="B354" s="53">
        <f>IF(PRINT_SHEET!B354="","",PRINT_SHEET!B354)</f>
        <v/>
      </c>
      <c r="C354" s="56">
        <f>IF(PRINT_SHEET!C354="","",PRINT_SHEET!C354)</f>
        <v/>
      </c>
      <c r="D354" s="56">
        <f>IF(PRINT_SHEET!D354="","",PRINT_SHEET!D354)</f>
        <v/>
      </c>
      <c r="E354" s="53">
        <f>IF(PRINT_SHEET!E354="","",PRINT_SHEET!E354)</f>
        <v/>
      </c>
      <c r="F354" s="52">
        <f>IF(PRINT_SHEET!F354="","",PRINT_SHEET!F354)</f>
        <v/>
      </c>
      <c r="G354" s="54">
        <f>IF(PRINT_SHEET!G354="","",PRINT_SHEET!G354)</f>
        <v/>
      </c>
      <c r="H354" s="54">
        <f>IF(PRINT_SHEET!H354="","",PRINT_SHEET!H354)</f>
        <v/>
      </c>
      <c r="I354" s="54">
        <f>IF(PRINT_SHEET!I354="","",PRINT_SHEET!I354)</f>
        <v/>
      </c>
      <c r="J354" s="53">
        <f>IFERROR(INDEX({"ادا شدہ","جزوی","بقایا"},MATCH(PRINT_SHEET!J354,{"PAID","PARTIAL","PENDING"},0)),PRINT_SHEET!J354)</f>
        <v/>
      </c>
      <c r="K354" s="55">
        <f>IF(PRINT_SHEET!K354="","",PRINT_SHEET!K354)</f>
        <v/>
      </c>
      <c r="L354" s="53">
        <f>IF(PRINT_SHEET!L354="","",PRINT_SHEET!L354)</f>
        <v/>
      </c>
    </row>
    <row r="355" ht="20" customHeight="1">
      <c r="A355" s="52">
        <f>IF(PRINT_SHEET!A355="","",PRINT_SHEET!A355)</f>
        <v/>
      </c>
      <c r="B355" s="53">
        <f>IF(PRINT_SHEET!B355="","",PRINT_SHEET!B355)</f>
        <v/>
      </c>
      <c r="C355" s="56">
        <f>IF(PRINT_SHEET!C355="","",PRINT_SHEET!C355)</f>
        <v/>
      </c>
      <c r="D355" s="56">
        <f>IF(PRINT_SHEET!D355="","",PRINT_SHEET!D355)</f>
        <v/>
      </c>
      <c r="E355" s="53">
        <f>IF(PRINT_SHEET!E355="","",PRINT_SHEET!E355)</f>
        <v/>
      </c>
      <c r="F355" s="52">
        <f>IF(PRINT_SHEET!F355="","",PRINT_SHEET!F355)</f>
        <v/>
      </c>
      <c r="G355" s="54">
        <f>IF(PRINT_SHEET!G355="","",PRINT_SHEET!G355)</f>
        <v/>
      </c>
      <c r="H355" s="54">
        <f>IF(PRINT_SHEET!H355="","",PRINT_SHEET!H355)</f>
        <v/>
      </c>
      <c r="I355" s="54">
        <f>IF(PRINT_SHEET!I355="","",PRINT_SHEET!I355)</f>
        <v/>
      </c>
      <c r="J355" s="53">
        <f>IFERROR(INDEX({"ادا شدہ","جزوی","بقایا"},MATCH(PRINT_SHEET!J355,{"PAID","PARTIAL","PENDING"},0)),PRINT_SHEET!J355)</f>
        <v/>
      </c>
      <c r="K355" s="55">
        <f>IF(PRINT_SHEET!K355="","",PRINT_SHEET!K355)</f>
        <v/>
      </c>
      <c r="L355" s="53">
        <f>IF(PRINT_SHEET!L355="","",PRINT_SHEET!L355)</f>
        <v/>
      </c>
    </row>
    <row r="356" ht="20" customHeight="1">
      <c r="A356" s="52">
        <f>IF(PRINT_SHEET!A356="","",PRINT_SHEET!A356)</f>
        <v/>
      </c>
      <c r="B356" s="53">
        <f>IF(PRINT_SHEET!B356="","",PRINT_SHEET!B356)</f>
        <v/>
      </c>
      <c r="C356" s="56">
        <f>IF(PRINT_SHEET!C356="","",PRINT_SHEET!C356)</f>
        <v/>
      </c>
      <c r="D356" s="56">
        <f>IF(PRINT_SHEET!D356="","",PRINT_SHEET!D356)</f>
        <v/>
      </c>
      <c r="E356" s="53">
        <f>IF(PRINT_SHEET!E356="","",PRINT_SHEET!E356)</f>
        <v/>
      </c>
      <c r="F356" s="52">
        <f>IF(PRINT_SHEET!F356="","",PRINT_SHEET!F356)</f>
        <v/>
      </c>
      <c r="G356" s="54">
        <f>IF(PRINT_SHEET!G356="","",PRINT_SHEET!G356)</f>
        <v/>
      </c>
      <c r="H356" s="54">
        <f>IF(PRINT_SHEET!H356="","",PRINT_SHEET!H356)</f>
        <v/>
      </c>
      <c r="I356" s="54">
        <f>IF(PRINT_SHEET!I356="","",PRINT_SHEET!I356)</f>
        <v/>
      </c>
      <c r="J356" s="53">
        <f>IFERROR(INDEX({"ادا شدہ","جزوی","بقایا"},MATCH(PRINT_SHEET!J356,{"PAID","PARTIAL","PENDING"},0)),PRINT_SHEET!J356)</f>
        <v/>
      </c>
      <c r="K356" s="55">
        <f>IF(PRINT_SHEET!K356="","",PRINT_SHEET!K356)</f>
        <v/>
      </c>
      <c r="L356" s="53">
        <f>IF(PRINT_SHEET!L356="","",PRINT_SHEET!L356)</f>
        <v/>
      </c>
    </row>
    <row r="357" ht="20" customHeight="1">
      <c r="A357" s="52">
        <f>IF(PRINT_SHEET!A357="","",PRINT_SHEET!A357)</f>
        <v/>
      </c>
      <c r="B357" s="53">
        <f>IF(PRINT_SHEET!B357="","",PRINT_SHEET!B357)</f>
        <v/>
      </c>
      <c r="C357" s="56">
        <f>IF(PRINT_SHEET!C357="","",PRINT_SHEET!C357)</f>
        <v/>
      </c>
      <c r="D357" s="56">
        <f>IF(PRINT_SHEET!D357="","",PRINT_SHEET!D357)</f>
        <v/>
      </c>
      <c r="E357" s="53">
        <f>IF(PRINT_SHEET!E357="","",PRINT_SHEET!E357)</f>
        <v/>
      </c>
      <c r="F357" s="52">
        <f>IF(PRINT_SHEET!F357="","",PRINT_SHEET!F357)</f>
        <v/>
      </c>
      <c r="G357" s="54">
        <f>IF(PRINT_SHEET!G357="","",PRINT_SHEET!G357)</f>
        <v/>
      </c>
      <c r="H357" s="54">
        <f>IF(PRINT_SHEET!H357="","",PRINT_SHEET!H357)</f>
        <v/>
      </c>
      <c r="I357" s="54">
        <f>IF(PRINT_SHEET!I357="","",PRINT_SHEET!I357)</f>
        <v/>
      </c>
      <c r="J357" s="53">
        <f>IFERROR(INDEX({"ادا شدہ","جزوی","بقایا"},MATCH(PRINT_SHEET!J357,{"PAID","PARTIAL","PENDING"},0)),PRINT_SHEET!J357)</f>
        <v/>
      </c>
      <c r="K357" s="55">
        <f>IF(PRINT_SHEET!K357="","",PRINT_SHEET!K357)</f>
        <v/>
      </c>
      <c r="L357" s="53">
        <f>IF(PRINT_SHEET!L357="","",PRINT_SHEET!L357)</f>
        <v/>
      </c>
    </row>
    <row r="358" ht="20" customHeight="1">
      <c r="A358" s="52">
        <f>IF(PRINT_SHEET!A358="","",PRINT_SHEET!A358)</f>
        <v/>
      </c>
      <c r="B358" s="53">
        <f>IF(PRINT_SHEET!B358="","",PRINT_SHEET!B358)</f>
        <v/>
      </c>
      <c r="C358" s="56">
        <f>IF(PRINT_SHEET!C358="","",PRINT_SHEET!C358)</f>
        <v/>
      </c>
      <c r="D358" s="56">
        <f>IF(PRINT_SHEET!D358="","",PRINT_SHEET!D358)</f>
        <v/>
      </c>
      <c r="E358" s="53">
        <f>IF(PRINT_SHEET!E358="","",PRINT_SHEET!E358)</f>
        <v/>
      </c>
      <c r="F358" s="52">
        <f>IF(PRINT_SHEET!F358="","",PRINT_SHEET!F358)</f>
        <v/>
      </c>
      <c r="G358" s="54">
        <f>IF(PRINT_SHEET!G358="","",PRINT_SHEET!G358)</f>
        <v/>
      </c>
      <c r="H358" s="54">
        <f>IF(PRINT_SHEET!H358="","",PRINT_SHEET!H358)</f>
        <v/>
      </c>
      <c r="I358" s="54">
        <f>IF(PRINT_SHEET!I358="","",PRINT_SHEET!I358)</f>
        <v/>
      </c>
      <c r="J358" s="53">
        <f>IFERROR(INDEX({"ادا شدہ","جزوی","بقایا"},MATCH(PRINT_SHEET!J358,{"PAID","PARTIAL","PENDING"},0)),PRINT_SHEET!J358)</f>
        <v/>
      </c>
      <c r="K358" s="55">
        <f>IF(PRINT_SHEET!K358="","",PRINT_SHEET!K358)</f>
        <v/>
      </c>
      <c r="L358" s="53">
        <f>IF(PRINT_SHEET!L358="","",PRINT_SHEET!L358)</f>
        <v/>
      </c>
    </row>
    <row r="359" ht="20" customHeight="1">
      <c r="A359" s="52">
        <f>IF(PRINT_SHEET!A359="","",PRINT_SHEET!A359)</f>
        <v/>
      </c>
      <c r="B359" s="53">
        <f>IF(PRINT_SHEET!B359="","",PRINT_SHEET!B359)</f>
        <v/>
      </c>
      <c r="C359" s="56">
        <f>IF(PRINT_SHEET!C359="","",PRINT_SHEET!C359)</f>
        <v/>
      </c>
      <c r="D359" s="56">
        <f>IF(PRINT_SHEET!D359="","",PRINT_SHEET!D359)</f>
        <v/>
      </c>
      <c r="E359" s="53">
        <f>IF(PRINT_SHEET!E359="","",PRINT_SHEET!E359)</f>
        <v/>
      </c>
      <c r="F359" s="52">
        <f>IF(PRINT_SHEET!F359="","",PRINT_SHEET!F359)</f>
        <v/>
      </c>
      <c r="G359" s="54">
        <f>IF(PRINT_SHEET!G359="","",PRINT_SHEET!G359)</f>
        <v/>
      </c>
      <c r="H359" s="54">
        <f>IF(PRINT_SHEET!H359="","",PRINT_SHEET!H359)</f>
        <v/>
      </c>
      <c r="I359" s="54">
        <f>IF(PRINT_SHEET!I359="","",PRINT_SHEET!I359)</f>
        <v/>
      </c>
      <c r="J359" s="53">
        <f>IFERROR(INDEX({"ادا شدہ","جزوی","بقایا"},MATCH(PRINT_SHEET!J359,{"PAID","PARTIAL","PENDING"},0)),PRINT_SHEET!J359)</f>
        <v/>
      </c>
      <c r="K359" s="55">
        <f>IF(PRINT_SHEET!K359="","",PRINT_SHEET!K359)</f>
        <v/>
      </c>
      <c r="L359" s="53">
        <f>IF(PRINT_SHEET!L359="","",PRINT_SHEET!L359)</f>
        <v/>
      </c>
    </row>
    <row r="360" ht="20" customHeight="1">
      <c r="A360" s="52">
        <f>IF(PRINT_SHEET!A360="","",PRINT_SHEET!A360)</f>
        <v/>
      </c>
      <c r="B360" s="53">
        <f>IF(PRINT_SHEET!B360="","",PRINT_SHEET!B360)</f>
        <v/>
      </c>
      <c r="C360" s="56">
        <f>IF(PRINT_SHEET!C360="","",PRINT_SHEET!C360)</f>
        <v/>
      </c>
      <c r="D360" s="56">
        <f>IF(PRINT_SHEET!D360="","",PRINT_SHEET!D360)</f>
        <v/>
      </c>
      <c r="E360" s="53">
        <f>IF(PRINT_SHEET!E360="","",PRINT_SHEET!E360)</f>
        <v/>
      </c>
      <c r="F360" s="52">
        <f>IF(PRINT_SHEET!F360="","",PRINT_SHEET!F360)</f>
        <v/>
      </c>
      <c r="G360" s="54">
        <f>IF(PRINT_SHEET!G360="","",PRINT_SHEET!G360)</f>
        <v/>
      </c>
      <c r="H360" s="54">
        <f>IF(PRINT_SHEET!H360="","",PRINT_SHEET!H360)</f>
        <v/>
      </c>
      <c r="I360" s="54">
        <f>IF(PRINT_SHEET!I360="","",PRINT_SHEET!I360)</f>
        <v/>
      </c>
      <c r="J360" s="53">
        <f>IFERROR(INDEX({"ادا شدہ","جزوی","بقایا"},MATCH(PRINT_SHEET!J360,{"PAID","PARTIAL","PENDING"},0)),PRINT_SHEET!J360)</f>
        <v/>
      </c>
      <c r="K360" s="55">
        <f>IF(PRINT_SHEET!K360="","",PRINT_SHEET!K360)</f>
        <v/>
      </c>
      <c r="L360" s="53">
        <f>IF(PRINT_SHEET!L360="","",PRINT_SHEET!L360)</f>
        <v/>
      </c>
    </row>
    <row r="361" ht="20" customHeight="1">
      <c r="A361" s="52">
        <f>IF(PRINT_SHEET!A361="","",PRINT_SHEET!A361)</f>
        <v/>
      </c>
      <c r="B361" s="53">
        <f>IF(PRINT_SHEET!B361="","",PRINT_SHEET!B361)</f>
        <v/>
      </c>
      <c r="C361" s="56">
        <f>IF(PRINT_SHEET!C361="","",PRINT_SHEET!C361)</f>
        <v/>
      </c>
      <c r="D361" s="56">
        <f>IF(PRINT_SHEET!D361="","",PRINT_SHEET!D361)</f>
        <v/>
      </c>
      <c r="E361" s="53">
        <f>IF(PRINT_SHEET!E361="","",PRINT_SHEET!E361)</f>
        <v/>
      </c>
      <c r="F361" s="52">
        <f>IF(PRINT_SHEET!F361="","",PRINT_SHEET!F361)</f>
        <v/>
      </c>
      <c r="G361" s="54">
        <f>IF(PRINT_SHEET!G361="","",PRINT_SHEET!G361)</f>
        <v/>
      </c>
      <c r="H361" s="54">
        <f>IF(PRINT_SHEET!H361="","",PRINT_SHEET!H361)</f>
        <v/>
      </c>
      <c r="I361" s="54">
        <f>IF(PRINT_SHEET!I361="","",PRINT_SHEET!I361)</f>
        <v/>
      </c>
      <c r="J361" s="53">
        <f>IFERROR(INDEX({"ادا شدہ","جزوی","بقایا"},MATCH(PRINT_SHEET!J361,{"PAID","PARTIAL","PENDING"},0)),PRINT_SHEET!J361)</f>
        <v/>
      </c>
      <c r="K361" s="55">
        <f>IF(PRINT_SHEET!K361="","",PRINT_SHEET!K361)</f>
        <v/>
      </c>
      <c r="L361" s="53">
        <f>IF(PRINT_SHEET!L361="","",PRINT_SHEET!L361)</f>
        <v/>
      </c>
    </row>
    <row r="362" ht="20" customHeight="1">
      <c r="A362" s="52">
        <f>IF(PRINT_SHEET!A362="","",PRINT_SHEET!A362)</f>
        <v/>
      </c>
      <c r="B362" s="53">
        <f>IF(PRINT_SHEET!B362="","",PRINT_SHEET!B362)</f>
        <v/>
      </c>
      <c r="C362" s="56">
        <f>IF(PRINT_SHEET!C362="","",PRINT_SHEET!C362)</f>
        <v/>
      </c>
      <c r="D362" s="56">
        <f>IF(PRINT_SHEET!D362="","",PRINT_SHEET!D362)</f>
        <v/>
      </c>
      <c r="E362" s="53">
        <f>IF(PRINT_SHEET!E362="","",PRINT_SHEET!E362)</f>
        <v/>
      </c>
      <c r="F362" s="52">
        <f>IF(PRINT_SHEET!F362="","",PRINT_SHEET!F362)</f>
        <v/>
      </c>
      <c r="G362" s="54">
        <f>IF(PRINT_SHEET!G362="","",PRINT_SHEET!G362)</f>
        <v/>
      </c>
      <c r="H362" s="54">
        <f>IF(PRINT_SHEET!H362="","",PRINT_SHEET!H362)</f>
        <v/>
      </c>
      <c r="I362" s="54">
        <f>IF(PRINT_SHEET!I362="","",PRINT_SHEET!I362)</f>
        <v/>
      </c>
      <c r="J362" s="53">
        <f>IFERROR(INDEX({"ادا شدہ","جزوی","بقایا"},MATCH(PRINT_SHEET!J362,{"PAID","PARTIAL","PENDING"},0)),PRINT_SHEET!J362)</f>
        <v/>
      </c>
      <c r="K362" s="55">
        <f>IF(PRINT_SHEET!K362="","",PRINT_SHEET!K362)</f>
        <v/>
      </c>
      <c r="L362" s="53">
        <f>IF(PRINT_SHEET!L362="","",PRINT_SHEET!L362)</f>
        <v/>
      </c>
    </row>
    <row r="363" ht="20" customHeight="1">
      <c r="A363" s="52">
        <f>IF(PRINT_SHEET!A363="","",PRINT_SHEET!A363)</f>
        <v/>
      </c>
      <c r="B363" s="53">
        <f>IF(PRINT_SHEET!B363="","",PRINT_SHEET!B363)</f>
        <v/>
      </c>
      <c r="C363" s="56">
        <f>IF(PRINT_SHEET!C363="","",PRINT_SHEET!C363)</f>
        <v/>
      </c>
      <c r="D363" s="56">
        <f>IF(PRINT_SHEET!D363="","",PRINT_SHEET!D363)</f>
        <v/>
      </c>
      <c r="E363" s="53">
        <f>IF(PRINT_SHEET!E363="","",PRINT_SHEET!E363)</f>
        <v/>
      </c>
      <c r="F363" s="52">
        <f>IF(PRINT_SHEET!F363="","",PRINT_SHEET!F363)</f>
        <v/>
      </c>
      <c r="G363" s="54">
        <f>IF(PRINT_SHEET!G363="","",PRINT_SHEET!G363)</f>
        <v/>
      </c>
      <c r="H363" s="54">
        <f>IF(PRINT_SHEET!H363="","",PRINT_SHEET!H363)</f>
        <v/>
      </c>
      <c r="I363" s="54">
        <f>IF(PRINT_SHEET!I363="","",PRINT_SHEET!I363)</f>
        <v/>
      </c>
      <c r="J363" s="53">
        <f>IFERROR(INDEX({"ادا شدہ","جزوی","بقایا"},MATCH(PRINT_SHEET!J363,{"PAID","PARTIAL","PENDING"},0)),PRINT_SHEET!J363)</f>
        <v/>
      </c>
      <c r="K363" s="55">
        <f>IF(PRINT_SHEET!K363="","",PRINT_SHEET!K363)</f>
        <v/>
      </c>
      <c r="L363" s="53">
        <f>IF(PRINT_SHEET!L363="","",PRINT_SHEET!L363)</f>
        <v/>
      </c>
    </row>
    <row r="364" ht="20" customHeight="1">
      <c r="A364" s="52">
        <f>IF(PRINT_SHEET!A364="","",PRINT_SHEET!A364)</f>
        <v/>
      </c>
      <c r="B364" s="53">
        <f>IF(PRINT_SHEET!B364="","",PRINT_SHEET!B364)</f>
        <v/>
      </c>
      <c r="C364" s="56">
        <f>IF(PRINT_SHEET!C364="","",PRINT_SHEET!C364)</f>
        <v/>
      </c>
      <c r="D364" s="56">
        <f>IF(PRINT_SHEET!D364="","",PRINT_SHEET!D364)</f>
        <v/>
      </c>
      <c r="E364" s="53">
        <f>IF(PRINT_SHEET!E364="","",PRINT_SHEET!E364)</f>
        <v/>
      </c>
      <c r="F364" s="52">
        <f>IF(PRINT_SHEET!F364="","",PRINT_SHEET!F364)</f>
        <v/>
      </c>
      <c r="G364" s="54">
        <f>IF(PRINT_SHEET!G364="","",PRINT_SHEET!G364)</f>
        <v/>
      </c>
      <c r="H364" s="54">
        <f>IF(PRINT_SHEET!H364="","",PRINT_SHEET!H364)</f>
        <v/>
      </c>
      <c r="I364" s="54">
        <f>IF(PRINT_SHEET!I364="","",PRINT_SHEET!I364)</f>
        <v/>
      </c>
      <c r="J364" s="53">
        <f>IFERROR(INDEX({"ادا شدہ","جزوی","بقایا"},MATCH(PRINT_SHEET!J364,{"PAID","PARTIAL","PENDING"},0)),PRINT_SHEET!J364)</f>
        <v/>
      </c>
      <c r="K364" s="55">
        <f>IF(PRINT_SHEET!K364="","",PRINT_SHEET!K364)</f>
        <v/>
      </c>
      <c r="L364" s="53">
        <f>IF(PRINT_SHEET!L364="","",PRINT_SHEET!L364)</f>
        <v/>
      </c>
    </row>
    <row r="365" ht="20" customHeight="1">
      <c r="A365" s="52">
        <f>IF(PRINT_SHEET!A365="","",PRINT_SHEET!A365)</f>
        <v/>
      </c>
      <c r="B365" s="53">
        <f>IF(PRINT_SHEET!B365="","",PRINT_SHEET!B365)</f>
        <v/>
      </c>
      <c r="C365" s="56">
        <f>IF(PRINT_SHEET!C365="","",PRINT_SHEET!C365)</f>
        <v/>
      </c>
      <c r="D365" s="56">
        <f>IF(PRINT_SHEET!D365="","",PRINT_SHEET!D365)</f>
        <v/>
      </c>
      <c r="E365" s="53">
        <f>IF(PRINT_SHEET!E365="","",PRINT_SHEET!E365)</f>
        <v/>
      </c>
      <c r="F365" s="52">
        <f>IF(PRINT_SHEET!F365="","",PRINT_SHEET!F365)</f>
        <v/>
      </c>
      <c r="G365" s="54">
        <f>IF(PRINT_SHEET!G365="","",PRINT_SHEET!G365)</f>
        <v/>
      </c>
      <c r="H365" s="54">
        <f>IF(PRINT_SHEET!H365="","",PRINT_SHEET!H365)</f>
        <v/>
      </c>
      <c r="I365" s="54">
        <f>IF(PRINT_SHEET!I365="","",PRINT_SHEET!I365)</f>
        <v/>
      </c>
      <c r="J365" s="53">
        <f>IFERROR(INDEX({"ادا شدہ","جزوی","بقایا"},MATCH(PRINT_SHEET!J365,{"PAID","PARTIAL","PENDING"},0)),PRINT_SHEET!J365)</f>
        <v/>
      </c>
      <c r="K365" s="55">
        <f>IF(PRINT_SHEET!K365="","",PRINT_SHEET!K365)</f>
        <v/>
      </c>
      <c r="L365" s="53">
        <f>IF(PRINT_SHEET!L365="","",PRINT_SHEET!L365)</f>
        <v/>
      </c>
    </row>
    <row r="366" ht="20" customHeight="1">
      <c r="A366" s="52">
        <f>IF(PRINT_SHEET!A366="","",PRINT_SHEET!A366)</f>
        <v/>
      </c>
      <c r="B366" s="53">
        <f>IF(PRINT_SHEET!B366="","",PRINT_SHEET!B366)</f>
        <v/>
      </c>
      <c r="C366" s="56">
        <f>IF(PRINT_SHEET!C366="","",PRINT_SHEET!C366)</f>
        <v/>
      </c>
      <c r="D366" s="56">
        <f>IF(PRINT_SHEET!D366="","",PRINT_SHEET!D366)</f>
        <v/>
      </c>
      <c r="E366" s="53">
        <f>IF(PRINT_SHEET!E366="","",PRINT_SHEET!E366)</f>
        <v/>
      </c>
      <c r="F366" s="52">
        <f>IF(PRINT_SHEET!F366="","",PRINT_SHEET!F366)</f>
        <v/>
      </c>
      <c r="G366" s="54">
        <f>IF(PRINT_SHEET!G366="","",PRINT_SHEET!G366)</f>
        <v/>
      </c>
      <c r="H366" s="54">
        <f>IF(PRINT_SHEET!H366="","",PRINT_SHEET!H366)</f>
        <v/>
      </c>
      <c r="I366" s="54">
        <f>IF(PRINT_SHEET!I366="","",PRINT_SHEET!I366)</f>
        <v/>
      </c>
      <c r="J366" s="53">
        <f>IFERROR(INDEX({"ادا شدہ","جزوی","بقایا"},MATCH(PRINT_SHEET!J366,{"PAID","PARTIAL","PENDING"},0)),PRINT_SHEET!J366)</f>
        <v/>
      </c>
      <c r="K366" s="55">
        <f>IF(PRINT_SHEET!K366="","",PRINT_SHEET!K366)</f>
        <v/>
      </c>
      <c r="L366" s="53">
        <f>IF(PRINT_SHEET!L366="","",PRINT_SHEET!L366)</f>
        <v/>
      </c>
    </row>
    <row r="367" ht="20" customHeight="1">
      <c r="A367" s="52">
        <f>IF(PRINT_SHEET!A367="","",PRINT_SHEET!A367)</f>
        <v/>
      </c>
      <c r="B367" s="53">
        <f>IF(PRINT_SHEET!B367="","",PRINT_SHEET!B367)</f>
        <v/>
      </c>
      <c r="C367" s="56">
        <f>IF(PRINT_SHEET!C367="","",PRINT_SHEET!C367)</f>
        <v/>
      </c>
      <c r="D367" s="56">
        <f>IF(PRINT_SHEET!D367="","",PRINT_SHEET!D367)</f>
        <v/>
      </c>
      <c r="E367" s="53">
        <f>IF(PRINT_SHEET!E367="","",PRINT_SHEET!E367)</f>
        <v/>
      </c>
      <c r="F367" s="52">
        <f>IF(PRINT_SHEET!F367="","",PRINT_SHEET!F367)</f>
        <v/>
      </c>
      <c r="G367" s="54">
        <f>IF(PRINT_SHEET!G367="","",PRINT_SHEET!G367)</f>
        <v/>
      </c>
      <c r="H367" s="54">
        <f>IF(PRINT_SHEET!H367="","",PRINT_SHEET!H367)</f>
        <v/>
      </c>
      <c r="I367" s="54">
        <f>IF(PRINT_SHEET!I367="","",PRINT_SHEET!I367)</f>
        <v/>
      </c>
      <c r="J367" s="53">
        <f>IFERROR(INDEX({"ادا شدہ","جزوی","بقایا"},MATCH(PRINT_SHEET!J367,{"PAID","PARTIAL","PENDING"},0)),PRINT_SHEET!J367)</f>
        <v/>
      </c>
      <c r="K367" s="55">
        <f>IF(PRINT_SHEET!K367="","",PRINT_SHEET!K367)</f>
        <v/>
      </c>
      <c r="L367" s="53">
        <f>IF(PRINT_SHEET!L367="","",PRINT_SHEET!L367)</f>
        <v/>
      </c>
    </row>
    <row r="368" ht="20" customHeight="1">
      <c r="A368" s="52">
        <f>IF(PRINT_SHEET!A368="","",PRINT_SHEET!A368)</f>
        <v/>
      </c>
      <c r="B368" s="53">
        <f>IF(PRINT_SHEET!B368="","",PRINT_SHEET!B368)</f>
        <v/>
      </c>
      <c r="C368" s="56">
        <f>IF(PRINT_SHEET!C368="","",PRINT_SHEET!C368)</f>
        <v/>
      </c>
      <c r="D368" s="56">
        <f>IF(PRINT_SHEET!D368="","",PRINT_SHEET!D368)</f>
        <v/>
      </c>
      <c r="E368" s="53">
        <f>IF(PRINT_SHEET!E368="","",PRINT_SHEET!E368)</f>
        <v/>
      </c>
      <c r="F368" s="52">
        <f>IF(PRINT_SHEET!F368="","",PRINT_SHEET!F368)</f>
        <v/>
      </c>
      <c r="G368" s="54">
        <f>IF(PRINT_SHEET!G368="","",PRINT_SHEET!G368)</f>
        <v/>
      </c>
      <c r="H368" s="54">
        <f>IF(PRINT_SHEET!H368="","",PRINT_SHEET!H368)</f>
        <v/>
      </c>
      <c r="I368" s="54">
        <f>IF(PRINT_SHEET!I368="","",PRINT_SHEET!I368)</f>
        <v/>
      </c>
      <c r="J368" s="53">
        <f>IFERROR(INDEX({"ادا شدہ","جزوی","بقایا"},MATCH(PRINT_SHEET!J368,{"PAID","PARTIAL","PENDING"},0)),PRINT_SHEET!J368)</f>
        <v/>
      </c>
      <c r="K368" s="55">
        <f>IF(PRINT_SHEET!K368="","",PRINT_SHEET!K368)</f>
        <v/>
      </c>
      <c r="L368" s="53">
        <f>IF(PRINT_SHEET!L368="","",PRINT_SHEET!L368)</f>
        <v/>
      </c>
    </row>
    <row r="369" ht="20" customHeight="1">
      <c r="A369" s="52">
        <f>IF(PRINT_SHEET!A369="","",PRINT_SHEET!A369)</f>
        <v/>
      </c>
      <c r="B369" s="53">
        <f>IF(PRINT_SHEET!B369="","",PRINT_SHEET!B369)</f>
        <v/>
      </c>
      <c r="C369" s="56">
        <f>IF(PRINT_SHEET!C369="","",PRINT_SHEET!C369)</f>
        <v/>
      </c>
      <c r="D369" s="56">
        <f>IF(PRINT_SHEET!D369="","",PRINT_SHEET!D369)</f>
        <v/>
      </c>
      <c r="E369" s="53">
        <f>IF(PRINT_SHEET!E369="","",PRINT_SHEET!E369)</f>
        <v/>
      </c>
      <c r="F369" s="52">
        <f>IF(PRINT_SHEET!F369="","",PRINT_SHEET!F369)</f>
        <v/>
      </c>
      <c r="G369" s="54">
        <f>IF(PRINT_SHEET!G369="","",PRINT_SHEET!G369)</f>
        <v/>
      </c>
      <c r="H369" s="54">
        <f>IF(PRINT_SHEET!H369="","",PRINT_SHEET!H369)</f>
        <v/>
      </c>
      <c r="I369" s="54">
        <f>IF(PRINT_SHEET!I369="","",PRINT_SHEET!I369)</f>
        <v/>
      </c>
      <c r="J369" s="53">
        <f>IFERROR(INDEX({"ادا شدہ","جزوی","بقایا"},MATCH(PRINT_SHEET!J369,{"PAID","PARTIAL","PENDING"},0)),PRINT_SHEET!J369)</f>
        <v/>
      </c>
      <c r="K369" s="55">
        <f>IF(PRINT_SHEET!K369="","",PRINT_SHEET!K369)</f>
        <v/>
      </c>
      <c r="L369" s="53">
        <f>IF(PRINT_SHEET!L369="","",PRINT_SHEET!L369)</f>
        <v/>
      </c>
    </row>
    <row r="370" ht="20" customHeight="1">
      <c r="A370" s="52">
        <f>IF(PRINT_SHEET!A370="","",PRINT_SHEET!A370)</f>
        <v/>
      </c>
      <c r="B370" s="53">
        <f>IF(PRINT_SHEET!B370="","",PRINT_SHEET!B370)</f>
        <v/>
      </c>
      <c r="C370" s="56">
        <f>IF(PRINT_SHEET!C370="","",PRINT_SHEET!C370)</f>
        <v/>
      </c>
      <c r="D370" s="56">
        <f>IF(PRINT_SHEET!D370="","",PRINT_SHEET!D370)</f>
        <v/>
      </c>
      <c r="E370" s="53">
        <f>IF(PRINT_SHEET!E370="","",PRINT_SHEET!E370)</f>
        <v/>
      </c>
      <c r="F370" s="52">
        <f>IF(PRINT_SHEET!F370="","",PRINT_SHEET!F370)</f>
        <v/>
      </c>
      <c r="G370" s="54">
        <f>IF(PRINT_SHEET!G370="","",PRINT_SHEET!G370)</f>
        <v/>
      </c>
      <c r="H370" s="54">
        <f>IF(PRINT_SHEET!H370="","",PRINT_SHEET!H370)</f>
        <v/>
      </c>
      <c r="I370" s="54">
        <f>IF(PRINT_SHEET!I370="","",PRINT_SHEET!I370)</f>
        <v/>
      </c>
      <c r="J370" s="53">
        <f>IFERROR(INDEX({"ادا شدہ","جزوی","بقایا"},MATCH(PRINT_SHEET!J370,{"PAID","PARTIAL","PENDING"},0)),PRINT_SHEET!J370)</f>
        <v/>
      </c>
      <c r="K370" s="55">
        <f>IF(PRINT_SHEET!K370="","",PRINT_SHEET!K370)</f>
        <v/>
      </c>
      <c r="L370" s="53">
        <f>IF(PRINT_SHEET!L370="","",PRINT_SHEET!L370)</f>
        <v/>
      </c>
    </row>
    <row r="371" ht="20" customHeight="1">
      <c r="A371" s="52">
        <f>IF(PRINT_SHEET!A371="","",PRINT_SHEET!A371)</f>
        <v/>
      </c>
      <c r="B371" s="53">
        <f>IF(PRINT_SHEET!B371="","",PRINT_SHEET!B371)</f>
        <v/>
      </c>
      <c r="C371" s="56">
        <f>IF(PRINT_SHEET!C371="","",PRINT_SHEET!C371)</f>
        <v/>
      </c>
      <c r="D371" s="56">
        <f>IF(PRINT_SHEET!D371="","",PRINT_SHEET!D371)</f>
        <v/>
      </c>
      <c r="E371" s="53">
        <f>IF(PRINT_SHEET!E371="","",PRINT_SHEET!E371)</f>
        <v/>
      </c>
      <c r="F371" s="52">
        <f>IF(PRINT_SHEET!F371="","",PRINT_SHEET!F371)</f>
        <v/>
      </c>
      <c r="G371" s="54">
        <f>IF(PRINT_SHEET!G371="","",PRINT_SHEET!G371)</f>
        <v/>
      </c>
      <c r="H371" s="54">
        <f>IF(PRINT_SHEET!H371="","",PRINT_SHEET!H371)</f>
        <v/>
      </c>
      <c r="I371" s="54">
        <f>IF(PRINT_SHEET!I371="","",PRINT_SHEET!I371)</f>
        <v/>
      </c>
      <c r="J371" s="53">
        <f>IFERROR(INDEX({"ادا شدہ","جزوی","بقایا"},MATCH(PRINT_SHEET!J371,{"PAID","PARTIAL","PENDING"},0)),PRINT_SHEET!J371)</f>
        <v/>
      </c>
      <c r="K371" s="55">
        <f>IF(PRINT_SHEET!K371="","",PRINT_SHEET!K371)</f>
        <v/>
      </c>
      <c r="L371" s="53">
        <f>IF(PRINT_SHEET!L371="","",PRINT_SHEET!L371)</f>
        <v/>
      </c>
    </row>
    <row r="372" ht="20" customHeight="1">
      <c r="A372" s="52">
        <f>IF(PRINT_SHEET!A372="","",PRINT_SHEET!A372)</f>
        <v/>
      </c>
      <c r="B372" s="53">
        <f>IF(PRINT_SHEET!B372="","",PRINT_SHEET!B372)</f>
        <v/>
      </c>
      <c r="C372" s="56">
        <f>IF(PRINT_SHEET!C372="","",PRINT_SHEET!C372)</f>
        <v/>
      </c>
      <c r="D372" s="56">
        <f>IF(PRINT_SHEET!D372="","",PRINT_SHEET!D372)</f>
        <v/>
      </c>
      <c r="E372" s="53">
        <f>IF(PRINT_SHEET!E372="","",PRINT_SHEET!E372)</f>
        <v/>
      </c>
      <c r="F372" s="52">
        <f>IF(PRINT_SHEET!F372="","",PRINT_SHEET!F372)</f>
        <v/>
      </c>
      <c r="G372" s="54">
        <f>IF(PRINT_SHEET!G372="","",PRINT_SHEET!G372)</f>
        <v/>
      </c>
      <c r="H372" s="54">
        <f>IF(PRINT_SHEET!H372="","",PRINT_SHEET!H372)</f>
        <v/>
      </c>
      <c r="I372" s="54">
        <f>IF(PRINT_SHEET!I372="","",PRINT_SHEET!I372)</f>
        <v/>
      </c>
      <c r="J372" s="53">
        <f>IFERROR(INDEX({"ادا شدہ","جزوی","بقایا"},MATCH(PRINT_SHEET!J372,{"PAID","PARTIAL","PENDING"},0)),PRINT_SHEET!J372)</f>
        <v/>
      </c>
      <c r="K372" s="55">
        <f>IF(PRINT_SHEET!K372="","",PRINT_SHEET!K372)</f>
        <v/>
      </c>
      <c r="L372" s="53">
        <f>IF(PRINT_SHEET!L372="","",PRINT_SHEET!L372)</f>
        <v/>
      </c>
    </row>
    <row r="373" ht="20" customHeight="1">
      <c r="A373" s="52">
        <f>IF(PRINT_SHEET!A373="","",PRINT_SHEET!A373)</f>
        <v/>
      </c>
      <c r="B373" s="53">
        <f>IF(PRINT_SHEET!B373="","",PRINT_SHEET!B373)</f>
        <v/>
      </c>
      <c r="C373" s="56">
        <f>IF(PRINT_SHEET!C373="","",PRINT_SHEET!C373)</f>
        <v/>
      </c>
      <c r="D373" s="56">
        <f>IF(PRINT_SHEET!D373="","",PRINT_SHEET!D373)</f>
        <v/>
      </c>
      <c r="E373" s="53">
        <f>IF(PRINT_SHEET!E373="","",PRINT_SHEET!E373)</f>
        <v/>
      </c>
      <c r="F373" s="52">
        <f>IF(PRINT_SHEET!F373="","",PRINT_SHEET!F373)</f>
        <v/>
      </c>
      <c r="G373" s="54">
        <f>IF(PRINT_SHEET!G373="","",PRINT_SHEET!G373)</f>
        <v/>
      </c>
      <c r="H373" s="54">
        <f>IF(PRINT_SHEET!H373="","",PRINT_SHEET!H373)</f>
        <v/>
      </c>
      <c r="I373" s="54">
        <f>IF(PRINT_SHEET!I373="","",PRINT_SHEET!I373)</f>
        <v/>
      </c>
      <c r="J373" s="53">
        <f>IFERROR(INDEX({"ادا شدہ","جزوی","بقایا"},MATCH(PRINT_SHEET!J373,{"PAID","PARTIAL","PENDING"},0)),PRINT_SHEET!J373)</f>
        <v/>
      </c>
      <c r="K373" s="55">
        <f>IF(PRINT_SHEET!K373="","",PRINT_SHEET!K373)</f>
        <v/>
      </c>
      <c r="L373" s="53">
        <f>IF(PRINT_SHEET!L373="","",PRINT_SHEET!L373)</f>
        <v/>
      </c>
    </row>
    <row r="374" ht="20" customHeight="1">
      <c r="A374" s="52">
        <f>IF(PRINT_SHEET!A374="","",PRINT_SHEET!A374)</f>
        <v/>
      </c>
      <c r="B374" s="53">
        <f>IF(PRINT_SHEET!B374="","",PRINT_SHEET!B374)</f>
        <v/>
      </c>
      <c r="C374" s="56">
        <f>IF(PRINT_SHEET!C374="","",PRINT_SHEET!C374)</f>
        <v/>
      </c>
      <c r="D374" s="56">
        <f>IF(PRINT_SHEET!D374="","",PRINT_SHEET!D374)</f>
        <v/>
      </c>
      <c r="E374" s="53">
        <f>IF(PRINT_SHEET!E374="","",PRINT_SHEET!E374)</f>
        <v/>
      </c>
      <c r="F374" s="52">
        <f>IF(PRINT_SHEET!F374="","",PRINT_SHEET!F374)</f>
        <v/>
      </c>
      <c r="G374" s="54">
        <f>IF(PRINT_SHEET!G374="","",PRINT_SHEET!G374)</f>
        <v/>
      </c>
      <c r="H374" s="54">
        <f>IF(PRINT_SHEET!H374="","",PRINT_SHEET!H374)</f>
        <v/>
      </c>
      <c r="I374" s="54">
        <f>IF(PRINT_SHEET!I374="","",PRINT_SHEET!I374)</f>
        <v/>
      </c>
      <c r="J374" s="53">
        <f>IFERROR(INDEX({"ادا شدہ","جزوی","بقایا"},MATCH(PRINT_SHEET!J374,{"PAID","PARTIAL","PENDING"},0)),PRINT_SHEET!J374)</f>
        <v/>
      </c>
      <c r="K374" s="55">
        <f>IF(PRINT_SHEET!K374="","",PRINT_SHEET!K374)</f>
        <v/>
      </c>
      <c r="L374" s="53">
        <f>IF(PRINT_SHEET!L374="","",PRINT_SHEET!L374)</f>
        <v/>
      </c>
    </row>
    <row r="375" ht="20" customHeight="1">
      <c r="A375" s="52">
        <f>IF(PRINT_SHEET!A375="","",PRINT_SHEET!A375)</f>
        <v/>
      </c>
      <c r="B375" s="53">
        <f>IF(PRINT_SHEET!B375="","",PRINT_SHEET!B375)</f>
        <v/>
      </c>
      <c r="C375" s="56">
        <f>IF(PRINT_SHEET!C375="","",PRINT_SHEET!C375)</f>
        <v/>
      </c>
      <c r="D375" s="56">
        <f>IF(PRINT_SHEET!D375="","",PRINT_SHEET!D375)</f>
        <v/>
      </c>
      <c r="E375" s="53">
        <f>IF(PRINT_SHEET!E375="","",PRINT_SHEET!E375)</f>
        <v/>
      </c>
      <c r="F375" s="52">
        <f>IF(PRINT_SHEET!F375="","",PRINT_SHEET!F375)</f>
        <v/>
      </c>
      <c r="G375" s="54">
        <f>IF(PRINT_SHEET!G375="","",PRINT_SHEET!G375)</f>
        <v/>
      </c>
      <c r="H375" s="54">
        <f>IF(PRINT_SHEET!H375="","",PRINT_SHEET!H375)</f>
        <v/>
      </c>
      <c r="I375" s="54">
        <f>IF(PRINT_SHEET!I375="","",PRINT_SHEET!I375)</f>
        <v/>
      </c>
      <c r="J375" s="53">
        <f>IFERROR(INDEX({"ادا شدہ","جزوی","بقایا"},MATCH(PRINT_SHEET!J375,{"PAID","PARTIAL","PENDING"},0)),PRINT_SHEET!J375)</f>
        <v/>
      </c>
      <c r="K375" s="55">
        <f>IF(PRINT_SHEET!K375="","",PRINT_SHEET!K375)</f>
        <v/>
      </c>
      <c r="L375" s="53">
        <f>IF(PRINT_SHEET!L375="","",PRINT_SHEET!L375)</f>
        <v/>
      </c>
    </row>
    <row r="376" ht="20" customHeight="1">
      <c r="A376" s="52">
        <f>IF(PRINT_SHEET!A376="","",PRINT_SHEET!A376)</f>
        <v/>
      </c>
      <c r="B376" s="53">
        <f>IF(PRINT_SHEET!B376="","",PRINT_SHEET!B376)</f>
        <v/>
      </c>
      <c r="C376" s="56">
        <f>IF(PRINT_SHEET!C376="","",PRINT_SHEET!C376)</f>
        <v/>
      </c>
      <c r="D376" s="56">
        <f>IF(PRINT_SHEET!D376="","",PRINT_SHEET!D376)</f>
        <v/>
      </c>
      <c r="E376" s="53">
        <f>IF(PRINT_SHEET!E376="","",PRINT_SHEET!E376)</f>
        <v/>
      </c>
      <c r="F376" s="52">
        <f>IF(PRINT_SHEET!F376="","",PRINT_SHEET!F376)</f>
        <v/>
      </c>
      <c r="G376" s="54">
        <f>IF(PRINT_SHEET!G376="","",PRINT_SHEET!G376)</f>
        <v/>
      </c>
      <c r="H376" s="54">
        <f>IF(PRINT_SHEET!H376="","",PRINT_SHEET!H376)</f>
        <v/>
      </c>
      <c r="I376" s="54">
        <f>IF(PRINT_SHEET!I376="","",PRINT_SHEET!I376)</f>
        <v/>
      </c>
      <c r="J376" s="53">
        <f>IFERROR(INDEX({"ادا شدہ","جزوی","بقایا"},MATCH(PRINT_SHEET!J376,{"PAID","PARTIAL","PENDING"},0)),PRINT_SHEET!J376)</f>
        <v/>
      </c>
      <c r="K376" s="55">
        <f>IF(PRINT_SHEET!K376="","",PRINT_SHEET!K376)</f>
        <v/>
      </c>
      <c r="L376" s="53">
        <f>IF(PRINT_SHEET!L376="","",PRINT_SHEET!L376)</f>
        <v/>
      </c>
    </row>
    <row r="377" ht="20" customHeight="1">
      <c r="A377" s="52">
        <f>IF(PRINT_SHEET!A377="","",PRINT_SHEET!A377)</f>
        <v/>
      </c>
      <c r="B377" s="53">
        <f>IF(PRINT_SHEET!B377="","",PRINT_SHEET!B377)</f>
        <v/>
      </c>
      <c r="C377" s="56">
        <f>IF(PRINT_SHEET!C377="","",PRINT_SHEET!C377)</f>
        <v/>
      </c>
      <c r="D377" s="56">
        <f>IF(PRINT_SHEET!D377="","",PRINT_SHEET!D377)</f>
        <v/>
      </c>
      <c r="E377" s="53">
        <f>IF(PRINT_SHEET!E377="","",PRINT_SHEET!E377)</f>
        <v/>
      </c>
      <c r="F377" s="52">
        <f>IF(PRINT_SHEET!F377="","",PRINT_SHEET!F377)</f>
        <v/>
      </c>
      <c r="G377" s="54">
        <f>IF(PRINT_SHEET!G377="","",PRINT_SHEET!G377)</f>
        <v/>
      </c>
      <c r="H377" s="54">
        <f>IF(PRINT_SHEET!H377="","",PRINT_SHEET!H377)</f>
        <v/>
      </c>
      <c r="I377" s="54">
        <f>IF(PRINT_SHEET!I377="","",PRINT_SHEET!I377)</f>
        <v/>
      </c>
      <c r="J377" s="53">
        <f>IFERROR(INDEX({"ادا شدہ","جزوی","بقایا"},MATCH(PRINT_SHEET!J377,{"PAID","PARTIAL","PENDING"},0)),PRINT_SHEET!J377)</f>
        <v/>
      </c>
      <c r="K377" s="55">
        <f>IF(PRINT_SHEET!K377="","",PRINT_SHEET!K377)</f>
        <v/>
      </c>
      <c r="L377" s="53">
        <f>IF(PRINT_SHEET!L377="","",PRINT_SHEET!L377)</f>
        <v/>
      </c>
    </row>
    <row r="378" ht="20" customHeight="1">
      <c r="A378" s="52">
        <f>IF(PRINT_SHEET!A378="","",PRINT_SHEET!A378)</f>
        <v/>
      </c>
      <c r="B378" s="53">
        <f>IF(PRINT_SHEET!B378="","",PRINT_SHEET!B378)</f>
        <v/>
      </c>
      <c r="C378" s="56">
        <f>IF(PRINT_SHEET!C378="","",PRINT_SHEET!C378)</f>
        <v/>
      </c>
      <c r="D378" s="56">
        <f>IF(PRINT_SHEET!D378="","",PRINT_SHEET!D378)</f>
        <v/>
      </c>
      <c r="E378" s="53">
        <f>IF(PRINT_SHEET!E378="","",PRINT_SHEET!E378)</f>
        <v/>
      </c>
      <c r="F378" s="52">
        <f>IF(PRINT_SHEET!F378="","",PRINT_SHEET!F378)</f>
        <v/>
      </c>
      <c r="G378" s="54">
        <f>IF(PRINT_SHEET!G378="","",PRINT_SHEET!G378)</f>
        <v/>
      </c>
      <c r="H378" s="54">
        <f>IF(PRINT_SHEET!H378="","",PRINT_SHEET!H378)</f>
        <v/>
      </c>
      <c r="I378" s="54">
        <f>IF(PRINT_SHEET!I378="","",PRINT_SHEET!I378)</f>
        <v/>
      </c>
      <c r="J378" s="53">
        <f>IFERROR(INDEX({"ادا شدہ","جزوی","بقایا"},MATCH(PRINT_SHEET!J378,{"PAID","PARTIAL","PENDING"},0)),PRINT_SHEET!J378)</f>
        <v/>
      </c>
      <c r="K378" s="55">
        <f>IF(PRINT_SHEET!K378="","",PRINT_SHEET!K378)</f>
        <v/>
      </c>
      <c r="L378" s="53">
        <f>IF(PRINT_SHEET!L378="","",PRINT_SHEET!L378)</f>
        <v/>
      </c>
    </row>
    <row r="379" ht="20" customHeight="1">
      <c r="A379" s="52">
        <f>IF(PRINT_SHEET!A379="","",PRINT_SHEET!A379)</f>
        <v/>
      </c>
      <c r="B379" s="53">
        <f>IF(PRINT_SHEET!B379="","",PRINT_SHEET!B379)</f>
        <v/>
      </c>
      <c r="C379" s="56">
        <f>IF(PRINT_SHEET!C379="","",PRINT_SHEET!C379)</f>
        <v/>
      </c>
      <c r="D379" s="56">
        <f>IF(PRINT_SHEET!D379="","",PRINT_SHEET!D379)</f>
        <v/>
      </c>
      <c r="E379" s="53">
        <f>IF(PRINT_SHEET!E379="","",PRINT_SHEET!E379)</f>
        <v/>
      </c>
      <c r="F379" s="52">
        <f>IF(PRINT_SHEET!F379="","",PRINT_SHEET!F379)</f>
        <v/>
      </c>
      <c r="G379" s="54">
        <f>IF(PRINT_SHEET!G379="","",PRINT_SHEET!G379)</f>
        <v/>
      </c>
      <c r="H379" s="54">
        <f>IF(PRINT_SHEET!H379="","",PRINT_SHEET!H379)</f>
        <v/>
      </c>
      <c r="I379" s="54">
        <f>IF(PRINT_SHEET!I379="","",PRINT_SHEET!I379)</f>
        <v/>
      </c>
      <c r="J379" s="53">
        <f>IFERROR(INDEX({"ادا شدہ","جزوی","بقایا"},MATCH(PRINT_SHEET!J379,{"PAID","PARTIAL","PENDING"},0)),PRINT_SHEET!J379)</f>
        <v/>
      </c>
      <c r="K379" s="55">
        <f>IF(PRINT_SHEET!K379="","",PRINT_SHEET!K379)</f>
        <v/>
      </c>
      <c r="L379" s="53">
        <f>IF(PRINT_SHEET!L379="","",PRINT_SHEET!L379)</f>
        <v/>
      </c>
    </row>
    <row r="380" ht="20" customHeight="1">
      <c r="A380" s="52">
        <f>IF(PRINT_SHEET!A380="","",PRINT_SHEET!A380)</f>
        <v/>
      </c>
      <c r="B380" s="53">
        <f>IF(PRINT_SHEET!B380="","",PRINT_SHEET!B380)</f>
        <v/>
      </c>
      <c r="C380" s="56">
        <f>IF(PRINT_SHEET!C380="","",PRINT_SHEET!C380)</f>
        <v/>
      </c>
      <c r="D380" s="56">
        <f>IF(PRINT_SHEET!D380="","",PRINT_SHEET!D380)</f>
        <v/>
      </c>
      <c r="E380" s="53">
        <f>IF(PRINT_SHEET!E380="","",PRINT_SHEET!E380)</f>
        <v/>
      </c>
      <c r="F380" s="52">
        <f>IF(PRINT_SHEET!F380="","",PRINT_SHEET!F380)</f>
        <v/>
      </c>
      <c r="G380" s="54">
        <f>IF(PRINT_SHEET!G380="","",PRINT_SHEET!G380)</f>
        <v/>
      </c>
      <c r="H380" s="54">
        <f>IF(PRINT_SHEET!H380="","",PRINT_SHEET!H380)</f>
        <v/>
      </c>
      <c r="I380" s="54">
        <f>IF(PRINT_SHEET!I380="","",PRINT_SHEET!I380)</f>
        <v/>
      </c>
      <c r="J380" s="53">
        <f>IFERROR(INDEX({"ادا شدہ","جزوی","بقایا"},MATCH(PRINT_SHEET!J380,{"PAID","PARTIAL","PENDING"},0)),PRINT_SHEET!J380)</f>
        <v/>
      </c>
      <c r="K380" s="55">
        <f>IF(PRINT_SHEET!K380="","",PRINT_SHEET!K380)</f>
        <v/>
      </c>
      <c r="L380" s="53">
        <f>IF(PRINT_SHEET!L380="","",PRINT_SHEET!L380)</f>
        <v/>
      </c>
    </row>
    <row r="381" ht="20" customHeight="1">
      <c r="A381" s="52">
        <f>IF(PRINT_SHEET!A381="","",PRINT_SHEET!A381)</f>
        <v/>
      </c>
      <c r="B381" s="53">
        <f>IF(PRINT_SHEET!B381="","",PRINT_SHEET!B381)</f>
        <v/>
      </c>
      <c r="C381" s="56">
        <f>IF(PRINT_SHEET!C381="","",PRINT_SHEET!C381)</f>
        <v/>
      </c>
      <c r="D381" s="56">
        <f>IF(PRINT_SHEET!D381="","",PRINT_SHEET!D381)</f>
        <v/>
      </c>
      <c r="E381" s="53">
        <f>IF(PRINT_SHEET!E381="","",PRINT_SHEET!E381)</f>
        <v/>
      </c>
      <c r="F381" s="52">
        <f>IF(PRINT_SHEET!F381="","",PRINT_SHEET!F381)</f>
        <v/>
      </c>
      <c r="G381" s="54">
        <f>IF(PRINT_SHEET!G381="","",PRINT_SHEET!G381)</f>
        <v/>
      </c>
      <c r="H381" s="54">
        <f>IF(PRINT_SHEET!H381="","",PRINT_SHEET!H381)</f>
        <v/>
      </c>
      <c r="I381" s="54">
        <f>IF(PRINT_SHEET!I381="","",PRINT_SHEET!I381)</f>
        <v/>
      </c>
      <c r="J381" s="53">
        <f>IFERROR(INDEX({"ادا شدہ","جزوی","بقایا"},MATCH(PRINT_SHEET!J381,{"PAID","PARTIAL","PENDING"},0)),PRINT_SHEET!J381)</f>
        <v/>
      </c>
      <c r="K381" s="55">
        <f>IF(PRINT_SHEET!K381="","",PRINT_SHEET!K381)</f>
        <v/>
      </c>
      <c r="L381" s="53">
        <f>IF(PRINT_SHEET!L381="","",PRINT_SHEET!L381)</f>
        <v/>
      </c>
    </row>
    <row r="382" ht="20" customHeight="1">
      <c r="A382" s="52">
        <f>IF(PRINT_SHEET!A382="","",PRINT_SHEET!A382)</f>
        <v/>
      </c>
      <c r="B382" s="53">
        <f>IF(PRINT_SHEET!B382="","",PRINT_SHEET!B382)</f>
        <v/>
      </c>
      <c r="C382" s="56">
        <f>IF(PRINT_SHEET!C382="","",PRINT_SHEET!C382)</f>
        <v/>
      </c>
      <c r="D382" s="56">
        <f>IF(PRINT_SHEET!D382="","",PRINT_SHEET!D382)</f>
        <v/>
      </c>
      <c r="E382" s="53">
        <f>IF(PRINT_SHEET!E382="","",PRINT_SHEET!E382)</f>
        <v/>
      </c>
      <c r="F382" s="52">
        <f>IF(PRINT_SHEET!F382="","",PRINT_SHEET!F382)</f>
        <v/>
      </c>
      <c r="G382" s="54">
        <f>IF(PRINT_SHEET!G382="","",PRINT_SHEET!G382)</f>
        <v/>
      </c>
      <c r="H382" s="54">
        <f>IF(PRINT_SHEET!H382="","",PRINT_SHEET!H382)</f>
        <v/>
      </c>
      <c r="I382" s="54">
        <f>IF(PRINT_SHEET!I382="","",PRINT_SHEET!I382)</f>
        <v/>
      </c>
      <c r="J382" s="53">
        <f>IFERROR(INDEX({"ادا شدہ","جزوی","بقایا"},MATCH(PRINT_SHEET!J382,{"PAID","PARTIAL","PENDING"},0)),PRINT_SHEET!J382)</f>
        <v/>
      </c>
      <c r="K382" s="55">
        <f>IF(PRINT_SHEET!K382="","",PRINT_SHEET!K382)</f>
        <v/>
      </c>
      <c r="L382" s="53">
        <f>IF(PRINT_SHEET!L382="","",PRINT_SHEET!L382)</f>
        <v/>
      </c>
    </row>
    <row r="383" ht="20" customHeight="1">
      <c r="A383" s="52">
        <f>IF(PRINT_SHEET!A383="","",PRINT_SHEET!A383)</f>
        <v/>
      </c>
      <c r="B383" s="53">
        <f>IF(PRINT_SHEET!B383="","",PRINT_SHEET!B383)</f>
        <v/>
      </c>
      <c r="C383" s="56">
        <f>IF(PRINT_SHEET!C383="","",PRINT_SHEET!C383)</f>
        <v/>
      </c>
      <c r="D383" s="56">
        <f>IF(PRINT_SHEET!D383="","",PRINT_SHEET!D383)</f>
        <v/>
      </c>
      <c r="E383" s="53">
        <f>IF(PRINT_SHEET!E383="","",PRINT_SHEET!E383)</f>
        <v/>
      </c>
      <c r="F383" s="52">
        <f>IF(PRINT_SHEET!F383="","",PRINT_SHEET!F383)</f>
        <v/>
      </c>
      <c r="G383" s="54">
        <f>IF(PRINT_SHEET!G383="","",PRINT_SHEET!G383)</f>
        <v/>
      </c>
      <c r="H383" s="54">
        <f>IF(PRINT_SHEET!H383="","",PRINT_SHEET!H383)</f>
        <v/>
      </c>
      <c r="I383" s="54">
        <f>IF(PRINT_SHEET!I383="","",PRINT_SHEET!I383)</f>
        <v/>
      </c>
      <c r="J383" s="53">
        <f>IFERROR(INDEX({"ادا شدہ","جزوی","بقایا"},MATCH(PRINT_SHEET!J383,{"PAID","PARTIAL","PENDING"},0)),PRINT_SHEET!J383)</f>
        <v/>
      </c>
      <c r="K383" s="55">
        <f>IF(PRINT_SHEET!K383="","",PRINT_SHEET!K383)</f>
        <v/>
      </c>
      <c r="L383" s="53">
        <f>IF(PRINT_SHEET!L383="","",PRINT_SHEET!L383)</f>
        <v/>
      </c>
    </row>
    <row r="384" ht="20" customHeight="1">
      <c r="A384" s="52">
        <f>IF(PRINT_SHEET!A384="","",PRINT_SHEET!A384)</f>
        <v/>
      </c>
      <c r="B384" s="53">
        <f>IF(PRINT_SHEET!B384="","",PRINT_SHEET!B384)</f>
        <v/>
      </c>
      <c r="C384" s="56">
        <f>IF(PRINT_SHEET!C384="","",PRINT_SHEET!C384)</f>
        <v/>
      </c>
      <c r="D384" s="56">
        <f>IF(PRINT_SHEET!D384="","",PRINT_SHEET!D384)</f>
        <v/>
      </c>
      <c r="E384" s="53">
        <f>IF(PRINT_SHEET!E384="","",PRINT_SHEET!E384)</f>
        <v/>
      </c>
      <c r="F384" s="52">
        <f>IF(PRINT_SHEET!F384="","",PRINT_SHEET!F384)</f>
        <v/>
      </c>
      <c r="G384" s="54">
        <f>IF(PRINT_SHEET!G384="","",PRINT_SHEET!G384)</f>
        <v/>
      </c>
      <c r="H384" s="54">
        <f>IF(PRINT_SHEET!H384="","",PRINT_SHEET!H384)</f>
        <v/>
      </c>
      <c r="I384" s="54">
        <f>IF(PRINT_SHEET!I384="","",PRINT_SHEET!I384)</f>
        <v/>
      </c>
      <c r="J384" s="53">
        <f>IFERROR(INDEX({"ادا شدہ","جزوی","بقایا"},MATCH(PRINT_SHEET!J384,{"PAID","PARTIAL","PENDING"},0)),PRINT_SHEET!J384)</f>
        <v/>
      </c>
      <c r="K384" s="55">
        <f>IF(PRINT_SHEET!K384="","",PRINT_SHEET!K384)</f>
        <v/>
      </c>
      <c r="L384" s="53">
        <f>IF(PRINT_SHEET!L384="","",PRINT_SHEET!L384)</f>
        <v/>
      </c>
    </row>
    <row r="385" ht="20" customHeight="1">
      <c r="A385" s="52">
        <f>IF(PRINT_SHEET!A385="","",PRINT_SHEET!A385)</f>
        <v/>
      </c>
      <c r="B385" s="53">
        <f>IF(PRINT_SHEET!B385="","",PRINT_SHEET!B385)</f>
        <v/>
      </c>
      <c r="C385" s="56">
        <f>IF(PRINT_SHEET!C385="","",PRINT_SHEET!C385)</f>
        <v/>
      </c>
      <c r="D385" s="56">
        <f>IF(PRINT_SHEET!D385="","",PRINT_SHEET!D385)</f>
        <v/>
      </c>
      <c r="E385" s="53">
        <f>IF(PRINT_SHEET!E385="","",PRINT_SHEET!E385)</f>
        <v/>
      </c>
      <c r="F385" s="52">
        <f>IF(PRINT_SHEET!F385="","",PRINT_SHEET!F385)</f>
        <v/>
      </c>
      <c r="G385" s="54">
        <f>IF(PRINT_SHEET!G385="","",PRINT_SHEET!G385)</f>
        <v/>
      </c>
      <c r="H385" s="54">
        <f>IF(PRINT_SHEET!H385="","",PRINT_SHEET!H385)</f>
        <v/>
      </c>
      <c r="I385" s="54">
        <f>IF(PRINT_SHEET!I385="","",PRINT_SHEET!I385)</f>
        <v/>
      </c>
      <c r="J385" s="53">
        <f>IFERROR(INDEX({"ادا شدہ","جزوی","بقایا"},MATCH(PRINT_SHEET!J385,{"PAID","PARTIAL","PENDING"},0)),PRINT_SHEET!J385)</f>
        <v/>
      </c>
      <c r="K385" s="55">
        <f>IF(PRINT_SHEET!K385="","",PRINT_SHEET!K385)</f>
        <v/>
      </c>
      <c r="L385" s="53">
        <f>IF(PRINT_SHEET!L385="","",PRINT_SHEET!L385)</f>
        <v/>
      </c>
    </row>
    <row r="386" ht="20" customHeight="1">
      <c r="A386" s="52">
        <f>IF(PRINT_SHEET!A386="","",PRINT_SHEET!A386)</f>
        <v/>
      </c>
      <c r="B386" s="53">
        <f>IF(PRINT_SHEET!B386="","",PRINT_SHEET!B386)</f>
        <v/>
      </c>
      <c r="C386" s="56">
        <f>IF(PRINT_SHEET!C386="","",PRINT_SHEET!C386)</f>
        <v/>
      </c>
      <c r="D386" s="56">
        <f>IF(PRINT_SHEET!D386="","",PRINT_SHEET!D386)</f>
        <v/>
      </c>
      <c r="E386" s="53">
        <f>IF(PRINT_SHEET!E386="","",PRINT_SHEET!E386)</f>
        <v/>
      </c>
      <c r="F386" s="52">
        <f>IF(PRINT_SHEET!F386="","",PRINT_SHEET!F386)</f>
        <v/>
      </c>
      <c r="G386" s="54">
        <f>IF(PRINT_SHEET!G386="","",PRINT_SHEET!G386)</f>
        <v/>
      </c>
      <c r="H386" s="54">
        <f>IF(PRINT_SHEET!H386="","",PRINT_SHEET!H386)</f>
        <v/>
      </c>
      <c r="I386" s="54">
        <f>IF(PRINT_SHEET!I386="","",PRINT_SHEET!I386)</f>
        <v/>
      </c>
      <c r="J386" s="53">
        <f>IFERROR(INDEX({"ادا شدہ","جزوی","بقایا"},MATCH(PRINT_SHEET!J386,{"PAID","PARTIAL","PENDING"},0)),PRINT_SHEET!J386)</f>
        <v/>
      </c>
      <c r="K386" s="55">
        <f>IF(PRINT_SHEET!K386="","",PRINT_SHEET!K386)</f>
        <v/>
      </c>
      <c r="L386" s="53">
        <f>IF(PRINT_SHEET!L386="","",PRINT_SHEET!L386)</f>
        <v/>
      </c>
    </row>
    <row r="387" ht="20" customHeight="1">
      <c r="A387" s="52">
        <f>IF(PRINT_SHEET!A387="","",PRINT_SHEET!A387)</f>
        <v/>
      </c>
      <c r="B387" s="53">
        <f>IF(PRINT_SHEET!B387="","",PRINT_SHEET!B387)</f>
        <v/>
      </c>
      <c r="C387" s="56">
        <f>IF(PRINT_SHEET!C387="","",PRINT_SHEET!C387)</f>
        <v/>
      </c>
      <c r="D387" s="56">
        <f>IF(PRINT_SHEET!D387="","",PRINT_SHEET!D387)</f>
        <v/>
      </c>
      <c r="E387" s="53">
        <f>IF(PRINT_SHEET!E387="","",PRINT_SHEET!E387)</f>
        <v/>
      </c>
      <c r="F387" s="52">
        <f>IF(PRINT_SHEET!F387="","",PRINT_SHEET!F387)</f>
        <v/>
      </c>
      <c r="G387" s="54">
        <f>IF(PRINT_SHEET!G387="","",PRINT_SHEET!G387)</f>
        <v/>
      </c>
      <c r="H387" s="54">
        <f>IF(PRINT_SHEET!H387="","",PRINT_SHEET!H387)</f>
        <v/>
      </c>
      <c r="I387" s="54">
        <f>IF(PRINT_SHEET!I387="","",PRINT_SHEET!I387)</f>
        <v/>
      </c>
      <c r="J387" s="53">
        <f>IFERROR(INDEX({"ادا شدہ","جزوی","بقایا"},MATCH(PRINT_SHEET!J387,{"PAID","PARTIAL","PENDING"},0)),PRINT_SHEET!J387)</f>
        <v/>
      </c>
      <c r="K387" s="55">
        <f>IF(PRINT_SHEET!K387="","",PRINT_SHEET!K387)</f>
        <v/>
      </c>
      <c r="L387" s="53">
        <f>IF(PRINT_SHEET!L387="","",PRINT_SHEET!L387)</f>
        <v/>
      </c>
    </row>
    <row r="388" ht="20" customHeight="1">
      <c r="A388" s="52">
        <f>IF(PRINT_SHEET!A388="","",PRINT_SHEET!A388)</f>
        <v/>
      </c>
      <c r="B388" s="53">
        <f>IF(PRINT_SHEET!B388="","",PRINT_SHEET!B388)</f>
        <v/>
      </c>
      <c r="C388" s="56">
        <f>IF(PRINT_SHEET!C388="","",PRINT_SHEET!C388)</f>
        <v/>
      </c>
      <c r="D388" s="56">
        <f>IF(PRINT_SHEET!D388="","",PRINT_SHEET!D388)</f>
        <v/>
      </c>
      <c r="E388" s="53">
        <f>IF(PRINT_SHEET!E388="","",PRINT_SHEET!E388)</f>
        <v/>
      </c>
      <c r="F388" s="52">
        <f>IF(PRINT_SHEET!F388="","",PRINT_SHEET!F388)</f>
        <v/>
      </c>
      <c r="G388" s="54">
        <f>IF(PRINT_SHEET!G388="","",PRINT_SHEET!G388)</f>
        <v/>
      </c>
      <c r="H388" s="54">
        <f>IF(PRINT_SHEET!H388="","",PRINT_SHEET!H388)</f>
        <v/>
      </c>
      <c r="I388" s="54">
        <f>IF(PRINT_SHEET!I388="","",PRINT_SHEET!I388)</f>
        <v/>
      </c>
      <c r="J388" s="53">
        <f>IFERROR(INDEX({"ادا شدہ","جزوی","بقایا"},MATCH(PRINT_SHEET!J388,{"PAID","PARTIAL","PENDING"},0)),PRINT_SHEET!J388)</f>
        <v/>
      </c>
      <c r="K388" s="55">
        <f>IF(PRINT_SHEET!K388="","",PRINT_SHEET!K388)</f>
        <v/>
      </c>
      <c r="L388" s="53">
        <f>IF(PRINT_SHEET!L388="","",PRINT_SHEET!L388)</f>
        <v/>
      </c>
    </row>
    <row r="389" ht="20" customHeight="1">
      <c r="A389" s="52">
        <f>IF(PRINT_SHEET!A389="","",PRINT_SHEET!A389)</f>
        <v/>
      </c>
      <c r="B389" s="53">
        <f>IF(PRINT_SHEET!B389="","",PRINT_SHEET!B389)</f>
        <v/>
      </c>
      <c r="C389" s="56">
        <f>IF(PRINT_SHEET!C389="","",PRINT_SHEET!C389)</f>
        <v/>
      </c>
      <c r="D389" s="56">
        <f>IF(PRINT_SHEET!D389="","",PRINT_SHEET!D389)</f>
        <v/>
      </c>
      <c r="E389" s="53">
        <f>IF(PRINT_SHEET!E389="","",PRINT_SHEET!E389)</f>
        <v/>
      </c>
      <c r="F389" s="52">
        <f>IF(PRINT_SHEET!F389="","",PRINT_SHEET!F389)</f>
        <v/>
      </c>
      <c r="G389" s="54">
        <f>IF(PRINT_SHEET!G389="","",PRINT_SHEET!G389)</f>
        <v/>
      </c>
      <c r="H389" s="54">
        <f>IF(PRINT_SHEET!H389="","",PRINT_SHEET!H389)</f>
        <v/>
      </c>
      <c r="I389" s="54">
        <f>IF(PRINT_SHEET!I389="","",PRINT_SHEET!I389)</f>
        <v/>
      </c>
      <c r="J389" s="53">
        <f>IFERROR(INDEX({"ادا شدہ","جزوی","بقایا"},MATCH(PRINT_SHEET!J389,{"PAID","PARTIAL","PENDING"},0)),PRINT_SHEET!J389)</f>
        <v/>
      </c>
      <c r="K389" s="55">
        <f>IF(PRINT_SHEET!K389="","",PRINT_SHEET!K389)</f>
        <v/>
      </c>
      <c r="L389" s="53">
        <f>IF(PRINT_SHEET!L389="","",PRINT_SHEET!L389)</f>
        <v/>
      </c>
    </row>
    <row r="390" ht="20" customHeight="1">
      <c r="A390" s="52">
        <f>IF(PRINT_SHEET!A390="","",PRINT_SHEET!A390)</f>
        <v/>
      </c>
      <c r="B390" s="53">
        <f>IF(PRINT_SHEET!B390="","",PRINT_SHEET!B390)</f>
        <v/>
      </c>
      <c r="C390" s="56">
        <f>IF(PRINT_SHEET!C390="","",PRINT_SHEET!C390)</f>
        <v/>
      </c>
      <c r="D390" s="56">
        <f>IF(PRINT_SHEET!D390="","",PRINT_SHEET!D390)</f>
        <v/>
      </c>
      <c r="E390" s="53">
        <f>IF(PRINT_SHEET!E390="","",PRINT_SHEET!E390)</f>
        <v/>
      </c>
      <c r="F390" s="52">
        <f>IF(PRINT_SHEET!F390="","",PRINT_SHEET!F390)</f>
        <v/>
      </c>
      <c r="G390" s="54">
        <f>IF(PRINT_SHEET!G390="","",PRINT_SHEET!G390)</f>
        <v/>
      </c>
      <c r="H390" s="54">
        <f>IF(PRINT_SHEET!H390="","",PRINT_SHEET!H390)</f>
        <v/>
      </c>
      <c r="I390" s="54">
        <f>IF(PRINT_SHEET!I390="","",PRINT_SHEET!I390)</f>
        <v/>
      </c>
      <c r="J390" s="53">
        <f>IFERROR(INDEX({"ادا شدہ","جزوی","بقایا"},MATCH(PRINT_SHEET!J390,{"PAID","PARTIAL","PENDING"},0)),PRINT_SHEET!J390)</f>
        <v/>
      </c>
      <c r="K390" s="55">
        <f>IF(PRINT_SHEET!K390="","",PRINT_SHEET!K390)</f>
        <v/>
      </c>
      <c r="L390" s="53">
        <f>IF(PRINT_SHEET!L390="","",PRINT_SHEET!L390)</f>
        <v/>
      </c>
    </row>
    <row r="391" ht="20" customHeight="1">
      <c r="A391" s="52">
        <f>IF(PRINT_SHEET!A391="","",PRINT_SHEET!A391)</f>
        <v/>
      </c>
      <c r="B391" s="53">
        <f>IF(PRINT_SHEET!B391="","",PRINT_SHEET!B391)</f>
        <v/>
      </c>
      <c r="C391" s="56">
        <f>IF(PRINT_SHEET!C391="","",PRINT_SHEET!C391)</f>
        <v/>
      </c>
      <c r="D391" s="56">
        <f>IF(PRINT_SHEET!D391="","",PRINT_SHEET!D391)</f>
        <v/>
      </c>
      <c r="E391" s="53">
        <f>IF(PRINT_SHEET!E391="","",PRINT_SHEET!E391)</f>
        <v/>
      </c>
      <c r="F391" s="52">
        <f>IF(PRINT_SHEET!F391="","",PRINT_SHEET!F391)</f>
        <v/>
      </c>
      <c r="G391" s="54">
        <f>IF(PRINT_SHEET!G391="","",PRINT_SHEET!G391)</f>
        <v/>
      </c>
      <c r="H391" s="54">
        <f>IF(PRINT_SHEET!H391="","",PRINT_SHEET!H391)</f>
        <v/>
      </c>
      <c r="I391" s="54">
        <f>IF(PRINT_SHEET!I391="","",PRINT_SHEET!I391)</f>
        <v/>
      </c>
      <c r="J391" s="53">
        <f>IFERROR(INDEX({"ادا شدہ","جزوی","بقایا"},MATCH(PRINT_SHEET!J391,{"PAID","PARTIAL","PENDING"},0)),PRINT_SHEET!J391)</f>
        <v/>
      </c>
      <c r="K391" s="55">
        <f>IF(PRINT_SHEET!K391="","",PRINT_SHEET!K391)</f>
        <v/>
      </c>
      <c r="L391" s="53">
        <f>IF(PRINT_SHEET!L391="","",PRINT_SHEET!L391)</f>
        <v/>
      </c>
    </row>
    <row r="392" ht="20" customHeight="1">
      <c r="A392" s="52">
        <f>IF(PRINT_SHEET!A392="","",PRINT_SHEET!A392)</f>
        <v/>
      </c>
      <c r="B392" s="53">
        <f>IF(PRINT_SHEET!B392="","",PRINT_SHEET!B392)</f>
        <v/>
      </c>
      <c r="C392" s="56">
        <f>IF(PRINT_SHEET!C392="","",PRINT_SHEET!C392)</f>
        <v/>
      </c>
      <c r="D392" s="56">
        <f>IF(PRINT_SHEET!D392="","",PRINT_SHEET!D392)</f>
        <v/>
      </c>
      <c r="E392" s="53">
        <f>IF(PRINT_SHEET!E392="","",PRINT_SHEET!E392)</f>
        <v/>
      </c>
      <c r="F392" s="52">
        <f>IF(PRINT_SHEET!F392="","",PRINT_SHEET!F392)</f>
        <v/>
      </c>
      <c r="G392" s="54">
        <f>IF(PRINT_SHEET!G392="","",PRINT_SHEET!G392)</f>
        <v/>
      </c>
      <c r="H392" s="54">
        <f>IF(PRINT_SHEET!H392="","",PRINT_SHEET!H392)</f>
        <v/>
      </c>
      <c r="I392" s="54">
        <f>IF(PRINT_SHEET!I392="","",PRINT_SHEET!I392)</f>
        <v/>
      </c>
      <c r="J392" s="53">
        <f>IFERROR(INDEX({"ادا شدہ","جزوی","بقایا"},MATCH(PRINT_SHEET!J392,{"PAID","PARTIAL","PENDING"},0)),PRINT_SHEET!J392)</f>
        <v/>
      </c>
      <c r="K392" s="55">
        <f>IF(PRINT_SHEET!K392="","",PRINT_SHEET!K392)</f>
        <v/>
      </c>
      <c r="L392" s="53">
        <f>IF(PRINT_SHEET!L392="","",PRINT_SHEET!L392)</f>
        <v/>
      </c>
    </row>
    <row r="393" ht="20" customHeight="1">
      <c r="A393" s="52">
        <f>IF(PRINT_SHEET!A393="","",PRINT_SHEET!A393)</f>
        <v/>
      </c>
      <c r="B393" s="53">
        <f>IF(PRINT_SHEET!B393="","",PRINT_SHEET!B393)</f>
        <v/>
      </c>
      <c r="C393" s="56">
        <f>IF(PRINT_SHEET!C393="","",PRINT_SHEET!C393)</f>
        <v/>
      </c>
      <c r="D393" s="56">
        <f>IF(PRINT_SHEET!D393="","",PRINT_SHEET!D393)</f>
        <v/>
      </c>
      <c r="E393" s="53">
        <f>IF(PRINT_SHEET!E393="","",PRINT_SHEET!E393)</f>
        <v/>
      </c>
      <c r="F393" s="52">
        <f>IF(PRINT_SHEET!F393="","",PRINT_SHEET!F393)</f>
        <v/>
      </c>
      <c r="G393" s="54">
        <f>IF(PRINT_SHEET!G393="","",PRINT_SHEET!G393)</f>
        <v/>
      </c>
      <c r="H393" s="54">
        <f>IF(PRINT_SHEET!H393="","",PRINT_SHEET!H393)</f>
        <v/>
      </c>
      <c r="I393" s="54">
        <f>IF(PRINT_SHEET!I393="","",PRINT_SHEET!I393)</f>
        <v/>
      </c>
      <c r="J393" s="53">
        <f>IFERROR(INDEX({"ادا شدہ","جزوی","بقایا"},MATCH(PRINT_SHEET!J393,{"PAID","PARTIAL","PENDING"},0)),PRINT_SHEET!J393)</f>
        <v/>
      </c>
      <c r="K393" s="55">
        <f>IF(PRINT_SHEET!K393="","",PRINT_SHEET!K393)</f>
        <v/>
      </c>
      <c r="L393" s="53">
        <f>IF(PRINT_SHEET!L393="","",PRINT_SHEET!L393)</f>
        <v/>
      </c>
    </row>
    <row r="394" ht="20" customHeight="1">
      <c r="A394" s="52">
        <f>IF(PRINT_SHEET!A394="","",PRINT_SHEET!A394)</f>
        <v/>
      </c>
      <c r="B394" s="53">
        <f>IF(PRINT_SHEET!B394="","",PRINT_SHEET!B394)</f>
        <v/>
      </c>
      <c r="C394" s="56">
        <f>IF(PRINT_SHEET!C394="","",PRINT_SHEET!C394)</f>
        <v/>
      </c>
      <c r="D394" s="56">
        <f>IF(PRINT_SHEET!D394="","",PRINT_SHEET!D394)</f>
        <v/>
      </c>
      <c r="E394" s="53">
        <f>IF(PRINT_SHEET!E394="","",PRINT_SHEET!E394)</f>
        <v/>
      </c>
      <c r="F394" s="52">
        <f>IF(PRINT_SHEET!F394="","",PRINT_SHEET!F394)</f>
        <v/>
      </c>
      <c r="G394" s="54">
        <f>IF(PRINT_SHEET!G394="","",PRINT_SHEET!G394)</f>
        <v/>
      </c>
      <c r="H394" s="54">
        <f>IF(PRINT_SHEET!H394="","",PRINT_SHEET!H394)</f>
        <v/>
      </c>
      <c r="I394" s="54">
        <f>IF(PRINT_SHEET!I394="","",PRINT_SHEET!I394)</f>
        <v/>
      </c>
      <c r="J394" s="53">
        <f>IFERROR(INDEX({"ادا شدہ","جزوی","بقایا"},MATCH(PRINT_SHEET!J394,{"PAID","PARTIAL","PENDING"},0)),PRINT_SHEET!J394)</f>
        <v/>
      </c>
      <c r="K394" s="55">
        <f>IF(PRINT_SHEET!K394="","",PRINT_SHEET!K394)</f>
        <v/>
      </c>
      <c r="L394" s="53">
        <f>IF(PRINT_SHEET!L394="","",PRINT_SHEET!L394)</f>
        <v/>
      </c>
    </row>
    <row r="395" ht="20" customHeight="1">
      <c r="A395" s="52">
        <f>IF(PRINT_SHEET!A395="","",PRINT_SHEET!A395)</f>
        <v/>
      </c>
      <c r="B395" s="53">
        <f>IF(PRINT_SHEET!B395="","",PRINT_SHEET!B395)</f>
        <v/>
      </c>
      <c r="C395" s="56">
        <f>IF(PRINT_SHEET!C395="","",PRINT_SHEET!C395)</f>
        <v/>
      </c>
      <c r="D395" s="56">
        <f>IF(PRINT_SHEET!D395="","",PRINT_SHEET!D395)</f>
        <v/>
      </c>
      <c r="E395" s="53">
        <f>IF(PRINT_SHEET!E395="","",PRINT_SHEET!E395)</f>
        <v/>
      </c>
      <c r="F395" s="52">
        <f>IF(PRINT_SHEET!F395="","",PRINT_SHEET!F395)</f>
        <v/>
      </c>
      <c r="G395" s="54">
        <f>IF(PRINT_SHEET!G395="","",PRINT_SHEET!G395)</f>
        <v/>
      </c>
      <c r="H395" s="54">
        <f>IF(PRINT_SHEET!H395="","",PRINT_SHEET!H395)</f>
        <v/>
      </c>
      <c r="I395" s="54">
        <f>IF(PRINT_SHEET!I395="","",PRINT_SHEET!I395)</f>
        <v/>
      </c>
      <c r="J395" s="53">
        <f>IFERROR(INDEX({"ادا شدہ","جزوی","بقایا"},MATCH(PRINT_SHEET!J395,{"PAID","PARTIAL","PENDING"},0)),PRINT_SHEET!J395)</f>
        <v/>
      </c>
      <c r="K395" s="55">
        <f>IF(PRINT_SHEET!K395="","",PRINT_SHEET!K395)</f>
        <v/>
      </c>
      <c r="L395" s="53">
        <f>IF(PRINT_SHEET!L395="","",PRINT_SHEET!L395)</f>
        <v/>
      </c>
    </row>
    <row r="396" ht="20" customHeight="1">
      <c r="A396" s="52">
        <f>IF(PRINT_SHEET!A396="","",PRINT_SHEET!A396)</f>
        <v/>
      </c>
      <c r="B396" s="53">
        <f>IF(PRINT_SHEET!B396="","",PRINT_SHEET!B396)</f>
        <v/>
      </c>
      <c r="C396" s="56">
        <f>IF(PRINT_SHEET!C396="","",PRINT_SHEET!C396)</f>
        <v/>
      </c>
      <c r="D396" s="56">
        <f>IF(PRINT_SHEET!D396="","",PRINT_SHEET!D396)</f>
        <v/>
      </c>
      <c r="E396" s="53">
        <f>IF(PRINT_SHEET!E396="","",PRINT_SHEET!E396)</f>
        <v/>
      </c>
      <c r="F396" s="52">
        <f>IF(PRINT_SHEET!F396="","",PRINT_SHEET!F396)</f>
        <v/>
      </c>
      <c r="G396" s="54">
        <f>IF(PRINT_SHEET!G396="","",PRINT_SHEET!G396)</f>
        <v/>
      </c>
      <c r="H396" s="54">
        <f>IF(PRINT_SHEET!H396="","",PRINT_SHEET!H396)</f>
        <v/>
      </c>
      <c r="I396" s="54">
        <f>IF(PRINT_SHEET!I396="","",PRINT_SHEET!I396)</f>
        <v/>
      </c>
      <c r="J396" s="53">
        <f>IFERROR(INDEX({"ادا شدہ","جزوی","بقایا"},MATCH(PRINT_SHEET!J396,{"PAID","PARTIAL","PENDING"},0)),PRINT_SHEET!J396)</f>
        <v/>
      </c>
      <c r="K396" s="55">
        <f>IF(PRINT_SHEET!K396="","",PRINT_SHEET!K396)</f>
        <v/>
      </c>
      <c r="L396" s="53">
        <f>IF(PRINT_SHEET!L396="","",PRINT_SHEET!L396)</f>
        <v/>
      </c>
    </row>
    <row r="397" ht="20" customHeight="1">
      <c r="A397" s="52">
        <f>IF(PRINT_SHEET!A397="","",PRINT_SHEET!A397)</f>
        <v/>
      </c>
      <c r="B397" s="53">
        <f>IF(PRINT_SHEET!B397="","",PRINT_SHEET!B397)</f>
        <v/>
      </c>
      <c r="C397" s="56">
        <f>IF(PRINT_SHEET!C397="","",PRINT_SHEET!C397)</f>
        <v/>
      </c>
      <c r="D397" s="56">
        <f>IF(PRINT_SHEET!D397="","",PRINT_SHEET!D397)</f>
        <v/>
      </c>
      <c r="E397" s="53">
        <f>IF(PRINT_SHEET!E397="","",PRINT_SHEET!E397)</f>
        <v/>
      </c>
      <c r="F397" s="52">
        <f>IF(PRINT_SHEET!F397="","",PRINT_SHEET!F397)</f>
        <v/>
      </c>
      <c r="G397" s="54">
        <f>IF(PRINT_SHEET!G397="","",PRINT_SHEET!G397)</f>
        <v/>
      </c>
      <c r="H397" s="54">
        <f>IF(PRINT_SHEET!H397="","",PRINT_SHEET!H397)</f>
        <v/>
      </c>
      <c r="I397" s="54">
        <f>IF(PRINT_SHEET!I397="","",PRINT_SHEET!I397)</f>
        <v/>
      </c>
      <c r="J397" s="53">
        <f>IFERROR(INDEX({"ادا شدہ","جزوی","بقایا"},MATCH(PRINT_SHEET!J397,{"PAID","PARTIAL","PENDING"},0)),PRINT_SHEET!J397)</f>
        <v/>
      </c>
      <c r="K397" s="55">
        <f>IF(PRINT_SHEET!K397="","",PRINT_SHEET!K397)</f>
        <v/>
      </c>
      <c r="L397" s="53">
        <f>IF(PRINT_SHEET!L397="","",PRINT_SHEET!L397)</f>
        <v/>
      </c>
    </row>
    <row r="398" ht="20" customHeight="1">
      <c r="A398" s="52">
        <f>IF(PRINT_SHEET!A398="","",PRINT_SHEET!A398)</f>
        <v/>
      </c>
      <c r="B398" s="53">
        <f>IF(PRINT_SHEET!B398="","",PRINT_SHEET!B398)</f>
        <v/>
      </c>
      <c r="C398" s="56">
        <f>IF(PRINT_SHEET!C398="","",PRINT_SHEET!C398)</f>
        <v/>
      </c>
      <c r="D398" s="56">
        <f>IF(PRINT_SHEET!D398="","",PRINT_SHEET!D398)</f>
        <v/>
      </c>
      <c r="E398" s="53">
        <f>IF(PRINT_SHEET!E398="","",PRINT_SHEET!E398)</f>
        <v/>
      </c>
      <c r="F398" s="52">
        <f>IF(PRINT_SHEET!F398="","",PRINT_SHEET!F398)</f>
        <v/>
      </c>
      <c r="G398" s="54">
        <f>IF(PRINT_SHEET!G398="","",PRINT_SHEET!G398)</f>
        <v/>
      </c>
      <c r="H398" s="54">
        <f>IF(PRINT_SHEET!H398="","",PRINT_SHEET!H398)</f>
        <v/>
      </c>
      <c r="I398" s="54">
        <f>IF(PRINT_SHEET!I398="","",PRINT_SHEET!I398)</f>
        <v/>
      </c>
      <c r="J398" s="53">
        <f>IFERROR(INDEX({"ادا شدہ","جزوی","بقایا"},MATCH(PRINT_SHEET!J398,{"PAID","PARTIAL","PENDING"},0)),PRINT_SHEET!J398)</f>
        <v/>
      </c>
      <c r="K398" s="55">
        <f>IF(PRINT_SHEET!K398="","",PRINT_SHEET!K398)</f>
        <v/>
      </c>
      <c r="L398" s="53">
        <f>IF(PRINT_SHEET!L398="","",PRINT_SHEET!L398)</f>
        <v/>
      </c>
    </row>
    <row r="399" ht="20" customHeight="1">
      <c r="A399" s="52">
        <f>IF(PRINT_SHEET!A399="","",PRINT_SHEET!A399)</f>
        <v/>
      </c>
      <c r="B399" s="53">
        <f>IF(PRINT_SHEET!B399="","",PRINT_SHEET!B399)</f>
        <v/>
      </c>
      <c r="C399" s="56">
        <f>IF(PRINT_SHEET!C399="","",PRINT_SHEET!C399)</f>
        <v/>
      </c>
      <c r="D399" s="56">
        <f>IF(PRINT_SHEET!D399="","",PRINT_SHEET!D399)</f>
        <v/>
      </c>
      <c r="E399" s="53">
        <f>IF(PRINT_SHEET!E399="","",PRINT_SHEET!E399)</f>
        <v/>
      </c>
      <c r="F399" s="52">
        <f>IF(PRINT_SHEET!F399="","",PRINT_SHEET!F399)</f>
        <v/>
      </c>
      <c r="G399" s="54">
        <f>IF(PRINT_SHEET!G399="","",PRINT_SHEET!G399)</f>
        <v/>
      </c>
      <c r="H399" s="54">
        <f>IF(PRINT_SHEET!H399="","",PRINT_SHEET!H399)</f>
        <v/>
      </c>
      <c r="I399" s="54">
        <f>IF(PRINT_SHEET!I399="","",PRINT_SHEET!I399)</f>
        <v/>
      </c>
      <c r="J399" s="53">
        <f>IFERROR(INDEX({"ادا شدہ","جزوی","بقایا"},MATCH(PRINT_SHEET!J399,{"PAID","PARTIAL","PENDING"},0)),PRINT_SHEET!J399)</f>
        <v/>
      </c>
      <c r="K399" s="55">
        <f>IF(PRINT_SHEET!K399="","",PRINT_SHEET!K399)</f>
        <v/>
      </c>
      <c r="L399" s="53">
        <f>IF(PRINT_SHEET!L399="","",PRINT_SHEET!L399)</f>
        <v/>
      </c>
    </row>
    <row r="400" ht="20" customHeight="1">
      <c r="A400" s="52">
        <f>IF(PRINT_SHEET!A400="","",PRINT_SHEET!A400)</f>
        <v/>
      </c>
      <c r="B400" s="53">
        <f>IF(PRINT_SHEET!B400="","",PRINT_SHEET!B400)</f>
        <v/>
      </c>
      <c r="C400" s="56">
        <f>IF(PRINT_SHEET!C400="","",PRINT_SHEET!C400)</f>
        <v/>
      </c>
      <c r="D400" s="56">
        <f>IF(PRINT_SHEET!D400="","",PRINT_SHEET!D400)</f>
        <v/>
      </c>
      <c r="E400" s="53">
        <f>IF(PRINT_SHEET!E400="","",PRINT_SHEET!E400)</f>
        <v/>
      </c>
      <c r="F400" s="52">
        <f>IF(PRINT_SHEET!F400="","",PRINT_SHEET!F400)</f>
        <v/>
      </c>
      <c r="G400" s="54">
        <f>IF(PRINT_SHEET!G400="","",PRINT_SHEET!G400)</f>
        <v/>
      </c>
      <c r="H400" s="54">
        <f>IF(PRINT_SHEET!H400="","",PRINT_SHEET!H400)</f>
        <v/>
      </c>
      <c r="I400" s="54">
        <f>IF(PRINT_SHEET!I400="","",PRINT_SHEET!I400)</f>
        <v/>
      </c>
      <c r="J400" s="53">
        <f>IFERROR(INDEX({"ادا شدہ","جزوی","بقایا"},MATCH(PRINT_SHEET!J400,{"PAID","PARTIAL","PENDING"},0)),PRINT_SHEET!J400)</f>
        <v/>
      </c>
      <c r="K400" s="55">
        <f>IF(PRINT_SHEET!K400="","",PRINT_SHEET!K400)</f>
        <v/>
      </c>
      <c r="L400" s="53">
        <f>IF(PRINT_SHEET!L400="","",PRINT_SHEET!L400)</f>
        <v/>
      </c>
    </row>
    <row r="401" ht="20" customHeight="1">
      <c r="A401" s="52">
        <f>IF(PRINT_SHEET!A401="","",PRINT_SHEET!A401)</f>
        <v/>
      </c>
      <c r="B401" s="53">
        <f>IF(PRINT_SHEET!B401="","",PRINT_SHEET!B401)</f>
        <v/>
      </c>
      <c r="C401" s="56">
        <f>IF(PRINT_SHEET!C401="","",PRINT_SHEET!C401)</f>
        <v/>
      </c>
      <c r="D401" s="56">
        <f>IF(PRINT_SHEET!D401="","",PRINT_SHEET!D401)</f>
        <v/>
      </c>
      <c r="E401" s="53">
        <f>IF(PRINT_SHEET!E401="","",PRINT_SHEET!E401)</f>
        <v/>
      </c>
      <c r="F401" s="52">
        <f>IF(PRINT_SHEET!F401="","",PRINT_SHEET!F401)</f>
        <v/>
      </c>
      <c r="G401" s="54">
        <f>IF(PRINT_SHEET!G401="","",PRINT_SHEET!G401)</f>
        <v/>
      </c>
      <c r="H401" s="54">
        <f>IF(PRINT_SHEET!H401="","",PRINT_SHEET!H401)</f>
        <v/>
      </c>
      <c r="I401" s="54">
        <f>IF(PRINT_SHEET!I401="","",PRINT_SHEET!I401)</f>
        <v/>
      </c>
      <c r="J401" s="53">
        <f>IFERROR(INDEX({"ادا شدہ","جزوی","بقایا"},MATCH(PRINT_SHEET!J401,{"PAID","PARTIAL","PENDING"},0)),PRINT_SHEET!J401)</f>
        <v/>
      </c>
      <c r="K401" s="55">
        <f>IF(PRINT_SHEET!K401="","",PRINT_SHEET!K401)</f>
        <v/>
      </c>
      <c r="L401" s="53">
        <f>IF(PRINT_SHEET!L401="","",PRINT_SHEET!L401)</f>
        <v/>
      </c>
    </row>
    <row r="402" ht="20" customHeight="1">
      <c r="A402" s="52">
        <f>IF(PRINT_SHEET!A402="","",PRINT_SHEET!A402)</f>
        <v/>
      </c>
      <c r="B402" s="53">
        <f>IF(PRINT_SHEET!B402="","",PRINT_SHEET!B402)</f>
        <v/>
      </c>
      <c r="C402" s="56">
        <f>IF(PRINT_SHEET!C402="","",PRINT_SHEET!C402)</f>
        <v/>
      </c>
      <c r="D402" s="56">
        <f>IF(PRINT_SHEET!D402="","",PRINT_SHEET!D402)</f>
        <v/>
      </c>
      <c r="E402" s="53">
        <f>IF(PRINT_SHEET!E402="","",PRINT_SHEET!E402)</f>
        <v/>
      </c>
      <c r="F402" s="52">
        <f>IF(PRINT_SHEET!F402="","",PRINT_SHEET!F402)</f>
        <v/>
      </c>
      <c r="G402" s="54">
        <f>IF(PRINT_SHEET!G402="","",PRINT_SHEET!G402)</f>
        <v/>
      </c>
      <c r="H402" s="54">
        <f>IF(PRINT_SHEET!H402="","",PRINT_SHEET!H402)</f>
        <v/>
      </c>
      <c r="I402" s="54">
        <f>IF(PRINT_SHEET!I402="","",PRINT_SHEET!I402)</f>
        <v/>
      </c>
      <c r="J402" s="53">
        <f>IFERROR(INDEX({"ادا شدہ","جزوی","بقایا"},MATCH(PRINT_SHEET!J402,{"PAID","PARTIAL","PENDING"},0)),PRINT_SHEET!J402)</f>
        <v/>
      </c>
      <c r="K402" s="55">
        <f>IF(PRINT_SHEET!K402="","",PRINT_SHEET!K402)</f>
        <v/>
      </c>
      <c r="L402" s="53">
        <f>IF(PRINT_SHEET!L402="","",PRINT_SHEET!L402)</f>
        <v/>
      </c>
    </row>
    <row r="403" ht="20" customHeight="1">
      <c r="A403" s="52">
        <f>IF(PRINT_SHEET!A403="","",PRINT_SHEET!A403)</f>
        <v/>
      </c>
      <c r="B403" s="53">
        <f>IF(PRINT_SHEET!B403="","",PRINT_SHEET!B403)</f>
        <v/>
      </c>
      <c r="C403" s="56">
        <f>IF(PRINT_SHEET!C403="","",PRINT_SHEET!C403)</f>
        <v/>
      </c>
      <c r="D403" s="56">
        <f>IF(PRINT_SHEET!D403="","",PRINT_SHEET!D403)</f>
        <v/>
      </c>
      <c r="E403" s="53">
        <f>IF(PRINT_SHEET!E403="","",PRINT_SHEET!E403)</f>
        <v/>
      </c>
      <c r="F403" s="52">
        <f>IF(PRINT_SHEET!F403="","",PRINT_SHEET!F403)</f>
        <v/>
      </c>
      <c r="G403" s="54">
        <f>IF(PRINT_SHEET!G403="","",PRINT_SHEET!G403)</f>
        <v/>
      </c>
      <c r="H403" s="54">
        <f>IF(PRINT_SHEET!H403="","",PRINT_SHEET!H403)</f>
        <v/>
      </c>
      <c r="I403" s="54">
        <f>IF(PRINT_SHEET!I403="","",PRINT_SHEET!I403)</f>
        <v/>
      </c>
      <c r="J403" s="53">
        <f>IFERROR(INDEX({"ادا شدہ","جزوی","بقایا"},MATCH(PRINT_SHEET!J403,{"PAID","PARTIAL","PENDING"},0)),PRINT_SHEET!J403)</f>
        <v/>
      </c>
      <c r="K403" s="55">
        <f>IF(PRINT_SHEET!K403="","",PRINT_SHEET!K403)</f>
        <v/>
      </c>
      <c r="L403" s="53">
        <f>IF(PRINT_SHEET!L403="","",PRINT_SHEET!L403)</f>
        <v/>
      </c>
    </row>
    <row r="404" ht="20" customHeight="1">
      <c r="A404" s="52">
        <f>IF(PRINT_SHEET!A404="","",PRINT_SHEET!A404)</f>
        <v/>
      </c>
      <c r="B404" s="53">
        <f>IF(PRINT_SHEET!B404="","",PRINT_SHEET!B404)</f>
        <v/>
      </c>
      <c r="C404" s="56">
        <f>IF(PRINT_SHEET!C404="","",PRINT_SHEET!C404)</f>
        <v/>
      </c>
      <c r="D404" s="56">
        <f>IF(PRINT_SHEET!D404="","",PRINT_SHEET!D404)</f>
        <v/>
      </c>
      <c r="E404" s="53">
        <f>IF(PRINT_SHEET!E404="","",PRINT_SHEET!E404)</f>
        <v/>
      </c>
      <c r="F404" s="52">
        <f>IF(PRINT_SHEET!F404="","",PRINT_SHEET!F404)</f>
        <v/>
      </c>
      <c r="G404" s="54">
        <f>IF(PRINT_SHEET!G404="","",PRINT_SHEET!G404)</f>
        <v/>
      </c>
      <c r="H404" s="54">
        <f>IF(PRINT_SHEET!H404="","",PRINT_SHEET!H404)</f>
        <v/>
      </c>
      <c r="I404" s="54">
        <f>IF(PRINT_SHEET!I404="","",PRINT_SHEET!I404)</f>
        <v/>
      </c>
      <c r="J404" s="53">
        <f>IFERROR(INDEX({"ادا شدہ","جزوی","بقایا"},MATCH(PRINT_SHEET!J404,{"PAID","PARTIAL","PENDING"},0)),PRINT_SHEET!J404)</f>
        <v/>
      </c>
      <c r="K404" s="55">
        <f>IF(PRINT_SHEET!K404="","",PRINT_SHEET!K404)</f>
        <v/>
      </c>
      <c r="L404" s="53">
        <f>IF(PRINT_SHEET!L404="","",PRINT_SHEET!L404)</f>
        <v/>
      </c>
    </row>
    <row r="405" ht="20" customHeight="1">
      <c r="A405" s="52">
        <f>IF(PRINT_SHEET!A405="","",PRINT_SHEET!A405)</f>
        <v/>
      </c>
      <c r="B405" s="53">
        <f>IF(PRINT_SHEET!B405="","",PRINT_SHEET!B405)</f>
        <v/>
      </c>
      <c r="C405" s="56">
        <f>IF(PRINT_SHEET!C405="","",PRINT_SHEET!C405)</f>
        <v/>
      </c>
      <c r="D405" s="56">
        <f>IF(PRINT_SHEET!D405="","",PRINT_SHEET!D405)</f>
        <v/>
      </c>
      <c r="E405" s="53">
        <f>IF(PRINT_SHEET!E405="","",PRINT_SHEET!E405)</f>
        <v/>
      </c>
      <c r="F405" s="52">
        <f>IF(PRINT_SHEET!F405="","",PRINT_SHEET!F405)</f>
        <v/>
      </c>
      <c r="G405" s="54">
        <f>IF(PRINT_SHEET!G405="","",PRINT_SHEET!G405)</f>
        <v/>
      </c>
      <c r="H405" s="54">
        <f>IF(PRINT_SHEET!H405="","",PRINT_SHEET!H405)</f>
        <v/>
      </c>
      <c r="I405" s="54">
        <f>IF(PRINT_SHEET!I405="","",PRINT_SHEET!I405)</f>
        <v/>
      </c>
      <c r="J405" s="53">
        <f>IFERROR(INDEX({"ادا شدہ","جزوی","بقایا"},MATCH(PRINT_SHEET!J405,{"PAID","PARTIAL","PENDING"},0)),PRINT_SHEET!J405)</f>
        <v/>
      </c>
      <c r="K405" s="55">
        <f>IF(PRINT_SHEET!K405="","",PRINT_SHEET!K405)</f>
        <v/>
      </c>
      <c r="L405" s="53">
        <f>IF(PRINT_SHEET!L405="","",PRINT_SHEET!L405)</f>
        <v/>
      </c>
    </row>
    <row r="406" ht="20" customHeight="1">
      <c r="A406" s="52">
        <f>IF(PRINT_SHEET!A406="","",PRINT_SHEET!A406)</f>
        <v/>
      </c>
      <c r="B406" s="53">
        <f>IF(PRINT_SHEET!B406="","",PRINT_SHEET!B406)</f>
        <v/>
      </c>
      <c r="C406" s="56">
        <f>IF(PRINT_SHEET!C406="","",PRINT_SHEET!C406)</f>
        <v/>
      </c>
      <c r="D406" s="56">
        <f>IF(PRINT_SHEET!D406="","",PRINT_SHEET!D406)</f>
        <v/>
      </c>
      <c r="E406" s="53">
        <f>IF(PRINT_SHEET!E406="","",PRINT_SHEET!E406)</f>
        <v/>
      </c>
      <c r="F406" s="52">
        <f>IF(PRINT_SHEET!F406="","",PRINT_SHEET!F406)</f>
        <v/>
      </c>
      <c r="G406" s="54">
        <f>IF(PRINT_SHEET!G406="","",PRINT_SHEET!G406)</f>
        <v/>
      </c>
      <c r="H406" s="54">
        <f>IF(PRINT_SHEET!H406="","",PRINT_SHEET!H406)</f>
        <v/>
      </c>
      <c r="I406" s="54">
        <f>IF(PRINT_SHEET!I406="","",PRINT_SHEET!I406)</f>
        <v/>
      </c>
      <c r="J406" s="53">
        <f>IFERROR(INDEX({"ادا شدہ","جزوی","بقایا"},MATCH(PRINT_SHEET!J406,{"PAID","PARTIAL","PENDING"},0)),PRINT_SHEET!J406)</f>
        <v/>
      </c>
      <c r="K406" s="55">
        <f>IF(PRINT_SHEET!K406="","",PRINT_SHEET!K406)</f>
        <v/>
      </c>
      <c r="L406" s="53">
        <f>IF(PRINT_SHEET!L406="","",PRINT_SHEET!L406)</f>
        <v/>
      </c>
    </row>
    <row r="407" ht="20" customHeight="1">
      <c r="A407" s="52">
        <f>IF(PRINT_SHEET!A407="","",PRINT_SHEET!A407)</f>
        <v/>
      </c>
      <c r="B407" s="53">
        <f>IF(PRINT_SHEET!B407="","",PRINT_SHEET!B407)</f>
        <v/>
      </c>
      <c r="C407" s="56">
        <f>IF(PRINT_SHEET!C407="","",PRINT_SHEET!C407)</f>
        <v/>
      </c>
      <c r="D407" s="56">
        <f>IF(PRINT_SHEET!D407="","",PRINT_SHEET!D407)</f>
        <v/>
      </c>
      <c r="E407" s="53">
        <f>IF(PRINT_SHEET!E407="","",PRINT_SHEET!E407)</f>
        <v/>
      </c>
      <c r="F407" s="52">
        <f>IF(PRINT_SHEET!F407="","",PRINT_SHEET!F407)</f>
        <v/>
      </c>
      <c r="G407" s="54">
        <f>IF(PRINT_SHEET!G407="","",PRINT_SHEET!G407)</f>
        <v/>
      </c>
      <c r="H407" s="54">
        <f>IF(PRINT_SHEET!H407="","",PRINT_SHEET!H407)</f>
        <v/>
      </c>
      <c r="I407" s="54">
        <f>IF(PRINT_SHEET!I407="","",PRINT_SHEET!I407)</f>
        <v/>
      </c>
      <c r="J407" s="53">
        <f>IFERROR(INDEX({"ادا شدہ","جزوی","بقایا"},MATCH(PRINT_SHEET!J407,{"PAID","PARTIAL","PENDING"},0)),PRINT_SHEET!J407)</f>
        <v/>
      </c>
      <c r="K407" s="55">
        <f>IF(PRINT_SHEET!K407="","",PRINT_SHEET!K407)</f>
        <v/>
      </c>
      <c r="L407" s="53">
        <f>IF(PRINT_SHEET!L407="","",PRINT_SHEET!L407)</f>
        <v/>
      </c>
    </row>
    <row r="408" ht="20" customHeight="1">
      <c r="A408" s="52">
        <f>IF(PRINT_SHEET!A408="","",PRINT_SHEET!A408)</f>
        <v/>
      </c>
      <c r="B408" s="53">
        <f>IF(PRINT_SHEET!B408="","",PRINT_SHEET!B408)</f>
        <v/>
      </c>
      <c r="C408" s="56">
        <f>IF(PRINT_SHEET!C408="","",PRINT_SHEET!C408)</f>
        <v/>
      </c>
      <c r="D408" s="56">
        <f>IF(PRINT_SHEET!D408="","",PRINT_SHEET!D408)</f>
        <v/>
      </c>
      <c r="E408" s="53">
        <f>IF(PRINT_SHEET!E408="","",PRINT_SHEET!E408)</f>
        <v/>
      </c>
      <c r="F408" s="52">
        <f>IF(PRINT_SHEET!F408="","",PRINT_SHEET!F408)</f>
        <v/>
      </c>
      <c r="G408" s="54">
        <f>IF(PRINT_SHEET!G408="","",PRINT_SHEET!G408)</f>
        <v/>
      </c>
      <c r="H408" s="54">
        <f>IF(PRINT_SHEET!H408="","",PRINT_SHEET!H408)</f>
        <v/>
      </c>
      <c r="I408" s="54">
        <f>IF(PRINT_SHEET!I408="","",PRINT_SHEET!I408)</f>
        <v/>
      </c>
      <c r="J408" s="53">
        <f>IFERROR(INDEX({"ادا شدہ","جزوی","بقایا"},MATCH(PRINT_SHEET!J408,{"PAID","PARTIAL","PENDING"},0)),PRINT_SHEET!J408)</f>
        <v/>
      </c>
      <c r="K408" s="55">
        <f>IF(PRINT_SHEET!K408="","",PRINT_SHEET!K408)</f>
        <v/>
      </c>
      <c r="L408" s="53">
        <f>IF(PRINT_SHEET!L408="","",PRINT_SHEET!L408)</f>
        <v/>
      </c>
    </row>
    <row r="409" ht="20" customHeight="1">
      <c r="A409" s="52">
        <f>IF(PRINT_SHEET!A409="","",PRINT_SHEET!A409)</f>
        <v/>
      </c>
      <c r="B409" s="53">
        <f>IF(PRINT_SHEET!B409="","",PRINT_SHEET!B409)</f>
        <v/>
      </c>
      <c r="C409" s="56">
        <f>IF(PRINT_SHEET!C409="","",PRINT_SHEET!C409)</f>
        <v/>
      </c>
      <c r="D409" s="56">
        <f>IF(PRINT_SHEET!D409="","",PRINT_SHEET!D409)</f>
        <v/>
      </c>
      <c r="E409" s="53">
        <f>IF(PRINT_SHEET!E409="","",PRINT_SHEET!E409)</f>
        <v/>
      </c>
      <c r="F409" s="52">
        <f>IF(PRINT_SHEET!F409="","",PRINT_SHEET!F409)</f>
        <v/>
      </c>
      <c r="G409" s="54">
        <f>IF(PRINT_SHEET!G409="","",PRINT_SHEET!G409)</f>
        <v/>
      </c>
      <c r="H409" s="54">
        <f>IF(PRINT_SHEET!H409="","",PRINT_SHEET!H409)</f>
        <v/>
      </c>
      <c r="I409" s="54">
        <f>IF(PRINT_SHEET!I409="","",PRINT_SHEET!I409)</f>
        <v/>
      </c>
      <c r="J409" s="53">
        <f>IFERROR(INDEX({"ادا شدہ","جزوی","بقایا"},MATCH(PRINT_SHEET!J409,{"PAID","PARTIAL","PENDING"},0)),PRINT_SHEET!J409)</f>
        <v/>
      </c>
      <c r="K409" s="55">
        <f>IF(PRINT_SHEET!K409="","",PRINT_SHEET!K409)</f>
        <v/>
      </c>
      <c r="L409" s="53">
        <f>IF(PRINT_SHEET!L409="","",PRINT_SHEET!L409)</f>
        <v/>
      </c>
    </row>
    <row r="410" ht="20" customHeight="1">
      <c r="A410" s="52">
        <f>IF(PRINT_SHEET!A410="","",PRINT_SHEET!A410)</f>
        <v/>
      </c>
      <c r="B410" s="53">
        <f>IF(PRINT_SHEET!B410="","",PRINT_SHEET!B410)</f>
        <v/>
      </c>
      <c r="C410" s="56">
        <f>IF(PRINT_SHEET!C410="","",PRINT_SHEET!C410)</f>
        <v/>
      </c>
      <c r="D410" s="56">
        <f>IF(PRINT_SHEET!D410="","",PRINT_SHEET!D410)</f>
        <v/>
      </c>
      <c r="E410" s="53">
        <f>IF(PRINT_SHEET!E410="","",PRINT_SHEET!E410)</f>
        <v/>
      </c>
      <c r="F410" s="52">
        <f>IF(PRINT_SHEET!F410="","",PRINT_SHEET!F410)</f>
        <v/>
      </c>
      <c r="G410" s="54">
        <f>IF(PRINT_SHEET!G410="","",PRINT_SHEET!G410)</f>
        <v/>
      </c>
      <c r="H410" s="54">
        <f>IF(PRINT_SHEET!H410="","",PRINT_SHEET!H410)</f>
        <v/>
      </c>
      <c r="I410" s="54">
        <f>IF(PRINT_SHEET!I410="","",PRINT_SHEET!I410)</f>
        <v/>
      </c>
      <c r="J410" s="53">
        <f>IFERROR(INDEX({"ادا شدہ","جزوی","بقایا"},MATCH(PRINT_SHEET!J410,{"PAID","PARTIAL","PENDING"},0)),PRINT_SHEET!J410)</f>
        <v/>
      </c>
      <c r="K410" s="55">
        <f>IF(PRINT_SHEET!K410="","",PRINT_SHEET!K410)</f>
        <v/>
      </c>
      <c r="L410" s="53">
        <f>IF(PRINT_SHEET!L410="","",PRINT_SHEET!L410)</f>
        <v/>
      </c>
    </row>
    <row r="411" ht="20" customHeight="1">
      <c r="A411" s="52">
        <f>IF(PRINT_SHEET!A411="","",PRINT_SHEET!A411)</f>
        <v/>
      </c>
      <c r="B411" s="53">
        <f>IF(PRINT_SHEET!B411="","",PRINT_SHEET!B411)</f>
        <v/>
      </c>
      <c r="C411" s="56">
        <f>IF(PRINT_SHEET!C411="","",PRINT_SHEET!C411)</f>
        <v/>
      </c>
      <c r="D411" s="56">
        <f>IF(PRINT_SHEET!D411="","",PRINT_SHEET!D411)</f>
        <v/>
      </c>
      <c r="E411" s="53">
        <f>IF(PRINT_SHEET!E411="","",PRINT_SHEET!E411)</f>
        <v/>
      </c>
      <c r="F411" s="52">
        <f>IF(PRINT_SHEET!F411="","",PRINT_SHEET!F411)</f>
        <v/>
      </c>
      <c r="G411" s="54">
        <f>IF(PRINT_SHEET!G411="","",PRINT_SHEET!G411)</f>
        <v/>
      </c>
      <c r="H411" s="54">
        <f>IF(PRINT_SHEET!H411="","",PRINT_SHEET!H411)</f>
        <v/>
      </c>
      <c r="I411" s="54">
        <f>IF(PRINT_SHEET!I411="","",PRINT_SHEET!I411)</f>
        <v/>
      </c>
      <c r="J411" s="53">
        <f>IFERROR(INDEX({"ادا شدہ","جزوی","بقایا"},MATCH(PRINT_SHEET!J411,{"PAID","PARTIAL","PENDING"},0)),PRINT_SHEET!J411)</f>
        <v/>
      </c>
      <c r="K411" s="55">
        <f>IF(PRINT_SHEET!K411="","",PRINT_SHEET!K411)</f>
        <v/>
      </c>
      <c r="L411" s="53">
        <f>IF(PRINT_SHEET!L411="","",PRINT_SHEET!L411)</f>
        <v/>
      </c>
    </row>
    <row r="412" ht="20" customHeight="1">
      <c r="A412" s="52">
        <f>IF(PRINT_SHEET!A412="","",PRINT_SHEET!A412)</f>
        <v/>
      </c>
      <c r="B412" s="53">
        <f>IF(PRINT_SHEET!B412="","",PRINT_SHEET!B412)</f>
        <v/>
      </c>
      <c r="C412" s="56">
        <f>IF(PRINT_SHEET!C412="","",PRINT_SHEET!C412)</f>
        <v/>
      </c>
      <c r="D412" s="56">
        <f>IF(PRINT_SHEET!D412="","",PRINT_SHEET!D412)</f>
        <v/>
      </c>
      <c r="E412" s="53">
        <f>IF(PRINT_SHEET!E412="","",PRINT_SHEET!E412)</f>
        <v/>
      </c>
      <c r="F412" s="52">
        <f>IF(PRINT_SHEET!F412="","",PRINT_SHEET!F412)</f>
        <v/>
      </c>
      <c r="G412" s="54">
        <f>IF(PRINT_SHEET!G412="","",PRINT_SHEET!G412)</f>
        <v/>
      </c>
      <c r="H412" s="54">
        <f>IF(PRINT_SHEET!H412="","",PRINT_SHEET!H412)</f>
        <v/>
      </c>
      <c r="I412" s="54">
        <f>IF(PRINT_SHEET!I412="","",PRINT_SHEET!I412)</f>
        <v/>
      </c>
      <c r="J412" s="53">
        <f>IFERROR(INDEX({"ادا شدہ","جزوی","بقایا"},MATCH(PRINT_SHEET!J412,{"PAID","PARTIAL","PENDING"},0)),PRINT_SHEET!J412)</f>
        <v/>
      </c>
      <c r="K412" s="55">
        <f>IF(PRINT_SHEET!K412="","",PRINT_SHEET!K412)</f>
        <v/>
      </c>
      <c r="L412" s="53">
        <f>IF(PRINT_SHEET!L412="","",PRINT_SHEET!L412)</f>
        <v/>
      </c>
    </row>
    <row r="413" ht="20" customHeight="1">
      <c r="A413" s="52">
        <f>IF(PRINT_SHEET!A413="","",PRINT_SHEET!A413)</f>
        <v/>
      </c>
      <c r="B413" s="53">
        <f>IF(PRINT_SHEET!B413="","",PRINT_SHEET!B413)</f>
        <v/>
      </c>
      <c r="C413" s="56">
        <f>IF(PRINT_SHEET!C413="","",PRINT_SHEET!C413)</f>
        <v/>
      </c>
      <c r="D413" s="56">
        <f>IF(PRINT_SHEET!D413="","",PRINT_SHEET!D413)</f>
        <v/>
      </c>
      <c r="E413" s="53">
        <f>IF(PRINT_SHEET!E413="","",PRINT_SHEET!E413)</f>
        <v/>
      </c>
      <c r="F413" s="52">
        <f>IF(PRINT_SHEET!F413="","",PRINT_SHEET!F413)</f>
        <v/>
      </c>
      <c r="G413" s="54">
        <f>IF(PRINT_SHEET!G413="","",PRINT_SHEET!G413)</f>
        <v/>
      </c>
      <c r="H413" s="54">
        <f>IF(PRINT_SHEET!H413="","",PRINT_SHEET!H413)</f>
        <v/>
      </c>
      <c r="I413" s="54">
        <f>IF(PRINT_SHEET!I413="","",PRINT_SHEET!I413)</f>
        <v/>
      </c>
      <c r="J413" s="53">
        <f>IFERROR(INDEX({"ادا شدہ","جزوی","بقایا"},MATCH(PRINT_SHEET!J413,{"PAID","PARTIAL","PENDING"},0)),PRINT_SHEET!J413)</f>
        <v/>
      </c>
      <c r="K413" s="55">
        <f>IF(PRINT_SHEET!K413="","",PRINT_SHEET!K413)</f>
        <v/>
      </c>
      <c r="L413" s="53">
        <f>IF(PRINT_SHEET!L413="","",PRINT_SHEET!L413)</f>
        <v/>
      </c>
    </row>
    <row r="414" ht="20" customHeight="1">
      <c r="A414" s="52">
        <f>IF(PRINT_SHEET!A414="","",PRINT_SHEET!A414)</f>
        <v/>
      </c>
      <c r="B414" s="53">
        <f>IF(PRINT_SHEET!B414="","",PRINT_SHEET!B414)</f>
        <v/>
      </c>
      <c r="C414" s="56">
        <f>IF(PRINT_SHEET!C414="","",PRINT_SHEET!C414)</f>
        <v/>
      </c>
      <c r="D414" s="56">
        <f>IF(PRINT_SHEET!D414="","",PRINT_SHEET!D414)</f>
        <v/>
      </c>
      <c r="E414" s="53">
        <f>IF(PRINT_SHEET!E414="","",PRINT_SHEET!E414)</f>
        <v/>
      </c>
      <c r="F414" s="52">
        <f>IF(PRINT_SHEET!F414="","",PRINT_SHEET!F414)</f>
        <v/>
      </c>
      <c r="G414" s="54">
        <f>IF(PRINT_SHEET!G414="","",PRINT_SHEET!G414)</f>
        <v/>
      </c>
      <c r="H414" s="54">
        <f>IF(PRINT_SHEET!H414="","",PRINT_SHEET!H414)</f>
        <v/>
      </c>
      <c r="I414" s="54">
        <f>IF(PRINT_SHEET!I414="","",PRINT_SHEET!I414)</f>
        <v/>
      </c>
      <c r="J414" s="53">
        <f>IFERROR(INDEX({"ادا شدہ","جزوی","بقایا"},MATCH(PRINT_SHEET!J414,{"PAID","PARTIAL","PENDING"},0)),PRINT_SHEET!J414)</f>
        <v/>
      </c>
      <c r="K414" s="55">
        <f>IF(PRINT_SHEET!K414="","",PRINT_SHEET!K414)</f>
        <v/>
      </c>
      <c r="L414" s="53">
        <f>IF(PRINT_SHEET!L414="","",PRINT_SHEET!L414)</f>
        <v/>
      </c>
    </row>
    <row r="415" ht="20" customHeight="1">
      <c r="A415" s="52">
        <f>IF(PRINT_SHEET!A415="","",PRINT_SHEET!A415)</f>
        <v/>
      </c>
      <c r="B415" s="53">
        <f>IF(PRINT_SHEET!B415="","",PRINT_SHEET!B415)</f>
        <v/>
      </c>
      <c r="C415" s="56">
        <f>IF(PRINT_SHEET!C415="","",PRINT_SHEET!C415)</f>
        <v/>
      </c>
      <c r="D415" s="56">
        <f>IF(PRINT_SHEET!D415="","",PRINT_SHEET!D415)</f>
        <v/>
      </c>
      <c r="E415" s="53">
        <f>IF(PRINT_SHEET!E415="","",PRINT_SHEET!E415)</f>
        <v/>
      </c>
      <c r="F415" s="52">
        <f>IF(PRINT_SHEET!F415="","",PRINT_SHEET!F415)</f>
        <v/>
      </c>
      <c r="G415" s="54">
        <f>IF(PRINT_SHEET!G415="","",PRINT_SHEET!G415)</f>
        <v/>
      </c>
      <c r="H415" s="54">
        <f>IF(PRINT_SHEET!H415="","",PRINT_SHEET!H415)</f>
        <v/>
      </c>
      <c r="I415" s="54">
        <f>IF(PRINT_SHEET!I415="","",PRINT_SHEET!I415)</f>
        <v/>
      </c>
      <c r="J415" s="53">
        <f>IFERROR(INDEX({"ادا شدہ","جزوی","بقایا"},MATCH(PRINT_SHEET!J415,{"PAID","PARTIAL","PENDING"},0)),PRINT_SHEET!J415)</f>
        <v/>
      </c>
      <c r="K415" s="55">
        <f>IF(PRINT_SHEET!K415="","",PRINT_SHEET!K415)</f>
        <v/>
      </c>
      <c r="L415" s="53">
        <f>IF(PRINT_SHEET!L415="","",PRINT_SHEET!L415)</f>
        <v/>
      </c>
    </row>
    <row r="416" ht="20" customHeight="1">
      <c r="A416" s="52">
        <f>IF(PRINT_SHEET!A416="","",PRINT_SHEET!A416)</f>
        <v/>
      </c>
      <c r="B416" s="53">
        <f>IF(PRINT_SHEET!B416="","",PRINT_SHEET!B416)</f>
        <v/>
      </c>
      <c r="C416" s="56">
        <f>IF(PRINT_SHEET!C416="","",PRINT_SHEET!C416)</f>
        <v/>
      </c>
      <c r="D416" s="56">
        <f>IF(PRINT_SHEET!D416="","",PRINT_SHEET!D416)</f>
        <v/>
      </c>
      <c r="E416" s="53">
        <f>IF(PRINT_SHEET!E416="","",PRINT_SHEET!E416)</f>
        <v/>
      </c>
      <c r="F416" s="52">
        <f>IF(PRINT_SHEET!F416="","",PRINT_SHEET!F416)</f>
        <v/>
      </c>
      <c r="G416" s="54">
        <f>IF(PRINT_SHEET!G416="","",PRINT_SHEET!G416)</f>
        <v/>
      </c>
      <c r="H416" s="54">
        <f>IF(PRINT_SHEET!H416="","",PRINT_SHEET!H416)</f>
        <v/>
      </c>
      <c r="I416" s="54">
        <f>IF(PRINT_SHEET!I416="","",PRINT_SHEET!I416)</f>
        <v/>
      </c>
      <c r="J416" s="53">
        <f>IFERROR(INDEX({"ادا شدہ","جزوی","بقایا"},MATCH(PRINT_SHEET!J416,{"PAID","PARTIAL","PENDING"},0)),PRINT_SHEET!J416)</f>
        <v/>
      </c>
      <c r="K416" s="55">
        <f>IF(PRINT_SHEET!K416="","",PRINT_SHEET!K416)</f>
        <v/>
      </c>
      <c r="L416" s="53">
        <f>IF(PRINT_SHEET!L416="","",PRINT_SHEET!L416)</f>
        <v/>
      </c>
    </row>
    <row r="417" ht="20" customHeight="1">
      <c r="A417" s="52">
        <f>IF(PRINT_SHEET!A417="","",PRINT_SHEET!A417)</f>
        <v/>
      </c>
      <c r="B417" s="53">
        <f>IF(PRINT_SHEET!B417="","",PRINT_SHEET!B417)</f>
        <v/>
      </c>
      <c r="C417" s="56">
        <f>IF(PRINT_SHEET!C417="","",PRINT_SHEET!C417)</f>
        <v/>
      </c>
      <c r="D417" s="56">
        <f>IF(PRINT_SHEET!D417="","",PRINT_SHEET!D417)</f>
        <v/>
      </c>
      <c r="E417" s="53">
        <f>IF(PRINT_SHEET!E417="","",PRINT_SHEET!E417)</f>
        <v/>
      </c>
      <c r="F417" s="52">
        <f>IF(PRINT_SHEET!F417="","",PRINT_SHEET!F417)</f>
        <v/>
      </c>
      <c r="G417" s="54">
        <f>IF(PRINT_SHEET!G417="","",PRINT_SHEET!G417)</f>
        <v/>
      </c>
      <c r="H417" s="54">
        <f>IF(PRINT_SHEET!H417="","",PRINT_SHEET!H417)</f>
        <v/>
      </c>
      <c r="I417" s="54">
        <f>IF(PRINT_SHEET!I417="","",PRINT_SHEET!I417)</f>
        <v/>
      </c>
      <c r="J417" s="53">
        <f>IFERROR(INDEX({"ادا شدہ","جزوی","بقایا"},MATCH(PRINT_SHEET!J417,{"PAID","PARTIAL","PENDING"},0)),PRINT_SHEET!J417)</f>
        <v/>
      </c>
      <c r="K417" s="55">
        <f>IF(PRINT_SHEET!K417="","",PRINT_SHEET!K417)</f>
        <v/>
      </c>
      <c r="L417" s="53">
        <f>IF(PRINT_SHEET!L417="","",PRINT_SHEET!L417)</f>
        <v/>
      </c>
    </row>
    <row r="418" ht="20" customHeight="1">
      <c r="A418" s="52">
        <f>IF(PRINT_SHEET!A418="","",PRINT_SHEET!A418)</f>
        <v/>
      </c>
      <c r="B418" s="53">
        <f>IF(PRINT_SHEET!B418="","",PRINT_SHEET!B418)</f>
        <v/>
      </c>
      <c r="C418" s="56">
        <f>IF(PRINT_SHEET!C418="","",PRINT_SHEET!C418)</f>
        <v/>
      </c>
      <c r="D418" s="56">
        <f>IF(PRINT_SHEET!D418="","",PRINT_SHEET!D418)</f>
        <v/>
      </c>
      <c r="E418" s="53">
        <f>IF(PRINT_SHEET!E418="","",PRINT_SHEET!E418)</f>
        <v/>
      </c>
      <c r="F418" s="52">
        <f>IF(PRINT_SHEET!F418="","",PRINT_SHEET!F418)</f>
        <v/>
      </c>
      <c r="G418" s="54">
        <f>IF(PRINT_SHEET!G418="","",PRINT_SHEET!G418)</f>
        <v/>
      </c>
      <c r="H418" s="54">
        <f>IF(PRINT_SHEET!H418="","",PRINT_SHEET!H418)</f>
        <v/>
      </c>
      <c r="I418" s="54">
        <f>IF(PRINT_SHEET!I418="","",PRINT_SHEET!I418)</f>
        <v/>
      </c>
      <c r="J418" s="53">
        <f>IFERROR(INDEX({"ادا شدہ","جزوی","بقایا"},MATCH(PRINT_SHEET!J418,{"PAID","PARTIAL","PENDING"},0)),PRINT_SHEET!J418)</f>
        <v/>
      </c>
      <c r="K418" s="55">
        <f>IF(PRINT_SHEET!K418="","",PRINT_SHEET!K418)</f>
        <v/>
      </c>
      <c r="L418" s="53">
        <f>IF(PRINT_SHEET!L418="","",PRINT_SHEET!L418)</f>
        <v/>
      </c>
    </row>
    <row r="419" ht="20" customHeight="1">
      <c r="A419" s="52">
        <f>IF(PRINT_SHEET!A419="","",PRINT_SHEET!A419)</f>
        <v/>
      </c>
      <c r="B419" s="53">
        <f>IF(PRINT_SHEET!B419="","",PRINT_SHEET!B419)</f>
        <v/>
      </c>
      <c r="C419" s="56">
        <f>IF(PRINT_SHEET!C419="","",PRINT_SHEET!C419)</f>
        <v/>
      </c>
      <c r="D419" s="56">
        <f>IF(PRINT_SHEET!D419="","",PRINT_SHEET!D419)</f>
        <v/>
      </c>
      <c r="E419" s="53">
        <f>IF(PRINT_SHEET!E419="","",PRINT_SHEET!E419)</f>
        <v/>
      </c>
      <c r="F419" s="52">
        <f>IF(PRINT_SHEET!F419="","",PRINT_SHEET!F419)</f>
        <v/>
      </c>
      <c r="G419" s="54">
        <f>IF(PRINT_SHEET!G419="","",PRINT_SHEET!G419)</f>
        <v/>
      </c>
      <c r="H419" s="54">
        <f>IF(PRINT_SHEET!H419="","",PRINT_SHEET!H419)</f>
        <v/>
      </c>
      <c r="I419" s="54">
        <f>IF(PRINT_SHEET!I419="","",PRINT_SHEET!I419)</f>
        <v/>
      </c>
      <c r="J419" s="53">
        <f>IFERROR(INDEX({"ادا شدہ","جزوی","بقایا"},MATCH(PRINT_SHEET!J419,{"PAID","PARTIAL","PENDING"},0)),PRINT_SHEET!J419)</f>
        <v/>
      </c>
      <c r="K419" s="55">
        <f>IF(PRINT_SHEET!K419="","",PRINT_SHEET!K419)</f>
        <v/>
      </c>
      <c r="L419" s="53">
        <f>IF(PRINT_SHEET!L419="","",PRINT_SHEET!L419)</f>
        <v/>
      </c>
    </row>
    <row r="420" ht="20" customHeight="1">
      <c r="A420" s="52">
        <f>IF(PRINT_SHEET!A420="","",PRINT_SHEET!A420)</f>
        <v/>
      </c>
      <c r="B420" s="53">
        <f>IF(PRINT_SHEET!B420="","",PRINT_SHEET!B420)</f>
        <v/>
      </c>
      <c r="C420" s="56">
        <f>IF(PRINT_SHEET!C420="","",PRINT_SHEET!C420)</f>
        <v/>
      </c>
      <c r="D420" s="56">
        <f>IF(PRINT_SHEET!D420="","",PRINT_SHEET!D420)</f>
        <v/>
      </c>
      <c r="E420" s="53">
        <f>IF(PRINT_SHEET!E420="","",PRINT_SHEET!E420)</f>
        <v/>
      </c>
      <c r="F420" s="52">
        <f>IF(PRINT_SHEET!F420="","",PRINT_SHEET!F420)</f>
        <v/>
      </c>
      <c r="G420" s="54">
        <f>IF(PRINT_SHEET!G420="","",PRINT_SHEET!G420)</f>
        <v/>
      </c>
      <c r="H420" s="54">
        <f>IF(PRINT_SHEET!H420="","",PRINT_SHEET!H420)</f>
        <v/>
      </c>
      <c r="I420" s="54">
        <f>IF(PRINT_SHEET!I420="","",PRINT_SHEET!I420)</f>
        <v/>
      </c>
      <c r="J420" s="53">
        <f>IFERROR(INDEX({"ادا شدہ","جزوی","بقایا"},MATCH(PRINT_SHEET!J420,{"PAID","PARTIAL","PENDING"},0)),PRINT_SHEET!J420)</f>
        <v/>
      </c>
      <c r="K420" s="55">
        <f>IF(PRINT_SHEET!K420="","",PRINT_SHEET!K420)</f>
        <v/>
      </c>
      <c r="L420" s="53">
        <f>IF(PRINT_SHEET!L420="","",PRINT_SHEET!L420)</f>
        <v/>
      </c>
    </row>
    <row r="421" ht="20" customHeight="1">
      <c r="A421" s="52">
        <f>IF(PRINT_SHEET!A421="","",PRINT_SHEET!A421)</f>
        <v/>
      </c>
      <c r="B421" s="53">
        <f>IF(PRINT_SHEET!B421="","",PRINT_SHEET!B421)</f>
        <v/>
      </c>
      <c r="C421" s="56">
        <f>IF(PRINT_SHEET!C421="","",PRINT_SHEET!C421)</f>
        <v/>
      </c>
      <c r="D421" s="56">
        <f>IF(PRINT_SHEET!D421="","",PRINT_SHEET!D421)</f>
        <v/>
      </c>
      <c r="E421" s="53">
        <f>IF(PRINT_SHEET!E421="","",PRINT_SHEET!E421)</f>
        <v/>
      </c>
      <c r="F421" s="52">
        <f>IF(PRINT_SHEET!F421="","",PRINT_SHEET!F421)</f>
        <v/>
      </c>
      <c r="G421" s="54">
        <f>IF(PRINT_SHEET!G421="","",PRINT_SHEET!G421)</f>
        <v/>
      </c>
      <c r="H421" s="54">
        <f>IF(PRINT_SHEET!H421="","",PRINT_SHEET!H421)</f>
        <v/>
      </c>
      <c r="I421" s="54">
        <f>IF(PRINT_SHEET!I421="","",PRINT_SHEET!I421)</f>
        <v/>
      </c>
      <c r="J421" s="53">
        <f>IFERROR(INDEX({"ادا شدہ","جزوی","بقایا"},MATCH(PRINT_SHEET!J421,{"PAID","PARTIAL","PENDING"},0)),PRINT_SHEET!J421)</f>
        <v/>
      </c>
      <c r="K421" s="55">
        <f>IF(PRINT_SHEET!K421="","",PRINT_SHEET!K421)</f>
        <v/>
      </c>
      <c r="L421" s="53">
        <f>IF(PRINT_SHEET!L421="","",PRINT_SHEET!L421)</f>
        <v/>
      </c>
    </row>
    <row r="422" ht="20" customHeight="1">
      <c r="A422" s="52">
        <f>IF(PRINT_SHEET!A422="","",PRINT_SHEET!A422)</f>
        <v/>
      </c>
      <c r="B422" s="53">
        <f>IF(PRINT_SHEET!B422="","",PRINT_SHEET!B422)</f>
        <v/>
      </c>
      <c r="C422" s="56">
        <f>IF(PRINT_SHEET!C422="","",PRINT_SHEET!C422)</f>
        <v/>
      </c>
      <c r="D422" s="56">
        <f>IF(PRINT_SHEET!D422="","",PRINT_SHEET!D422)</f>
        <v/>
      </c>
      <c r="E422" s="53">
        <f>IF(PRINT_SHEET!E422="","",PRINT_SHEET!E422)</f>
        <v/>
      </c>
      <c r="F422" s="52">
        <f>IF(PRINT_SHEET!F422="","",PRINT_SHEET!F422)</f>
        <v/>
      </c>
      <c r="G422" s="54">
        <f>IF(PRINT_SHEET!G422="","",PRINT_SHEET!G422)</f>
        <v/>
      </c>
      <c r="H422" s="54">
        <f>IF(PRINT_SHEET!H422="","",PRINT_SHEET!H422)</f>
        <v/>
      </c>
      <c r="I422" s="54">
        <f>IF(PRINT_SHEET!I422="","",PRINT_SHEET!I422)</f>
        <v/>
      </c>
      <c r="J422" s="53">
        <f>IFERROR(INDEX({"ادا شدہ","جزوی","بقایا"},MATCH(PRINT_SHEET!J422,{"PAID","PARTIAL","PENDING"},0)),PRINT_SHEET!J422)</f>
        <v/>
      </c>
      <c r="K422" s="55">
        <f>IF(PRINT_SHEET!K422="","",PRINT_SHEET!K422)</f>
        <v/>
      </c>
      <c r="L422" s="53">
        <f>IF(PRINT_SHEET!L422="","",PRINT_SHEET!L422)</f>
        <v/>
      </c>
    </row>
    <row r="423" ht="20" customHeight="1">
      <c r="A423" s="52">
        <f>IF(PRINT_SHEET!A423="","",PRINT_SHEET!A423)</f>
        <v/>
      </c>
      <c r="B423" s="53">
        <f>IF(PRINT_SHEET!B423="","",PRINT_SHEET!B423)</f>
        <v/>
      </c>
      <c r="C423" s="56">
        <f>IF(PRINT_SHEET!C423="","",PRINT_SHEET!C423)</f>
        <v/>
      </c>
      <c r="D423" s="56">
        <f>IF(PRINT_SHEET!D423="","",PRINT_SHEET!D423)</f>
        <v/>
      </c>
      <c r="E423" s="53">
        <f>IF(PRINT_SHEET!E423="","",PRINT_SHEET!E423)</f>
        <v/>
      </c>
      <c r="F423" s="52">
        <f>IF(PRINT_SHEET!F423="","",PRINT_SHEET!F423)</f>
        <v/>
      </c>
      <c r="G423" s="54">
        <f>IF(PRINT_SHEET!G423="","",PRINT_SHEET!G423)</f>
        <v/>
      </c>
      <c r="H423" s="54">
        <f>IF(PRINT_SHEET!H423="","",PRINT_SHEET!H423)</f>
        <v/>
      </c>
      <c r="I423" s="54">
        <f>IF(PRINT_SHEET!I423="","",PRINT_SHEET!I423)</f>
        <v/>
      </c>
      <c r="J423" s="53">
        <f>IFERROR(INDEX({"ادا شدہ","جزوی","بقایا"},MATCH(PRINT_SHEET!J423,{"PAID","PARTIAL","PENDING"},0)),PRINT_SHEET!J423)</f>
        <v/>
      </c>
      <c r="K423" s="55">
        <f>IF(PRINT_SHEET!K423="","",PRINT_SHEET!K423)</f>
        <v/>
      </c>
      <c r="L423" s="53">
        <f>IF(PRINT_SHEET!L423="","",PRINT_SHEET!L423)</f>
        <v/>
      </c>
    </row>
    <row r="424" ht="20" customHeight="1">
      <c r="A424" s="52">
        <f>IF(PRINT_SHEET!A424="","",PRINT_SHEET!A424)</f>
        <v/>
      </c>
      <c r="B424" s="53">
        <f>IF(PRINT_SHEET!B424="","",PRINT_SHEET!B424)</f>
        <v/>
      </c>
      <c r="C424" s="56">
        <f>IF(PRINT_SHEET!C424="","",PRINT_SHEET!C424)</f>
        <v/>
      </c>
      <c r="D424" s="56">
        <f>IF(PRINT_SHEET!D424="","",PRINT_SHEET!D424)</f>
        <v/>
      </c>
      <c r="E424" s="53">
        <f>IF(PRINT_SHEET!E424="","",PRINT_SHEET!E424)</f>
        <v/>
      </c>
      <c r="F424" s="52">
        <f>IF(PRINT_SHEET!F424="","",PRINT_SHEET!F424)</f>
        <v/>
      </c>
      <c r="G424" s="54">
        <f>IF(PRINT_SHEET!G424="","",PRINT_SHEET!G424)</f>
        <v/>
      </c>
      <c r="H424" s="54">
        <f>IF(PRINT_SHEET!H424="","",PRINT_SHEET!H424)</f>
        <v/>
      </c>
      <c r="I424" s="54">
        <f>IF(PRINT_SHEET!I424="","",PRINT_SHEET!I424)</f>
        <v/>
      </c>
      <c r="J424" s="53">
        <f>IFERROR(INDEX({"ادا شدہ","جزوی","بقایا"},MATCH(PRINT_SHEET!J424,{"PAID","PARTIAL","PENDING"},0)),PRINT_SHEET!J424)</f>
        <v/>
      </c>
      <c r="K424" s="55">
        <f>IF(PRINT_SHEET!K424="","",PRINT_SHEET!K424)</f>
        <v/>
      </c>
      <c r="L424" s="53">
        <f>IF(PRINT_SHEET!L424="","",PRINT_SHEET!L424)</f>
        <v/>
      </c>
    </row>
    <row r="425" ht="20" customHeight="1">
      <c r="A425" s="52">
        <f>IF(PRINT_SHEET!A425="","",PRINT_SHEET!A425)</f>
        <v/>
      </c>
      <c r="B425" s="53">
        <f>IF(PRINT_SHEET!B425="","",PRINT_SHEET!B425)</f>
        <v/>
      </c>
      <c r="C425" s="56">
        <f>IF(PRINT_SHEET!C425="","",PRINT_SHEET!C425)</f>
        <v/>
      </c>
      <c r="D425" s="56">
        <f>IF(PRINT_SHEET!D425="","",PRINT_SHEET!D425)</f>
        <v/>
      </c>
      <c r="E425" s="53">
        <f>IF(PRINT_SHEET!E425="","",PRINT_SHEET!E425)</f>
        <v/>
      </c>
      <c r="F425" s="52">
        <f>IF(PRINT_SHEET!F425="","",PRINT_SHEET!F425)</f>
        <v/>
      </c>
      <c r="G425" s="54">
        <f>IF(PRINT_SHEET!G425="","",PRINT_SHEET!G425)</f>
        <v/>
      </c>
      <c r="H425" s="54">
        <f>IF(PRINT_SHEET!H425="","",PRINT_SHEET!H425)</f>
        <v/>
      </c>
      <c r="I425" s="54">
        <f>IF(PRINT_SHEET!I425="","",PRINT_SHEET!I425)</f>
        <v/>
      </c>
      <c r="J425" s="53">
        <f>IFERROR(INDEX({"ادا شدہ","جزوی","بقایا"},MATCH(PRINT_SHEET!J425,{"PAID","PARTIAL","PENDING"},0)),PRINT_SHEET!J425)</f>
        <v/>
      </c>
      <c r="K425" s="55">
        <f>IF(PRINT_SHEET!K425="","",PRINT_SHEET!K425)</f>
        <v/>
      </c>
      <c r="L425" s="53">
        <f>IF(PRINT_SHEET!L425="","",PRINT_SHEET!L425)</f>
        <v/>
      </c>
    </row>
    <row r="426" ht="20" customHeight="1">
      <c r="A426" s="52">
        <f>IF(PRINT_SHEET!A426="","",PRINT_SHEET!A426)</f>
        <v/>
      </c>
      <c r="B426" s="53">
        <f>IF(PRINT_SHEET!B426="","",PRINT_SHEET!B426)</f>
        <v/>
      </c>
      <c r="C426" s="56">
        <f>IF(PRINT_SHEET!C426="","",PRINT_SHEET!C426)</f>
        <v/>
      </c>
      <c r="D426" s="56">
        <f>IF(PRINT_SHEET!D426="","",PRINT_SHEET!D426)</f>
        <v/>
      </c>
      <c r="E426" s="53">
        <f>IF(PRINT_SHEET!E426="","",PRINT_SHEET!E426)</f>
        <v/>
      </c>
      <c r="F426" s="52">
        <f>IF(PRINT_SHEET!F426="","",PRINT_SHEET!F426)</f>
        <v/>
      </c>
      <c r="G426" s="54">
        <f>IF(PRINT_SHEET!G426="","",PRINT_SHEET!G426)</f>
        <v/>
      </c>
      <c r="H426" s="54">
        <f>IF(PRINT_SHEET!H426="","",PRINT_SHEET!H426)</f>
        <v/>
      </c>
      <c r="I426" s="54">
        <f>IF(PRINT_SHEET!I426="","",PRINT_SHEET!I426)</f>
        <v/>
      </c>
      <c r="J426" s="53">
        <f>IFERROR(INDEX({"ادا شدہ","جزوی","بقایا"},MATCH(PRINT_SHEET!J426,{"PAID","PARTIAL","PENDING"},0)),PRINT_SHEET!J426)</f>
        <v/>
      </c>
      <c r="K426" s="55">
        <f>IF(PRINT_SHEET!K426="","",PRINT_SHEET!K426)</f>
        <v/>
      </c>
      <c r="L426" s="53">
        <f>IF(PRINT_SHEET!L426="","",PRINT_SHEET!L426)</f>
        <v/>
      </c>
    </row>
    <row r="427" ht="20" customHeight="1">
      <c r="A427" s="52">
        <f>IF(PRINT_SHEET!A427="","",PRINT_SHEET!A427)</f>
        <v/>
      </c>
      <c r="B427" s="53">
        <f>IF(PRINT_SHEET!B427="","",PRINT_SHEET!B427)</f>
        <v/>
      </c>
      <c r="C427" s="56">
        <f>IF(PRINT_SHEET!C427="","",PRINT_SHEET!C427)</f>
        <v/>
      </c>
      <c r="D427" s="56">
        <f>IF(PRINT_SHEET!D427="","",PRINT_SHEET!D427)</f>
        <v/>
      </c>
      <c r="E427" s="53">
        <f>IF(PRINT_SHEET!E427="","",PRINT_SHEET!E427)</f>
        <v/>
      </c>
      <c r="F427" s="52">
        <f>IF(PRINT_SHEET!F427="","",PRINT_SHEET!F427)</f>
        <v/>
      </c>
      <c r="G427" s="54">
        <f>IF(PRINT_SHEET!G427="","",PRINT_SHEET!G427)</f>
        <v/>
      </c>
      <c r="H427" s="54">
        <f>IF(PRINT_SHEET!H427="","",PRINT_SHEET!H427)</f>
        <v/>
      </c>
      <c r="I427" s="54">
        <f>IF(PRINT_SHEET!I427="","",PRINT_SHEET!I427)</f>
        <v/>
      </c>
      <c r="J427" s="53">
        <f>IFERROR(INDEX({"ادا شدہ","جزوی","بقایا"},MATCH(PRINT_SHEET!J427,{"PAID","PARTIAL","PENDING"},0)),PRINT_SHEET!J427)</f>
        <v/>
      </c>
      <c r="K427" s="55">
        <f>IF(PRINT_SHEET!K427="","",PRINT_SHEET!K427)</f>
        <v/>
      </c>
      <c r="L427" s="53">
        <f>IF(PRINT_SHEET!L427="","",PRINT_SHEET!L427)</f>
        <v/>
      </c>
    </row>
    <row r="428" ht="20" customHeight="1">
      <c r="A428" s="52">
        <f>IF(PRINT_SHEET!A428="","",PRINT_SHEET!A428)</f>
        <v/>
      </c>
      <c r="B428" s="53">
        <f>IF(PRINT_SHEET!B428="","",PRINT_SHEET!B428)</f>
        <v/>
      </c>
      <c r="C428" s="56">
        <f>IF(PRINT_SHEET!C428="","",PRINT_SHEET!C428)</f>
        <v/>
      </c>
      <c r="D428" s="56">
        <f>IF(PRINT_SHEET!D428="","",PRINT_SHEET!D428)</f>
        <v/>
      </c>
      <c r="E428" s="53">
        <f>IF(PRINT_SHEET!E428="","",PRINT_SHEET!E428)</f>
        <v/>
      </c>
      <c r="F428" s="52">
        <f>IF(PRINT_SHEET!F428="","",PRINT_SHEET!F428)</f>
        <v/>
      </c>
      <c r="G428" s="54">
        <f>IF(PRINT_SHEET!G428="","",PRINT_SHEET!G428)</f>
        <v/>
      </c>
      <c r="H428" s="54">
        <f>IF(PRINT_SHEET!H428="","",PRINT_SHEET!H428)</f>
        <v/>
      </c>
      <c r="I428" s="54">
        <f>IF(PRINT_SHEET!I428="","",PRINT_SHEET!I428)</f>
        <v/>
      </c>
      <c r="J428" s="53">
        <f>IFERROR(INDEX({"ادا شدہ","جزوی","بقایا"},MATCH(PRINT_SHEET!J428,{"PAID","PARTIAL","PENDING"},0)),PRINT_SHEET!J428)</f>
        <v/>
      </c>
      <c r="K428" s="55">
        <f>IF(PRINT_SHEET!K428="","",PRINT_SHEET!K428)</f>
        <v/>
      </c>
      <c r="L428" s="53">
        <f>IF(PRINT_SHEET!L428="","",PRINT_SHEET!L428)</f>
        <v/>
      </c>
    </row>
    <row r="429" ht="20" customHeight="1">
      <c r="A429" s="52">
        <f>IF(PRINT_SHEET!A429="","",PRINT_SHEET!A429)</f>
        <v/>
      </c>
      <c r="B429" s="53">
        <f>IF(PRINT_SHEET!B429="","",PRINT_SHEET!B429)</f>
        <v/>
      </c>
      <c r="C429" s="56">
        <f>IF(PRINT_SHEET!C429="","",PRINT_SHEET!C429)</f>
        <v/>
      </c>
      <c r="D429" s="56">
        <f>IF(PRINT_SHEET!D429="","",PRINT_SHEET!D429)</f>
        <v/>
      </c>
      <c r="E429" s="53">
        <f>IF(PRINT_SHEET!E429="","",PRINT_SHEET!E429)</f>
        <v/>
      </c>
      <c r="F429" s="52">
        <f>IF(PRINT_SHEET!F429="","",PRINT_SHEET!F429)</f>
        <v/>
      </c>
      <c r="G429" s="54">
        <f>IF(PRINT_SHEET!G429="","",PRINT_SHEET!G429)</f>
        <v/>
      </c>
      <c r="H429" s="54">
        <f>IF(PRINT_SHEET!H429="","",PRINT_SHEET!H429)</f>
        <v/>
      </c>
      <c r="I429" s="54">
        <f>IF(PRINT_SHEET!I429="","",PRINT_SHEET!I429)</f>
        <v/>
      </c>
      <c r="J429" s="53">
        <f>IFERROR(INDEX({"ادا شدہ","جزوی","بقایا"},MATCH(PRINT_SHEET!J429,{"PAID","PARTIAL","PENDING"},0)),PRINT_SHEET!J429)</f>
        <v/>
      </c>
      <c r="K429" s="55">
        <f>IF(PRINT_SHEET!K429="","",PRINT_SHEET!K429)</f>
        <v/>
      </c>
      <c r="L429" s="53">
        <f>IF(PRINT_SHEET!L429="","",PRINT_SHEET!L429)</f>
        <v/>
      </c>
    </row>
    <row r="430" ht="20" customHeight="1">
      <c r="A430" s="52">
        <f>IF(PRINT_SHEET!A430="","",PRINT_SHEET!A430)</f>
        <v/>
      </c>
      <c r="B430" s="53">
        <f>IF(PRINT_SHEET!B430="","",PRINT_SHEET!B430)</f>
        <v/>
      </c>
      <c r="C430" s="56">
        <f>IF(PRINT_SHEET!C430="","",PRINT_SHEET!C430)</f>
        <v/>
      </c>
      <c r="D430" s="56">
        <f>IF(PRINT_SHEET!D430="","",PRINT_SHEET!D430)</f>
        <v/>
      </c>
      <c r="E430" s="53">
        <f>IF(PRINT_SHEET!E430="","",PRINT_SHEET!E430)</f>
        <v/>
      </c>
      <c r="F430" s="52">
        <f>IF(PRINT_SHEET!F430="","",PRINT_SHEET!F430)</f>
        <v/>
      </c>
      <c r="G430" s="54">
        <f>IF(PRINT_SHEET!G430="","",PRINT_SHEET!G430)</f>
        <v/>
      </c>
      <c r="H430" s="54">
        <f>IF(PRINT_SHEET!H430="","",PRINT_SHEET!H430)</f>
        <v/>
      </c>
      <c r="I430" s="54">
        <f>IF(PRINT_SHEET!I430="","",PRINT_SHEET!I430)</f>
        <v/>
      </c>
      <c r="J430" s="53">
        <f>IFERROR(INDEX({"ادا شدہ","جزوی","بقایا"},MATCH(PRINT_SHEET!J430,{"PAID","PARTIAL","PENDING"},0)),PRINT_SHEET!J430)</f>
        <v/>
      </c>
      <c r="K430" s="55">
        <f>IF(PRINT_SHEET!K430="","",PRINT_SHEET!K430)</f>
        <v/>
      </c>
      <c r="L430" s="53">
        <f>IF(PRINT_SHEET!L430="","",PRINT_SHEET!L430)</f>
        <v/>
      </c>
    </row>
    <row r="431" ht="20" customHeight="1">
      <c r="A431" s="52">
        <f>IF(PRINT_SHEET!A431="","",PRINT_SHEET!A431)</f>
        <v/>
      </c>
      <c r="B431" s="53">
        <f>IF(PRINT_SHEET!B431="","",PRINT_SHEET!B431)</f>
        <v/>
      </c>
      <c r="C431" s="56">
        <f>IF(PRINT_SHEET!C431="","",PRINT_SHEET!C431)</f>
        <v/>
      </c>
      <c r="D431" s="56">
        <f>IF(PRINT_SHEET!D431="","",PRINT_SHEET!D431)</f>
        <v/>
      </c>
      <c r="E431" s="53">
        <f>IF(PRINT_SHEET!E431="","",PRINT_SHEET!E431)</f>
        <v/>
      </c>
      <c r="F431" s="52">
        <f>IF(PRINT_SHEET!F431="","",PRINT_SHEET!F431)</f>
        <v/>
      </c>
      <c r="G431" s="54">
        <f>IF(PRINT_SHEET!G431="","",PRINT_SHEET!G431)</f>
        <v/>
      </c>
      <c r="H431" s="54">
        <f>IF(PRINT_SHEET!H431="","",PRINT_SHEET!H431)</f>
        <v/>
      </c>
      <c r="I431" s="54">
        <f>IF(PRINT_SHEET!I431="","",PRINT_SHEET!I431)</f>
        <v/>
      </c>
      <c r="J431" s="53">
        <f>IFERROR(INDEX({"ادا شدہ","جزوی","بقایا"},MATCH(PRINT_SHEET!J431,{"PAID","PARTIAL","PENDING"},0)),PRINT_SHEET!J431)</f>
        <v/>
      </c>
      <c r="K431" s="55">
        <f>IF(PRINT_SHEET!K431="","",PRINT_SHEET!K431)</f>
        <v/>
      </c>
      <c r="L431" s="53">
        <f>IF(PRINT_SHEET!L431="","",PRINT_SHEET!L431)</f>
        <v/>
      </c>
    </row>
    <row r="432" ht="20" customHeight="1">
      <c r="A432" s="52">
        <f>IF(PRINT_SHEET!A432="","",PRINT_SHEET!A432)</f>
        <v/>
      </c>
      <c r="B432" s="53">
        <f>IF(PRINT_SHEET!B432="","",PRINT_SHEET!B432)</f>
        <v/>
      </c>
      <c r="C432" s="56">
        <f>IF(PRINT_SHEET!C432="","",PRINT_SHEET!C432)</f>
        <v/>
      </c>
      <c r="D432" s="56">
        <f>IF(PRINT_SHEET!D432="","",PRINT_SHEET!D432)</f>
        <v/>
      </c>
      <c r="E432" s="53">
        <f>IF(PRINT_SHEET!E432="","",PRINT_SHEET!E432)</f>
        <v/>
      </c>
      <c r="F432" s="52">
        <f>IF(PRINT_SHEET!F432="","",PRINT_SHEET!F432)</f>
        <v/>
      </c>
      <c r="G432" s="54">
        <f>IF(PRINT_SHEET!G432="","",PRINT_SHEET!G432)</f>
        <v/>
      </c>
      <c r="H432" s="54">
        <f>IF(PRINT_SHEET!H432="","",PRINT_SHEET!H432)</f>
        <v/>
      </c>
      <c r="I432" s="54">
        <f>IF(PRINT_SHEET!I432="","",PRINT_SHEET!I432)</f>
        <v/>
      </c>
      <c r="J432" s="53">
        <f>IFERROR(INDEX({"ادا شدہ","جزوی","بقایا"},MATCH(PRINT_SHEET!J432,{"PAID","PARTIAL","PENDING"},0)),PRINT_SHEET!J432)</f>
        <v/>
      </c>
      <c r="K432" s="55">
        <f>IF(PRINT_SHEET!K432="","",PRINT_SHEET!K432)</f>
        <v/>
      </c>
      <c r="L432" s="53">
        <f>IF(PRINT_SHEET!L432="","",PRINT_SHEET!L432)</f>
        <v/>
      </c>
    </row>
    <row r="433" ht="20" customHeight="1">
      <c r="A433" s="52">
        <f>IF(PRINT_SHEET!A433="","",PRINT_SHEET!A433)</f>
        <v/>
      </c>
      <c r="B433" s="53">
        <f>IF(PRINT_SHEET!B433="","",PRINT_SHEET!B433)</f>
        <v/>
      </c>
      <c r="C433" s="56">
        <f>IF(PRINT_SHEET!C433="","",PRINT_SHEET!C433)</f>
        <v/>
      </c>
      <c r="D433" s="56">
        <f>IF(PRINT_SHEET!D433="","",PRINT_SHEET!D433)</f>
        <v/>
      </c>
      <c r="E433" s="53">
        <f>IF(PRINT_SHEET!E433="","",PRINT_SHEET!E433)</f>
        <v/>
      </c>
      <c r="F433" s="52">
        <f>IF(PRINT_SHEET!F433="","",PRINT_SHEET!F433)</f>
        <v/>
      </c>
      <c r="G433" s="54">
        <f>IF(PRINT_SHEET!G433="","",PRINT_SHEET!G433)</f>
        <v/>
      </c>
      <c r="H433" s="54">
        <f>IF(PRINT_SHEET!H433="","",PRINT_SHEET!H433)</f>
        <v/>
      </c>
      <c r="I433" s="54">
        <f>IF(PRINT_SHEET!I433="","",PRINT_SHEET!I433)</f>
        <v/>
      </c>
      <c r="J433" s="53">
        <f>IFERROR(INDEX({"ادا شدہ","جزوی","بقایا"},MATCH(PRINT_SHEET!J433,{"PAID","PARTIAL","PENDING"},0)),PRINT_SHEET!J433)</f>
        <v/>
      </c>
      <c r="K433" s="55">
        <f>IF(PRINT_SHEET!K433="","",PRINT_SHEET!K433)</f>
        <v/>
      </c>
      <c r="L433" s="53">
        <f>IF(PRINT_SHEET!L433="","",PRINT_SHEET!L433)</f>
        <v/>
      </c>
    </row>
    <row r="434" ht="20" customHeight="1">
      <c r="A434" s="52">
        <f>IF(PRINT_SHEET!A434="","",PRINT_SHEET!A434)</f>
        <v/>
      </c>
      <c r="B434" s="53">
        <f>IF(PRINT_SHEET!B434="","",PRINT_SHEET!B434)</f>
        <v/>
      </c>
      <c r="C434" s="56">
        <f>IF(PRINT_SHEET!C434="","",PRINT_SHEET!C434)</f>
        <v/>
      </c>
      <c r="D434" s="56">
        <f>IF(PRINT_SHEET!D434="","",PRINT_SHEET!D434)</f>
        <v/>
      </c>
      <c r="E434" s="53">
        <f>IF(PRINT_SHEET!E434="","",PRINT_SHEET!E434)</f>
        <v/>
      </c>
      <c r="F434" s="52">
        <f>IF(PRINT_SHEET!F434="","",PRINT_SHEET!F434)</f>
        <v/>
      </c>
      <c r="G434" s="54">
        <f>IF(PRINT_SHEET!G434="","",PRINT_SHEET!G434)</f>
        <v/>
      </c>
      <c r="H434" s="54">
        <f>IF(PRINT_SHEET!H434="","",PRINT_SHEET!H434)</f>
        <v/>
      </c>
      <c r="I434" s="54">
        <f>IF(PRINT_SHEET!I434="","",PRINT_SHEET!I434)</f>
        <v/>
      </c>
      <c r="J434" s="53">
        <f>IFERROR(INDEX({"ادا شدہ","جزوی","بقایا"},MATCH(PRINT_SHEET!J434,{"PAID","PARTIAL","PENDING"},0)),PRINT_SHEET!J434)</f>
        <v/>
      </c>
      <c r="K434" s="55">
        <f>IF(PRINT_SHEET!K434="","",PRINT_SHEET!K434)</f>
        <v/>
      </c>
      <c r="L434" s="53">
        <f>IF(PRINT_SHEET!L434="","",PRINT_SHEET!L434)</f>
        <v/>
      </c>
    </row>
    <row r="435" ht="20" customHeight="1">
      <c r="A435" s="52">
        <f>IF(PRINT_SHEET!A435="","",PRINT_SHEET!A435)</f>
        <v/>
      </c>
      <c r="B435" s="53">
        <f>IF(PRINT_SHEET!B435="","",PRINT_SHEET!B435)</f>
        <v/>
      </c>
      <c r="C435" s="56">
        <f>IF(PRINT_SHEET!C435="","",PRINT_SHEET!C435)</f>
        <v/>
      </c>
      <c r="D435" s="56">
        <f>IF(PRINT_SHEET!D435="","",PRINT_SHEET!D435)</f>
        <v/>
      </c>
      <c r="E435" s="53">
        <f>IF(PRINT_SHEET!E435="","",PRINT_SHEET!E435)</f>
        <v/>
      </c>
      <c r="F435" s="52">
        <f>IF(PRINT_SHEET!F435="","",PRINT_SHEET!F435)</f>
        <v/>
      </c>
      <c r="G435" s="54">
        <f>IF(PRINT_SHEET!G435="","",PRINT_SHEET!G435)</f>
        <v/>
      </c>
      <c r="H435" s="54">
        <f>IF(PRINT_SHEET!H435="","",PRINT_SHEET!H435)</f>
        <v/>
      </c>
      <c r="I435" s="54">
        <f>IF(PRINT_SHEET!I435="","",PRINT_SHEET!I435)</f>
        <v/>
      </c>
      <c r="J435" s="53">
        <f>IFERROR(INDEX({"ادا شدہ","جزوی","بقایا"},MATCH(PRINT_SHEET!J435,{"PAID","PARTIAL","PENDING"},0)),PRINT_SHEET!J435)</f>
        <v/>
      </c>
      <c r="K435" s="55">
        <f>IF(PRINT_SHEET!K435="","",PRINT_SHEET!K435)</f>
        <v/>
      </c>
      <c r="L435" s="53">
        <f>IF(PRINT_SHEET!L435="","",PRINT_SHEET!L435)</f>
        <v/>
      </c>
    </row>
    <row r="436" ht="20" customHeight="1">
      <c r="A436" s="52">
        <f>IF(PRINT_SHEET!A436="","",PRINT_SHEET!A436)</f>
        <v/>
      </c>
      <c r="B436" s="53">
        <f>IF(PRINT_SHEET!B436="","",PRINT_SHEET!B436)</f>
        <v/>
      </c>
      <c r="C436" s="56">
        <f>IF(PRINT_SHEET!C436="","",PRINT_SHEET!C436)</f>
        <v/>
      </c>
      <c r="D436" s="56">
        <f>IF(PRINT_SHEET!D436="","",PRINT_SHEET!D436)</f>
        <v/>
      </c>
      <c r="E436" s="53">
        <f>IF(PRINT_SHEET!E436="","",PRINT_SHEET!E436)</f>
        <v/>
      </c>
      <c r="F436" s="52">
        <f>IF(PRINT_SHEET!F436="","",PRINT_SHEET!F436)</f>
        <v/>
      </c>
      <c r="G436" s="54">
        <f>IF(PRINT_SHEET!G436="","",PRINT_SHEET!G436)</f>
        <v/>
      </c>
      <c r="H436" s="54">
        <f>IF(PRINT_SHEET!H436="","",PRINT_SHEET!H436)</f>
        <v/>
      </c>
      <c r="I436" s="54">
        <f>IF(PRINT_SHEET!I436="","",PRINT_SHEET!I436)</f>
        <v/>
      </c>
      <c r="J436" s="53">
        <f>IFERROR(INDEX({"ادا شدہ","جزوی","بقایا"},MATCH(PRINT_SHEET!J436,{"PAID","PARTIAL","PENDING"},0)),PRINT_SHEET!J436)</f>
        <v/>
      </c>
      <c r="K436" s="55">
        <f>IF(PRINT_SHEET!K436="","",PRINT_SHEET!K436)</f>
        <v/>
      </c>
      <c r="L436" s="53">
        <f>IF(PRINT_SHEET!L436="","",PRINT_SHEET!L436)</f>
        <v/>
      </c>
    </row>
    <row r="437" ht="20" customHeight="1">
      <c r="A437" s="52">
        <f>IF(PRINT_SHEET!A437="","",PRINT_SHEET!A437)</f>
        <v/>
      </c>
      <c r="B437" s="53">
        <f>IF(PRINT_SHEET!B437="","",PRINT_SHEET!B437)</f>
        <v/>
      </c>
      <c r="C437" s="56">
        <f>IF(PRINT_SHEET!C437="","",PRINT_SHEET!C437)</f>
        <v/>
      </c>
      <c r="D437" s="56">
        <f>IF(PRINT_SHEET!D437="","",PRINT_SHEET!D437)</f>
        <v/>
      </c>
      <c r="E437" s="53">
        <f>IF(PRINT_SHEET!E437="","",PRINT_SHEET!E437)</f>
        <v/>
      </c>
      <c r="F437" s="52">
        <f>IF(PRINT_SHEET!F437="","",PRINT_SHEET!F437)</f>
        <v/>
      </c>
      <c r="G437" s="54">
        <f>IF(PRINT_SHEET!G437="","",PRINT_SHEET!G437)</f>
        <v/>
      </c>
      <c r="H437" s="54">
        <f>IF(PRINT_SHEET!H437="","",PRINT_SHEET!H437)</f>
        <v/>
      </c>
      <c r="I437" s="54">
        <f>IF(PRINT_SHEET!I437="","",PRINT_SHEET!I437)</f>
        <v/>
      </c>
      <c r="J437" s="53">
        <f>IFERROR(INDEX({"ادا شدہ","جزوی","بقایا"},MATCH(PRINT_SHEET!J437,{"PAID","PARTIAL","PENDING"},0)),PRINT_SHEET!J437)</f>
        <v/>
      </c>
      <c r="K437" s="55">
        <f>IF(PRINT_SHEET!K437="","",PRINT_SHEET!K437)</f>
        <v/>
      </c>
      <c r="L437" s="53">
        <f>IF(PRINT_SHEET!L437="","",PRINT_SHEET!L437)</f>
        <v/>
      </c>
    </row>
    <row r="438" ht="20" customHeight="1">
      <c r="A438" s="52">
        <f>IF(PRINT_SHEET!A438="","",PRINT_SHEET!A438)</f>
        <v/>
      </c>
      <c r="B438" s="53">
        <f>IF(PRINT_SHEET!B438="","",PRINT_SHEET!B438)</f>
        <v/>
      </c>
      <c r="C438" s="56">
        <f>IF(PRINT_SHEET!C438="","",PRINT_SHEET!C438)</f>
        <v/>
      </c>
      <c r="D438" s="56">
        <f>IF(PRINT_SHEET!D438="","",PRINT_SHEET!D438)</f>
        <v/>
      </c>
      <c r="E438" s="53">
        <f>IF(PRINT_SHEET!E438="","",PRINT_SHEET!E438)</f>
        <v/>
      </c>
      <c r="F438" s="52">
        <f>IF(PRINT_SHEET!F438="","",PRINT_SHEET!F438)</f>
        <v/>
      </c>
      <c r="G438" s="54">
        <f>IF(PRINT_SHEET!G438="","",PRINT_SHEET!G438)</f>
        <v/>
      </c>
      <c r="H438" s="54">
        <f>IF(PRINT_SHEET!H438="","",PRINT_SHEET!H438)</f>
        <v/>
      </c>
      <c r="I438" s="54">
        <f>IF(PRINT_SHEET!I438="","",PRINT_SHEET!I438)</f>
        <v/>
      </c>
      <c r="J438" s="53">
        <f>IFERROR(INDEX({"ادا شدہ","جزوی","بقایا"},MATCH(PRINT_SHEET!J438,{"PAID","PARTIAL","PENDING"},0)),PRINT_SHEET!J438)</f>
        <v/>
      </c>
      <c r="K438" s="55">
        <f>IF(PRINT_SHEET!K438="","",PRINT_SHEET!K438)</f>
        <v/>
      </c>
      <c r="L438" s="53">
        <f>IF(PRINT_SHEET!L438="","",PRINT_SHEET!L438)</f>
        <v/>
      </c>
    </row>
    <row r="439" ht="20" customHeight="1">
      <c r="A439" s="52">
        <f>IF(PRINT_SHEET!A439="","",PRINT_SHEET!A439)</f>
        <v/>
      </c>
      <c r="B439" s="53">
        <f>IF(PRINT_SHEET!B439="","",PRINT_SHEET!B439)</f>
        <v/>
      </c>
      <c r="C439" s="56">
        <f>IF(PRINT_SHEET!C439="","",PRINT_SHEET!C439)</f>
        <v/>
      </c>
      <c r="D439" s="56">
        <f>IF(PRINT_SHEET!D439="","",PRINT_SHEET!D439)</f>
        <v/>
      </c>
      <c r="E439" s="53">
        <f>IF(PRINT_SHEET!E439="","",PRINT_SHEET!E439)</f>
        <v/>
      </c>
      <c r="F439" s="52">
        <f>IF(PRINT_SHEET!F439="","",PRINT_SHEET!F439)</f>
        <v/>
      </c>
      <c r="G439" s="54">
        <f>IF(PRINT_SHEET!G439="","",PRINT_SHEET!G439)</f>
        <v/>
      </c>
      <c r="H439" s="54">
        <f>IF(PRINT_SHEET!H439="","",PRINT_SHEET!H439)</f>
        <v/>
      </c>
      <c r="I439" s="54">
        <f>IF(PRINT_SHEET!I439="","",PRINT_SHEET!I439)</f>
        <v/>
      </c>
      <c r="J439" s="53">
        <f>IFERROR(INDEX({"ادا شدہ","جزوی","بقایا"},MATCH(PRINT_SHEET!J439,{"PAID","PARTIAL","PENDING"},0)),PRINT_SHEET!J439)</f>
        <v/>
      </c>
      <c r="K439" s="55">
        <f>IF(PRINT_SHEET!K439="","",PRINT_SHEET!K439)</f>
        <v/>
      </c>
      <c r="L439" s="53">
        <f>IF(PRINT_SHEET!L439="","",PRINT_SHEET!L439)</f>
        <v/>
      </c>
    </row>
    <row r="440" ht="20" customHeight="1">
      <c r="A440" s="52">
        <f>IF(PRINT_SHEET!A440="","",PRINT_SHEET!A440)</f>
        <v/>
      </c>
      <c r="B440" s="53">
        <f>IF(PRINT_SHEET!B440="","",PRINT_SHEET!B440)</f>
        <v/>
      </c>
      <c r="C440" s="56">
        <f>IF(PRINT_SHEET!C440="","",PRINT_SHEET!C440)</f>
        <v/>
      </c>
      <c r="D440" s="56">
        <f>IF(PRINT_SHEET!D440="","",PRINT_SHEET!D440)</f>
        <v/>
      </c>
      <c r="E440" s="53">
        <f>IF(PRINT_SHEET!E440="","",PRINT_SHEET!E440)</f>
        <v/>
      </c>
      <c r="F440" s="52">
        <f>IF(PRINT_SHEET!F440="","",PRINT_SHEET!F440)</f>
        <v/>
      </c>
      <c r="G440" s="54">
        <f>IF(PRINT_SHEET!G440="","",PRINT_SHEET!G440)</f>
        <v/>
      </c>
      <c r="H440" s="54">
        <f>IF(PRINT_SHEET!H440="","",PRINT_SHEET!H440)</f>
        <v/>
      </c>
      <c r="I440" s="54">
        <f>IF(PRINT_SHEET!I440="","",PRINT_SHEET!I440)</f>
        <v/>
      </c>
      <c r="J440" s="53">
        <f>IFERROR(INDEX({"ادا شدہ","جزوی","بقایا"},MATCH(PRINT_SHEET!J440,{"PAID","PARTIAL","PENDING"},0)),PRINT_SHEET!J440)</f>
        <v/>
      </c>
      <c r="K440" s="55">
        <f>IF(PRINT_SHEET!K440="","",PRINT_SHEET!K440)</f>
        <v/>
      </c>
      <c r="L440" s="53">
        <f>IF(PRINT_SHEET!L440="","",PRINT_SHEET!L440)</f>
        <v/>
      </c>
    </row>
    <row r="441" ht="20" customHeight="1">
      <c r="A441" s="52">
        <f>IF(PRINT_SHEET!A441="","",PRINT_SHEET!A441)</f>
        <v/>
      </c>
      <c r="B441" s="53">
        <f>IF(PRINT_SHEET!B441="","",PRINT_SHEET!B441)</f>
        <v/>
      </c>
      <c r="C441" s="56">
        <f>IF(PRINT_SHEET!C441="","",PRINT_SHEET!C441)</f>
        <v/>
      </c>
      <c r="D441" s="56">
        <f>IF(PRINT_SHEET!D441="","",PRINT_SHEET!D441)</f>
        <v/>
      </c>
      <c r="E441" s="53">
        <f>IF(PRINT_SHEET!E441="","",PRINT_SHEET!E441)</f>
        <v/>
      </c>
      <c r="F441" s="52">
        <f>IF(PRINT_SHEET!F441="","",PRINT_SHEET!F441)</f>
        <v/>
      </c>
      <c r="G441" s="54">
        <f>IF(PRINT_SHEET!G441="","",PRINT_SHEET!G441)</f>
        <v/>
      </c>
      <c r="H441" s="54">
        <f>IF(PRINT_SHEET!H441="","",PRINT_SHEET!H441)</f>
        <v/>
      </c>
      <c r="I441" s="54">
        <f>IF(PRINT_SHEET!I441="","",PRINT_SHEET!I441)</f>
        <v/>
      </c>
      <c r="J441" s="53">
        <f>IFERROR(INDEX({"ادا شدہ","جزوی","بقایا"},MATCH(PRINT_SHEET!J441,{"PAID","PARTIAL","PENDING"},0)),PRINT_SHEET!J441)</f>
        <v/>
      </c>
      <c r="K441" s="55">
        <f>IF(PRINT_SHEET!K441="","",PRINT_SHEET!K441)</f>
        <v/>
      </c>
      <c r="L441" s="53">
        <f>IF(PRINT_SHEET!L441="","",PRINT_SHEET!L441)</f>
        <v/>
      </c>
    </row>
    <row r="442" ht="20" customHeight="1">
      <c r="A442" s="52">
        <f>IF(PRINT_SHEET!A442="","",PRINT_SHEET!A442)</f>
        <v/>
      </c>
      <c r="B442" s="53">
        <f>IF(PRINT_SHEET!B442="","",PRINT_SHEET!B442)</f>
        <v/>
      </c>
      <c r="C442" s="56">
        <f>IF(PRINT_SHEET!C442="","",PRINT_SHEET!C442)</f>
        <v/>
      </c>
      <c r="D442" s="56">
        <f>IF(PRINT_SHEET!D442="","",PRINT_SHEET!D442)</f>
        <v/>
      </c>
      <c r="E442" s="53">
        <f>IF(PRINT_SHEET!E442="","",PRINT_SHEET!E442)</f>
        <v/>
      </c>
      <c r="F442" s="52">
        <f>IF(PRINT_SHEET!F442="","",PRINT_SHEET!F442)</f>
        <v/>
      </c>
      <c r="G442" s="54">
        <f>IF(PRINT_SHEET!G442="","",PRINT_SHEET!G442)</f>
        <v/>
      </c>
      <c r="H442" s="54">
        <f>IF(PRINT_SHEET!H442="","",PRINT_SHEET!H442)</f>
        <v/>
      </c>
      <c r="I442" s="54">
        <f>IF(PRINT_SHEET!I442="","",PRINT_SHEET!I442)</f>
        <v/>
      </c>
      <c r="J442" s="53">
        <f>IFERROR(INDEX({"ادا شدہ","جزوی","بقایا"},MATCH(PRINT_SHEET!J442,{"PAID","PARTIAL","PENDING"},0)),PRINT_SHEET!J442)</f>
        <v/>
      </c>
      <c r="K442" s="55">
        <f>IF(PRINT_SHEET!K442="","",PRINT_SHEET!K442)</f>
        <v/>
      </c>
      <c r="L442" s="53">
        <f>IF(PRINT_SHEET!L442="","",PRINT_SHEET!L442)</f>
        <v/>
      </c>
    </row>
    <row r="443" ht="20" customHeight="1">
      <c r="A443" s="52">
        <f>IF(PRINT_SHEET!A443="","",PRINT_SHEET!A443)</f>
        <v/>
      </c>
      <c r="B443" s="53">
        <f>IF(PRINT_SHEET!B443="","",PRINT_SHEET!B443)</f>
        <v/>
      </c>
      <c r="C443" s="56">
        <f>IF(PRINT_SHEET!C443="","",PRINT_SHEET!C443)</f>
        <v/>
      </c>
      <c r="D443" s="56">
        <f>IF(PRINT_SHEET!D443="","",PRINT_SHEET!D443)</f>
        <v/>
      </c>
      <c r="E443" s="53">
        <f>IF(PRINT_SHEET!E443="","",PRINT_SHEET!E443)</f>
        <v/>
      </c>
      <c r="F443" s="52">
        <f>IF(PRINT_SHEET!F443="","",PRINT_SHEET!F443)</f>
        <v/>
      </c>
      <c r="G443" s="54">
        <f>IF(PRINT_SHEET!G443="","",PRINT_SHEET!G443)</f>
        <v/>
      </c>
      <c r="H443" s="54">
        <f>IF(PRINT_SHEET!H443="","",PRINT_SHEET!H443)</f>
        <v/>
      </c>
      <c r="I443" s="54">
        <f>IF(PRINT_SHEET!I443="","",PRINT_SHEET!I443)</f>
        <v/>
      </c>
      <c r="J443" s="53">
        <f>IFERROR(INDEX({"ادا شدہ","جزوی","بقایا"},MATCH(PRINT_SHEET!J443,{"PAID","PARTIAL","PENDING"},0)),PRINT_SHEET!J443)</f>
        <v/>
      </c>
      <c r="K443" s="55">
        <f>IF(PRINT_SHEET!K443="","",PRINT_SHEET!K443)</f>
        <v/>
      </c>
      <c r="L443" s="53">
        <f>IF(PRINT_SHEET!L443="","",PRINT_SHEET!L443)</f>
        <v/>
      </c>
    </row>
    <row r="444" ht="20" customHeight="1">
      <c r="A444" s="52">
        <f>IF(PRINT_SHEET!A444="","",PRINT_SHEET!A444)</f>
        <v/>
      </c>
      <c r="B444" s="53">
        <f>IF(PRINT_SHEET!B444="","",PRINT_SHEET!B444)</f>
        <v/>
      </c>
      <c r="C444" s="56">
        <f>IF(PRINT_SHEET!C444="","",PRINT_SHEET!C444)</f>
        <v/>
      </c>
      <c r="D444" s="56">
        <f>IF(PRINT_SHEET!D444="","",PRINT_SHEET!D444)</f>
        <v/>
      </c>
      <c r="E444" s="53">
        <f>IF(PRINT_SHEET!E444="","",PRINT_SHEET!E444)</f>
        <v/>
      </c>
      <c r="F444" s="52">
        <f>IF(PRINT_SHEET!F444="","",PRINT_SHEET!F444)</f>
        <v/>
      </c>
      <c r="G444" s="54">
        <f>IF(PRINT_SHEET!G444="","",PRINT_SHEET!G444)</f>
        <v/>
      </c>
      <c r="H444" s="54">
        <f>IF(PRINT_SHEET!H444="","",PRINT_SHEET!H444)</f>
        <v/>
      </c>
      <c r="I444" s="54">
        <f>IF(PRINT_SHEET!I444="","",PRINT_SHEET!I444)</f>
        <v/>
      </c>
      <c r="J444" s="53">
        <f>IFERROR(INDEX({"ادا شدہ","جزوی","بقایا"},MATCH(PRINT_SHEET!J444,{"PAID","PARTIAL","PENDING"},0)),PRINT_SHEET!J444)</f>
        <v/>
      </c>
      <c r="K444" s="55">
        <f>IF(PRINT_SHEET!K444="","",PRINT_SHEET!K444)</f>
        <v/>
      </c>
      <c r="L444" s="53">
        <f>IF(PRINT_SHEET!L444="","",PRINT_SHEET!L444)</f>
        <v/>
      </c>
    </row>
    <row r="445" ht="20" customHeight="1">
      <c r="A445" s="52">
        <f>IF(PRINT_SHEET!A445="","",PRINT_SHEET!A445)</f>
        <v/>
      </c>
      <c r="B445" s="53">
        <f>IF(PRINT_SHEET!B445="","",PRINT_SHEET!B445)</f>
        <v/>
      </c>
      <c r="C445" s="56">
        <f>IF(PRINT_SHEET!C445="","",PRINT_SHEET!C445)</f>
        <v/>
      </c>
      <c r="D445" s="56">
        <f>IF(PRINT_SHEET!D445="","",PRINT_SHEET!D445)</f>
        <v/>
      </c>
      <c r="E445" s="53">
        <f>IF(PRINT_SHEET!E445="","",PRINT_SHEET!E445)</f>
        <v/>
      </c>
      <c r="F445" s="52">
        <f>IF(PRINT_SHEET!F445="","",PRINT_SHEET!F445)</f>
        <v/>
      </c>
      <c r="G445" s="54">
        <f>IF(PRINT_SHEET!G445="","",PRINT_SHEET!G445)</f>
        <v/>
      </c>
      <c r="H445" s="54">
        <f>IF(PRINT_SHEET!H445="","",PRINT_SHEET!H445)</f>
        <v/>
      </c>
      <c r="I445" s="54">
        <f>IF(PRINT_SHEET!I445="","",PRINT_SHEET!I445)</f>
        <v/>
      </c>
      <c r="J445" s="53">
        <f>IFERROR(INDEX({"ادا شدہ","جزوی","بقایا"},MATCH(PRINT_SHEET!J445,{"PAID","PARTIAL","PENDING"},0)),PRINT_SHEET!J445)</f>
        <v/>
      </c>
      <c r="K445" s="55">
        <f>IF(PRINT_SHEET!K445="","",PRINT_SHEET!K445)</f>
        <v/>
      </c>
      <c r="L445" s="53">
        <f>IF(PRINT_SHEET!L445="","",PRINT_SHEET!L445)</f>
        <v/>
      </c>
    </row>
    <row r="446" ht="20" customHeight="1">
      <c r="A446" s="52">
        <f>IF(PRINT_SHEET!A446="","",PRINT_SHEET!A446)</f>
        <v/>
      </c>
      <c r="B446" s="53">
        <f>IF(PRINT_SHEET!B446="","",PRINT_SHEET!B446)</f>
        <v/>
      </c>
      <c r="C446" s="56">
        <f>IF(PRINT_SHEET!C446="","",PRINT_SHEET!C446)</f>
        <v/>
      </c>
      <c r="D446" s="56">
        <f>IF(PRINT_SHEET!D446="","",PRINT_SHEET!D446)</f>
        <v/>
      </c>
      <c r="E446" s="53">
        <f>IF(PRINT_SHEET!E446="","",PRINT_SHEET!E446)</f>
        <v/>
      </c>
      <c r="F446" s="52">
        <f>IF(PRINT_SHEET!F446="","",PRINT_SHEET!F446)</f>
        <v/>
      </c>
      <c r="G446" s="54">
        <f>IF(PRINT_SHEET!G446="","",PRINT_SHEET!G446)</f>
        <v/>
      </c>
      <c r="H446" s="54">
        <f>IF(PRINT_SHEET!H446="","",PRINT_SHEET!H446)</f>
        <v/>
      </c>
      <c r="I446" s="54">
        <f>IF(PRINT_SHEET!I446="","",PRINT_SHEET!I446)</f>
        <v/>
      </c>
      <c r="J446" s="53">
        <f>IFERROR(INDEX({"ادا شدہ","جزوی","بقایا"},MATCH(PRINT_SHEET!J446,{"PAID","PARTIAL","PENDING"},0)),PRINT_SHEET!J446)</f>
        <v/>
      </c>
      <c r="K446" s="55">
        <f>IF(PRINT_SHEET!K446="","",PRINT_SHEET!K446)</f>
        <v/>
      </c>
      <c r="L446" s="53">
        <f>IF(PRINT_SHEET!L446="","",PRINT_SHEET!L446)</f>
        <v/>
      </c>
    </row>
    <row r="447" ht="20" customHeight="1">
      <c r="A447" s="52">
        <f>IF(PRINT_SHEET!A447="","",PRINT_SHEET!A447)</f>
        <v/>
      </c>
      <c r="B447" s="53">
        <f>IF(PRINT_SHEET!B447="","",PRINT_SHEET!B447)</f>
        <v/>
      </c>
      <c r="C447" s="56">
        <f>IF(PRINT_SHEET!C447="","",PRINT_SHEET!C447)</f>
        <v/>
      </c>
      <c r="D447" s="56">
        <f>IF(PRINT_SHEET!D447="","",PRINT_SHEET!D447)</f>
        <v/>
      </c>
      <c r="E447" s="53">
        <f>IF(PRINT_SHEET!E447="","",PRINT_SHEET!E447)</f>
        <v/>
      </c>
      <c r="F447" s="52">
        <f>IF(PRINT_SHEET!F447="","",PRINT_SHEET!F447)</f>
        <v/>
      </c>
      <c r="G447" s="54">
        <f>IF(PRINT_SHEET!G447="","",PRINT_SHEET!G447)</f>
        <v/>
      </c>
      <c r="H447" s="54">
        <f>IF(PRINT_SHEET!H447="","",PRINT_SHEET!H447)</f>
        <v/>
      </c>
      <c r="I447" s="54">
        <f>IF(PRINT_SHEET!I447="","",PRINT_SHEET!I447)</f>
        <v/>
      </c>
      <c r="J447" s="53">
        <f>IFERROR(INDEX({"ادا شدہ","جزوی","بقایا"},MATCH(PRINT_SHEET!J447,{"PAID","PARTIAL","PENDING"},0)),PRINT_SHEET!J447)</f>
        <v/>
      </c>
      <c r="K447" s="55">
        <f>IF(PRINT_SHEET!K447="","",PRINT_SHEET!K447)</f>
        <v/>
      </c>
      <c r="L447" s="53">
        <f>IF(PRINT_SHEET!L447="","",PRINT_SHEET!L447)</f>
        <v/>
      </c>
    </row>
    <row r="448" ht="20" customHeight="1">
      <c r="A448" s="52">
        <f>IF(PRINT_SHEET!A448="","",PRINT_SHEET!A448)</f>
        <v/>
      </c>
      <c r="B448" s="53">
        <f>IF(PRINT_SHEET!B448="","",PRINT_SHEET!B448)</f>
        <v/>
      </c>
      <c r="C448" s="56">
        <f>IF(PRINT_SHEET!C448="","",PRINT_SHEET!C448)</f>
        <v/>
      </c>
      <c r="D448" s="56">
        <f>IF(PRINT_SHEET!D448="","",PRINT_SHEET!D448)</f>
        <v/>
      </c>
      <c r="E448" s="53">
        <f>IF(PRINT_SHEET!E448="","",PRINT_SHEET!E448)</f>
        <v/>
      </c>
      <c r="F448" s="52">
        <f>IF(PRINT_SHEET!F448="","",PRINT_SHEET!F448)</f>
        <v/>
      </c>
      <c r="G448" s="54">
        <f>IF(PRINT_SHEET!G448="","",PRINT_SHEET!G448)</f>
        <v/>
      </c>
      <c r="H448" s="54">
        <f>IF(PRINT_SHEET!H448="","",PRINT_SHEET!H448)</f>
        <v/>
      </c>
      <c r="I448" s="54">
        <f>IF(PRINT_SHEET!I448="","",PRINT_SHEET!I448)</f>
        <v/>
      </c>
      <c r="J448" s="53">
        <f>IFERROR(INDEX({"ادا شدہ","جزوی","بقایا"},MATCH(PRINT_SHEET!J448,{"PAID","PARTIAL","PENDING"},0)),PRINT_SHEET!J448)</f>
        <v/>
      </c>
      <c r="K448" s="55">
        <f>IF(PRINT_SHEET!K448="","",PRINT_SHEET!K448)</f>
        <v/>
      </c>
      <c r="L448" s="53">
        <f>IF(PRINT_SHEET!L448="","",PRINT_SHEET!L448)</f>
        <v/>
      </c>
    </row>
    <row r="449" ht="20" customHeight="1">
      <c r="A449" s="52">
        <f>IF(PRINT_SHEET!A449="","",PRINT_SHEET!A449)</f>
        <v/>
      </c>
      <c r="B449" s="53">
        <f>IF(PRINT_SHEET!B449="","",PRINT_SHEET!B449)</f>
        <v/>
      </c>
      <c r="C449" s="56">
        <f>IF(PRINT_SHEET!C449="","",PRINT_SHEET!C449)</f>
        <v/>
      </c>
      <c r="D449" s="56">
        <f>IF(PRINT_SHEET!D449="","",PRINT_SHEET!D449)</f>
        <v/>
      </c>
      <c r="E449" s="53">
        <f>IF(PRINT_SHEET!E449="","",PRINT_SHEET!E449)</f>
        <v/>
      </c>
      <c r="F449" s="52">
        <f>IF(PRINT_SHEET!F449="","",PRINT_SHEET!F449)</f>
        <v/>
      </c>
      <c r="G449" s="54">
        <f>IF(PRINT_SHEET!G449="","",PRINT_SHEET!G449)</f>
        <v/>
      </c>
      <c r="H449" s="54">
        <f>IF(PRINT_SHEET!H449="","",PRINT_SHEET!H449)</f>
        <v/>
      </c>
      <c r="I449" s="54">
        <f>IF(PRINT_SHEET!I449="","",PRINT_SHEET!I449)</f>
        <v/>
      </c>
      <c r="J449" s="53">
        <f>IFERROR(INDEX({"ادا شدہ","جزوی","بقایا"},MATCH(PRINT_SHEET!J449,{"PAID","PARTIAL","PENDING"},0)),PRINT_SHEET!J449)</f>
        <v/>
      </c>
      <c r="K449" s="55">
        <f>IF(PRINT_SHEET!K449="","",PRINT_SHEET!K449)</f>
        <v/>
      </c>
      <c r="L449" s="53">
        <f>IF(PRINT_SHEET!L449="","",PRINT_SHEET!L449)</f>
        <v/>
      </c>
    </row>
    <row r="450" ht="20" customHeight="1">
      <c r="A450" s="52">
        <f>IF(PRINT_SHEET!A450="","",PRINT_SHEET!A450)</f>
        <v/>
      </c>
      <c r="B450" s="53">
        <f>IF(PRINT_SHEET!B450="","",PRINT_SHEET!B450)</f>
        <v/>
      </c>
      <c r="C450" s="56">
        <f>IF(PRINT_SHEET!C450="","",PRINT_SHEET!C450)</f>
        <v/>
      </c>
      <c r="D450" s="56">
        <f>IF(PRINT_SHEET!D450="","",PRINT_SHEET!D450)</f>
        <v/>
      </c>
      <c r="E450" s="53">
        <f>IF(PRINT_SHEET!E450="","",PRINT_SHEET!E450)</f>
        <v/>
      </c>
      <c r="F450" s="52">
        <f>IF(PRINT_SHEET!F450="","",PRINT_SHEET!F450)</f>
        <v/>
      </c>
      <c r="G450" s="54">
        <f>IF(PRINT_SHEET!G450="","",PRINT_SHEET!G450)</f>
        <v/>
      </c>
      <c r="H450" s="54">
        <f>IF(PRINT_SHEET!H450="","",PRINT_SHEET!H450)</f>
        <v/>
      </c>
      <c r="I450" s="54">
        <f>IF(PRINT_SHEET!I450="","",PRINT_SHEET!I450)</f>
        <v/>
      </c>
      <c r="J450" s="53">
        <f>IFERROR(INDEX({"ادا شدہ","جزوی","بقایا"},MATCH(PRINT_SHEET!J450,{"PAID","PARTIAL","PENDING"},0)),PRINT_SHEET!J450)</f>
        <v/>
      </c>
      <c r="K450" s="55">
        <f>IF(PRINT_SHEET!K450="","",PRINT_SHEET!K450)</f>
        <v/>
      </c>
      <c r="L450" s="53">
        <f>IF(PRINT_SHEET!L450="","",PRINT_SHEET!L450)</f>
        <v/>
      </c>
    </row>
    <row r="451" ht="20" customHeight="1">
      <c r="A451" s="52">
        <f>IF(PRINT_SHEET!A451="","",PRINT_SHEET!A451)</f>
        <v/>
      </c>
      <c r="B451" s="53">
        <f>IF(PRINT_SHEET!B451="","",PRINT_SHEET!B451)</f>
        <v/>
      </c>
      <c r="C451" s="56">
        <f>IF(PRINT_SHEET!C451="","",PRINT_SHEET!C451)</f>
        <v/>
      </c>
      <c r="D451" s="56">
        <f>IF(PRINT_SHEET!D451="","",PRINT_SHEET!D451)</f>
        <v/>
      </c>
      <c r="E451" s="53">
        <f>IF(PRINT_SHEET!E451="","",PRINT_SHEET!E451)</f>
        <v/>
      </c>
      <c r="F451" s="52">
        <f>IF(PRINT_SHEET!F451="","",PRINT_SHEET!F451)</f>
        <v/>
      </c>
      <c r="G451" s="54">
        <f>IF(PRINT_SHEET!G451="","",PRINT_SHEET!G451)</f>
        <v/>
      </c>
      <c r="H451" s="54">
        <f>IF(PRINT_SHEET!H451="","",PRINT_SHEET!H451)</f>
        <v/>
      </c>
      <c r="I451" s="54">
        <f>IF(PRINT_SHEET!I451="","",PRINT_SHEET!I451)</f>
        <v/>
      </c>
      <c r="J451" s="53">
        <f>IFERROR(INDEX({"ادا شدہ","جزوی","بقایا"},MATCH(PRINT_SHEET!J451,{"PAID","PARTIAL","PENDING"},0)),PRINT_SHEET!J451)</f>
        <v/>
      </c>
      <c r="K451" s="55">
        <f>IF(PRINT_SHEET!K451="","",PRINT_SHEET!K451)</f>
        <v/>
      </c>
      <c r="L451" s="53">
        <f>IF(PRINT_SHEET!L451="","",PRINT_SHEET!L451)</f>
        <v/>
      </c>
    </row>
    <row r="452" ht="20" customHeight="1">
      <c r="A452" s="52">
        <f>IF(PRINT_SHEET!A452="","",PRINT_SHEET!A452)</f>
        <v/>
      </c>
      <c r="B452" s="53">
        <f>IF(PRINT_SHEET!B452="","",PRINT_SHEET!B452)</f>
        <v/>
      </c>
      <c r="C452" s="56">
        <f>IF(PRINT_SHEET!C452="","",PRINT_SHEET!C452)</f>
        <v/>
      </c>
      <c r="D452" s="56">
        <f>IF(PRINT_SHEET!D452="","",PRINT_SHEET!D452)</f>
        <v/>
      </c>
      <c r="E452" s="53">
        <f>IF(PRINT_SHEET!E452="","",PRINT_SHEET!E452)</f>
        <v/>
      </c>
      <c r="F452" s="52">
        <f>IF(PRINT_SHEET!F452="","",PRINT_SHEET!F452)</f>
        <v/>
      </c>
      <c r="G452" s="54">
        <f>IF(PRINT_SHEET!G452="","",PRINT_SHEET!G452)</f>
        <v/>
      </c>
      <c r="H452" s="54">
        <f>IF(PRINT_SHEET!H452="","",PRINT_SHEET!H452)</f>
        <v/>
      </c>
      <c r="I452" s="54">
        <f>IF(PRINT_SHEET!I452="","",PRINT_SHEET!I452)</f>
        <v/>
      </c>
      <c r="J452" s="53">
        <f>IFERROR(INDEX({"ادا شدہ","جزوی","بقایا"},MATCH(PRINT_SHEET!J452,{"PAID","PARTIAL","PENDING"},0)),PRINT_SHEET!J452)</f>
        <v/>
      </c>
      <c r="K452" s="55">
        <f>IF(PRINT_SHEET!K452="","",PRINT_SHEET!K452)</f>
        <v/>
      </c>
      <c r="L452" s="53">
        <f>IF(PRINT_SHEET!L452="","",PRINT_SHEET!L452)</f>
        <v/>
      </c>
    </row>
    <row r="453" ht="20" customHeight="1">
      <c r="A453" s="52">
        <f>IF(PRINT_SHEET!A453="","",PRINT_SHEET!A453)</f>
        <v/>
      </c>
      <c r="B453" s="53">
        <f>IF(PRINT_SHEET!B453="","",PRINT_SHEET!B453)</f>
        <v/>
      </c>
      <c r="C453" s="56">
        <f>IF(PRINT_SHEET!C453="","",PRINT_SHEET!C453)</f>
        <v/>
      </c>
      <c r="D453" s="56">
        <f>IF(PRINT_SHEET!D453="","",PRINT_SHEET!D453)</f>
        <v/>
      </c>
      <c r="E453" s="53">
        <f>IF(PRINT_SHEET!E453="","",PRINT_SHEET!E453)</f>
        <v/>
      </c>
      <c r="F453" s="52">
        <f>IF(PRINT_SHEET!F453="","",PRINT_SHEET!F453)</f>
        <v/>
      </c>
      <c r="G453" s="54">
        <f>IF(PRINT_SHEET!G453="","",PRINT_SHEET!G453)</f>
        <v/>
      </c>
      <c r="H453" s="54">
        <f>IF(PRINT_SHEET!H453="","",PRINT_SHEET!H453)</f>
        <v/>
      </c>
      <c r="I453" s="54">
        <f>IF(PRINT_SHEET!I453="","",PRINT_SHEET!I453)</f>
        <v/>
      </c>
      <c r="J453" s="53">
        <f>IFERROR(INDEX({"ادا شدہ","جزوی","بقایا"},MATCH(PRINT_SHEET!J453,{"PAID","PARTIAL","PENDING"},0)),PRINT_SHEET!J453)</f>
        <v/>
      </c>
      <c r="K453" s="55">
        <f>IF(PRINT_SHEET!K453="","",PRINT_SHEET!K453)</f>
        <v/>
      </c>
      <c r="L453" s="53">
        <f>IF(PRINT_SHEET!L453="","",PRINT_SHEET!L453)</f>
        <v/>
      </c>
    </row>
    <row r="454" ht="20" customHeight="1">
      <c r="A454" s="52">
        <f>IF(PRINT_SHEET!A454="","",PRINT_SHEET!A454)</f>
        <v/>
      </c>
      <c r="B454" s="53">
        <f>IF(PRINT_SHEET!B454="","",PRINT_SHEET!B454)</f>
        <v/>
      </c>
      <c r="C454" s="56">
        <f>IF(PRINT_SHEET!C454="","",PRINT_SHEET!C454)</f>
        <v/>
      </c>
      <c r="D454" s="56">
        <f>IF(PRINT_SHEET!D454="","",PRINT_SHEET!D454)</f>
        <v/>
      </c>
      <c r="E454" s="53">
        <f>IF(PRINT_SHEET!E454="","",PRINT_SHEET!E454)</f>
        <v/>
      </c>
      <c r="F454" s="52">
        <f>IF(PRINT_SHEET!F454="","",PRINT_SHEET!F454)</f>
        <v/>
      </c>
      <c r="G454" s="54">
        <f>IF(PRINT_SHEET!G454="","",PRINT_SHEET!G454)</f>
        <v/>
      </c>
      <c r="H454" s="54">
        <f>IF(PRINT_SHEET!H454="","",PRINT_SHEET!H454)</f>
        <v/>
      </c>
      <c r="I454" s="54">
        <f>IF(PRINT_SHEET!I454="","",PRINT_SHEET!I454)</f>
        <v/>
      </c>
      <c r="J454" s="53">
        <f>IFERROR(INDEX({"ادا شدہ","جزوی","بقایا"},MATCH(PRINT_SHEET!J454,{"PAID","PARTIAL","PENDING"},0)),PRINT_SHEET!J454)</f>
        <v/>
      </c>
      <c r="K454" s="55">
        <f>IF(PRINT_SHEET!K454="","",PRINT_SHEET!K454)</f>
        <v/>
      </c>
      <c r="L454" s="53">
        <f>IF(PRINT_SHEET!L454="","",PRINT_SHEET!L454)</f>
        <v/>
      </c>
    </row>
    <row r="455" ht="20" customHeight="1">
      <c r="A455" s="52">
        <f>IF(PRINT_SHEET!A455="","",PRINT_SHEET!A455)</f>
        <v/>
      </c>
      <c r="B455" s="53">
        <f>IF(PRINT_SHEET!B455="","",PRINT_SHEET!B455)</f>
        <v/>
      </c>
      <c r="C455" s="56">
        <f>IF(PRINT_SHEET!C455="","",PRINT_SHEET!C455)</f>
        <v/>
      </c>
      <c r="D455" s="56">
        <f>IF(PRINT_SHEET!D455="","",PRINT_SHEET!D455)</f>
        <v/>
      </c>
      <c r="E455" s="53">
        <f>IF(PRINT_SHEET!E455="","",PRINT_SHEET!E455)</f>
        <v/>
      </c>
      <c r="F455" s="52">
        <f>IF(PRINT_SHEET!F455="","",PRINT_SHEET!F455)</f>
        <v/>
      </c>
      <c r="G455" s="54">
        <f>IF(PRINT_SHEET!G455="","",PRINT_SHEET!G455)</f>
        <v/>
      </c>
      <c r="H455" s="54">
        <f>IF(PRINT_SHEET!H455="","",PRINT_SHEET!H455)</f>
        <v/>
      </c>
      <c r="I455" s="54">
        <f>IF(PRINT_SHEET!I455="","",PRINT_SHEET!I455)</f>
        <v/>
      </c>
      <c r="J455" s="53">
        <f>IFERROR(INDEX({"ادا شدہ","جزوی","بقایا"},MATCH(PRINT_SHEET!J455,{"PAID","PARTIAL","PENDING"},0)),PRINT_SHEET!J455)</f>
        <v/>
      </c>
      <c r="K455" s="55">
        <f>IF(PRINT_SHEET!K455="","",PRINT_SHEET!K455)</f>
        <v/>
      </c>
      <c r="L455" s="53">
        <f>IF(PRINT_SHEET!L455="","",PRINT_SHEET!L455)</f>
        <v/>
      </c>
    </row>
    <row r="456" ht="20" customHeight="1">
      <c r="A456" s="52">
        <f>IF(PRINT_SHEET!A456="","",PRINT_SHEET!A456)</f>
        <v/>
      </c>
      <c r="B456" s="53">
        <f>IF(PRINT_SHEET!B456="","",PRINT_SHEET!B456)</f>
        <v/>
      </c>
      <c r="C456" s="56">
        <f>IF(PRINT_SHEET!C456="","",PRINT_SHEET!C456)</f>
        <v/>
      </c>
      <c r="D456" s="56">
        <f>IF(PRINT_SHEET!D456="","",PRINT_SHEET!D456)</f>
        <v/>
      </c>
      <c r="E456" s="53">
        <f>IF(PRINT_SHEET!E456="","",PRINT_SHEET!E456)</f>
        <v/>
      </c>
      <c r="F456" s="52">
        <f>IF(PRINT_SHEET!F456="","",PRINT_SHEET!F456)</f>
        <v/>
      </c>
      <c r="G456" s="54">
        <f>IF(PRINT_SHEET!G456="","",PRINT_SHEET!G456)</f>
        <v/>
      </c>
      <c r="H456" s="54">
        <f>IF(PRINT_SHEET!H456="","",PRINT_SHEET!H456)</f>
        <v/>
      </c>
      <c r="I456" s="54">
        <f>IF(PRINT_SHEET!I456="","",PRINT_SHEET!I456)</f>
        <v/>
      </c>
      <c r="J456" s="53">
        <f>IFERROR(INDEX({"ادا شدہ","جزوی","بقایا"},MATCH(PRINT_SHEET!J456,{"PAID","PARTIAL","PENDING"},0)),PRINT_SHEET!J456)</f>
        <v/>
      </c>
      <c r="K456" s="55">
        <f>IF(PRINT_SHEET!K456="","",PRINT_SHEET!K456)</f>
        <v/>
      </c>
      <c r="L456" s="53">
        <f>IF(PRINT_SHEET!L456="","",PRINT_SHEET!L456)</f>
        <v/>
      </c>
    </row>
    <row r="457" ht="20" customHeight="1">
      <c r="A457" s="52">
        <f>IF(PRINT_SHEET!A457="","",PRINT_SHEET!A457)</f>
        <v/>
      </c>
      <c r="B457" s="53">
        <f>IF(PRINT_SHEET!B457="","",PRINT_SHEET!B457)</f>
        <v/>
      </c>
      <c r="C457" s="56">
        <f>IF(PRINT_SHEET!C457="","",PRINT_SHEET!C457)</f>
        <v/>
      </c>
      <c r="D457" s="56">
        <f>IF(PRINT_SHEET!D457="","",PRINT_SHEET!D457)</f>
        <v/>
      </c>
      <c r="E457" s="53">
        <f>IF(PRINT_SHEET!E457="","",PRINT_SHEET!E457)</f>
        <v/>
      </c>
      <c r="F457" s="52">
        <f>IF(PRINT_SHEET!F457="","",PRINT_SHEET!F457)</f>
        <v/>
      </c>
      <c r="G457" s="54">
        <f>IF(PRINT_SHEET!G457="","",PRINT_SHEET!G457)</f>
        <v/>
      </c>
      <c r="H457" s="54">
        <f>IF(PRINT_SHEET!H457="","",PRINT_SHEET!H457)</f>
        <v/>
      </c>
      <c r="I457" s="54">
        <f>IF(PRINT_SHEET!I457="","",PRINT_SHEET!I457)</f>
        <v/>
      </c>
      <c r="J457" s="53">
        <f>IFERROR(INDEX({"ادا شدہ","جزوی","بقایا"},MATCH(PRINT_SHEET!J457,{"PAID","PARTIAL","PENDING"},0)),PRINT_SHEET!J457)</f>
        <v/>
      </c>
      <c r="K457" s="55">
        <f>IF(PRINT_SHEET!K457="","",PRINT_SHEET!K457)</f>
        <v/>
      </c>
      <c r="L457" s="53">
        <f>IF(PRINT_SHEET!L457="","",PRINT_SHEET!L457)</f>
        <v/>
      </c>
    </row>
    <row r="458" ht="20" customHeight="1">
      <c r="A458" s="52">
        <f>IF(PRINT_SHEET!A458="","",PRINT_SHEET!A458)</f>
        <v/>
      </c>
      <c r="B458" s="53">
        <f>IF(PRINT_SHEET!B458="","",PRINT_SHEET!B458)</f>
        <v/>
      </c>
      <c r="C458" s="56">
        <f>IF(PRINT_SHEET!C458="","",PRINT_SHEET!C458)</f>
        <v/>
      </c>
      <c r="D458" s="56">
        <f>IF(PRINT_SHEET!D458="","",PRINT_SHEET!D458)</f>
        <v/>
      </c>
      <c r="E458" s="53">
        <f>IF(PRINT_SHEET!E458="","",PRINT_SHEET!E458)</f>
        <v/>
      </c>
      <c r="F458" s="52">
        <f>IF(PRINT_SHEET!F458="","",PRINT_SHEET!F458)</f>
        <v/>
      </c>
      <c r="G458" s="54">
        <f>IF(PRINT_SHEET!G458="","",PRINT_SHEET!G458)</f>
        <v/>
      </c>
      <c r="H458" s="54">
        <f>IF(PRINT_SHEET!H458="","",PRINT_SHEET!H458)</f>
        <v/>
      </c>
      <c r="I458" s="54">
        <f>IF(PRINT_SHEET!I458="","",PRINT_SHEET!I458)</f>
        <v/>
      </c>
      <c r="J458" s="53">
        <f>IFERROR(INDEX({"ادا شدہ","جزوی","بقایا"},MATCH(PRINT_SHEET!J458,{"PAID","PARTIAL","PENDING"},0)),PRINT_SHEET!J458)</f>
        <v/>
      </c>
      <c r="K458" s="55">
        <f>IF(PRINT_SHEET!K458="","",PRINT_SHEET!K458)</f>
        <v/>
      </c>
      <c r="L458" s="53">
        <f>IF(PRINT_SHEET!L458="","",PRINT_SHEET!L458)</f>
        <v/>
      </c>
    </row>
    <row r="459" ht="20" customHeight="1">
      <c r="A459" s="52">
        <f>IF(PRINT_SHEET!A459="","",PRINT_SHEET!A459)</f>
        <v/>
      </c>
      <c r="B459" s="53">
        <f>IF(PRINT_SHEET!B459="","",PRINT_SHEET!B459)</f>
        <v/>
      </c>
      <c r="C459" s="56">
        <f>IF(PRINT_SHEET!C459="","",PRINT_SHEET!C459)</f>
        <v/>
      </c>
      <c r="D459" s="56">
        <f>IF(PRINT_SHEET!D459="","",PRINT_SHEET!D459)</f>
        <v/>
      </c>
      <c r="E459" s="53">
        <f>IF(PRINT_SHEET!E459="","",PRINT_SHEET!E459)</f>
        <v/>
      </c>
      <c r="F459" s="52">
        <f>IF(PRINT_SHEET!F459="","",PRINT_SHEET!F459)</f>
        <v/>
      </c>
      <c r="G459" s="54">
        <f>IF(PRINT_SHEET!G459="","",PRINT_SHEET!G459)</f>
        <v/>
      </c>
      <c r="H459" s="54">
        <f>IF(PRINT_SHEET!H459="","",PRINT_SHEET!H459)</f>
        <v/>
      </c>
      <c r="I459" s="54">
        <f>IF(PRINT_SHEET!I459="","",PRINT_SHEET!I459)</f>
        <v/>
      </c>
      <c r="J459" s="53">
        <f>IFERROR(INDEX({"ادا شدہ","جزوی","بقایا"},MATCH(PRINT_SHEET!J459,{"PAID","PARTIAL","PENDING"},0)),PRINT_SHEET!J459)</f>
        <v/>
      </c>
      <c r="K459" s="55">
        <f>IF(PRINT_SHEET!K459="","",PRINT_SHEET!K459)</f>
        <v/>
      </c>
      <c r="L459" s="53">
        <f>IF(PRINT_SHEET!L459="","",PRINT_SHEET!L459)</f>
        <v/>
      </c>
    </row>
    <row r="460" ht="20" customHeight="1">
      <c r="A460" s="52">
        <f>IF(PRINT_SHEET!A460="","",PRINT_SHEET!A460)</f>
        <v/>
      </c>
      <c r="B460" s="53">
        <f>IF(PRINT_SHEET!B460="","",PRINT_SHEET!B460)</f>
        <v/>
      </c>
      <c r="C460" s="56">
        <f>IF(PRINT_SHEET!C460="","",PRINT_SHEET!C460)</f>
        <v/>
      </c>
      <c r="D460" s="56">
        <f>IF(PRINT_SHEET!D460="","",PRINT_SHEET!D460)</f>
        <v/>
      </c>
      <c r="E460" s="53">
        <f>IF(PRINT_SHEET!E460="","",PRINT_SHEET!E460)</f>
        <v/>
      </c>
      <c r="F460" s="52">
        <f>IF(PRINT_SHEET!F460="","",PRINT_SHEET!F460)</f>
        <v/>
      </c>
      <c r="G460" s="54">
        <f>IF(PRINT_SHEET!G460="","",PRINT_SHEET!G460)</f>
        <v/>
      </c>
      <c r="H460" s="54">
        <f>IF(PRINT_SHEET!H460="","",PRINT_SHEET!H460)</f>
        <v/>
      </c>
      <c r="I460" s="54">
        <f>IF(PRINT_SHEET!I460="","",PRINT_SHEET!I460)</f>
        <v/>
      </c>
      <c r="J460" s="53">
        <f>IFERROR(INDEX({"ادا شدہ","جزوی","بقایا"},MATCH(PRINT_SHEET!J460,{"PAID","PARTIAL","PENDING"},0)),PRINT_SHEET!J460)</f>
        <v/>
      </c>
      <c r="K460" s="55">
        <f>IF(PRINT_SHEET!K460="","",PRINT_SHEET!K460)</f>
        <v/>
      </c>
      <c r="L460" s="53">
        <f>IF(PRINT_SHEET!L460="","",PRINT_SHEET!L460)</f>
        <v/>
      </c>
    </row>
    <row r="461" ht="20" customHeight="1">
      <c r="A461" s="52">
        <f>IF(PRINT_SHEET!A461="","",PRINT_SHEET!A461)</f>
        <v/>
      </c>
      <c r="B461" s="53">
        <f>IF(PRINT_SHEET!B461="","",PRINT_SHEET!B461)</f>
        <v/>
      </c>
      <c r="C461" s="56">
        <f>IF(PRINT_SHEET!C461="","",PRINT_SHEET!C461)</f>
        <v/>
      </c>
      <c r="D461" s="56">
        <f>IF(PRINT_SHEET!D461="","",PRINT_SHEET!D461)</f>
        <v/>
      </c>
      <c r="E461" s="53">
        <f>IF(PRINT_SHEET!E461="","",PRINT_SHEET!E461)</f>
        <v/>
      </c>
      <c r="F461" s="52">
        <f>IF(PRINT_SHEET!F461="","",PRINT_SHEET!F461)</f>
        <v/>
      </c>
      <c r="G461" s="54">
        <f>IF(PRINT_SHEET!G461="","",PRINT_SHEET!G461)</f>
        <v/>
      </c>
      <c r="H461" s="54">
        <f>IF(PRINT_SHEET!H461="","",PRINT_SHEET!H461)</f>
        <v/>
      </c>
      <c r="I461" s="54">
        <f>IF(PRINT_SHEET!I461="","",PRINT_SHEET!I461)</f>
        <v/>
      </c>
      <c r="J461" s="53">
        <f>IFERROR(INDEX({"ادا شدہ","جزوی","بقایا"},MATCH(PRINT_SHEET!J461,{"PAID","PARTIAL","PENDING"},0)),PRINT_SHEET!J461)</f>
        <v/>
      </c>
      <c r="K461" s="55">
        <f>IF(PRINT_SHEET!K461="","",PRINT_SHEET!K461)</f>
        <v/>
      </c>
      <c r="L461" s="53">
        <f>IF(PRINT_SHEET!L461="","",PRINT_SHEET!L461)</f>
        <v/>
      </c>
    </row>
    <row r="462" ht="20" customHeight="1">
      <c r="A462" s="52">
        <f>IF(PRINT_SHEET!A462="","",PRINT_SHEET!A462)</f>
        <v/>
      </c>
      <c r="B462" s="53">
        <f>IF(PRINT_SHEET!B462="","",PRINT_SHEET!B462)</f>
        <v/>
      </c>
      <c r="C462" s="56">
        <f>IF(PRINT_SHEET!C462="","",PRINT_SHEET!C462)</f>
        <v/>
      </c>
      <c r="D462" s="56">
        <f>IF(PRINT_SHEET!D462="","",PRINT_SHEET!D462)</f>
        <v/>
      </c>
      <c r="E462" s="53">
        <f>IF(PRINT_SHEET!E462="","",PRINT_SHEET!E462)</f>
        <v/>
      </c>
      <c r="F462" s="52">
        <f>IF(PRINT_SHEET!F462="","",PRINT_SHEET!F462)</f>
        <v/>
      </c>
      <c r="G462" s="54">
        <f>IF(PRINT_SHEET!G462="","",PRINT_SHEET!G462)</f>
        <v/>
      </c>
      <c r="H462" s="54">
        <f>IF(PRINT_SHEET!H462="","",PRINT_SHEET!H462)</f>
        <v/>
      </c>
      <c r="I462" s="54">
        <f>IF(PRINT_SHEET!I462="","",PRINT_SHEET!I462)</f>
        <v/>
      </c>
      <c r="J462" s="53">
        <f>IFERROR(INDEX({"ادا شدہ","جزوی","بقایا"},MATCH(PRINT_SHEET!J462,{"PAID","PARTIAL","PENDING"},0)),PRINT_SHEET!J462)</f>
        <v/>
      </c>
      <c r="K462" s="55">
        <f>IF(PRINT_SHEET!K462="","",PRINT_SHEET!K462)</f>
        <v/>
      </c>
      <c r="L462" s="53">
        <f>IF(PRINT_SHEET!L462="","",PRINT_SHEET!L462)</f>
        <v/>
      </c>
    </row>
    <row r="463" ht="20" customHeight="1">
      <c r="A463" s="52">
        <f>IF(PRINT_SHEET!A463="","",PRINT_SHEET!A463)</f>
        <v/>
      </c>
      <c r="B463" s="53">
        <f>IF(PRINT_SHEET!B463="","",PRINT_SHEET!B463)</f>
        <v/>
      </c>
      <c r="C463" s="56">
        <f>IF(PRINT_SHEET!C463="","",PRINT_SHEET!C463)</f>
        <v/>
      </c>
      <c r="D463" s="56">
        <f>IF(PRINT_SHEET!D463="","",PRINT_SHEET!D463)</f>
        <v/>
      </c>
      <c r="E463" s="53">
        <f>IF(PRINT_SHEET!E463="","",PRINT_SHEET!E463)</f>
        <v/>
      </c>
      <c r="F463" s="52">
        <f>IF(PRINT_SHEET!F463="","",PRINT_SHEET!F463)</f>
        <v/>
      </c>
      <c r="G463" s="54">
        <f>IF(PRINT_SHEET!G463="","",PRINT_SHEET!G463)</f>
        <v/>
      </c>
      <c r="H463" s="54">
        <f>IF(PRINT_SHEET!H463="","",PRINT_SHEET!H463)</f>
        <v/>
      </c>
      <c r="I463" s="54">
        <f>IF(PRINT_SHEET!I463="","",PRINT_SHEET!I463)</f>
        <v/>
      </c>
      <c r="J463" s="53">
        <f>IFERROR(INDEX({"ادا شدہ","جزوی","بقایا"},MATCH(PRINT_SHEET!J463,{"PAID","PARTIAL","PENDING"},0)),PRINT_SHEET!J463)</f>
        <v/>
      </c>
      <c r="K463" s="55">
        <f>IF(PRINT_SHEET!K463="","",PRINT_SHEET!K463)</f>
        <v/>
      </c>
      <c r="L463" s="53">
        <f>IF(PRINT_SHEET!L463="","",PRINT_SHEET!L463)</f>
        <v/>
      </c>
    </row>
    <row r="464" ht="20" customHeight="1">
      <c r="A464" s="52">
        <f>IF(PRINT_SHEET!A464="","",PRINT_SHEET!A464)</f>
        <v/>
      </c>
      <c r="B464" s="53">
        <f>IF(PRINT_SHEET!B464="","",PRINT_SHEET!B464)</f>
        <v/>
      </c>
      <c r="C464" s="56">
        <f>IF(PRINT_SHEET!C464="","",PRINT_SHEET!C464)</f>
        <v/>
      </c>
      <c r="D464" s="56">
        <f>IF(PRINT_SHEET!D464="","",PRINT_SHEET!D464)</f>
        <v/>
      </c>
      <c r="E464" s="53">
        <f>IF(PRINT_SHEET!E464="","",PRINT_SHEET!E464)</f>
        <v/>
      </c>
      <c r="F464" s="52">
        <f>IF(PRINT_SHEET!F464="","",PRINT_SHEET!F464)</f>
        <v/>
      </c>
      <c r="G464" s="54">
        <f>IF(PRINT_SHEET!G464="","",PRINT_SHEET!G464)</f>
        <v/>
      </c>
      <c r="H464" s="54">
        <f>IF(PRINT_SHEET!H464="","",PRINT_SHEET!H464)</f>
        <v/>
      </c>
      <c r="I464" s="54">
        <f>IF(PRINT_SHEET!I464="","",PRINT_SHEET!I464)</f>
        <v/>
      </c>
      <c r="J464" s="53">
        <f>IFERROR(INDEX({"ادا شدہ","جزوی","بقایا"},MATCH(PRINT_SHEET!J464,{"PAID","PARTIAL","PENDING"},0)),PRINT_SHEET!J464)</f>
        <v/>
      </c>
      <c r="K464" s="55">
        <f>IF(PRINT_SHEET!K464="","",PRINT_SHEET!K464)</f>
        <v/>
      </c>
      <c r="L464" s="53">
        <f>IF(PRINT_SHEET!L464="","",PRINT_SHEET!L464)</f>
        <v/>
      </c>
    </row>
    <row r="465" ht="20" customHeight="1">
      <c r="A465" s="52">
        <f>IF(PRINT_SHEET!A465="","",PRINT_SHEET!A465)</f>
        <v/>
      </c>
      <c r="B465" s="53">
        <f>IF(PRINT_SHEET!B465="","",PRINT_SHEET!B465)</f>
        <v/>
      </c>
      <c r="C465" s="56">
        <f>IF(PRINT_SHEET!C465="","",PRINT_SHEET!C465)</f>
        <v/>
      </c>
      <c r="D465" s="56">
        <f>IF(PRINT_SHEET!D465="","",PRINT_SHEET!D465)</f>
        <v/>
      </c>
      <c r="E465" s="53">
        <f>IF(PRINT_SHEET!E465="","",PRINT_SHEET!E465)</f>
        <v/>
      </c>
      <c r="F465" s="52">
        <f>IF(PRINT_SHEET!F465="","",PRINT_SHEET!F465)</f>
        <v/>
      </c>
      <c r="G465" s="54">
        <f>IF(PRINT_SHEET!G465="","",PRINT_SHEET!G465)</f>
        <v/>
      </c>
      <c r="H465" s="54">
        <f>IF(PRINT_SHEET!H465="","",PRINT_SHEET!H465)</f>
        <v/>
      </c>
      <c r="I465" s="54">
        <f>IF(PRINT_SHEET!I465="","",PRINT_SHEET!I465)</f>
        <v/>
      </c>
      <c r="J465" s="53">
        <f>IFERROR(INDEX({"ادا شدہ","جزوی","بقایا"},MATCH(PRINT_SHEET!J465,{"PAID","PARTIAL","PENDING"},0)),PRINT_SHEET!J465)</f>
        <v/>
      </c>
      <c r="K465" s="55">
        <f>IF(PRINT_SHEET!K465="","",PRINT_SHEET!K465)</f>
        <v/>
      </c>
      <c r="L465" s="53">
        <f>IF(PRINT_SHEET!L465="","",PRINT_SHEET!L465)</f>
        <v/>
      </c>
    </row>
    <row r="466" ht="20" customHeight="1">
      <c r="A466" s="52">
        <f>IF(PRINT_SHEET!A466="","",PRINT_SHEET!A466)</f>
        <v/>
      </c>
      <c r="B466" s="53">
        <f>IF(PRINT_SHEET!B466="","",PRINT_SHEET!B466)</f>
        <v/>
      </c>
      <c r="C466" s="56">
        <f>IF(PRINT_SHEET!C466="","",PRINT_SHEET!C466)</f>
        <v/>
      </c>
      <c r="D466" s="56">
        <f>IF(PRINT_SHEET!D466="","",PRINT_SHEET!D466)</f>
        <v/>
      </c>
      <c r="E466" s="53">
        <f>IF(PRINT_SHEET!E466="","",PRINT_SHEET!E466)</f>
        <v/>
      </c>
      <c r="F466" s="52">
        <f>IF(PRINT_SHEET!F466="","",PRINT_SHEET!F466)</f>
        <v/>
      </c>
      <c r="G466" s="54">
        <f>IF(PRINT_SHEET!G466="","",PRINT_SHEET!G466)</f>
        <v/>
      </c>
      <c r="H466" s="54">
        <f>IF(PRINT_SHEET!H466="","",PRINT_SHEET!H466)</f>
        <v/>
      </c>
      <c r="I466" s="54">
        <f>IF(PRINT_SHEET!I466="","",PRINT_SHEET!I466)</f>
        <v/>
      </c>
      <c r="J466" s="53">
        <f>IFERROR(INDEX({"ادا شدہ","جزوی","بقایا"},MATCH(PRINT_SHEET!J466,{"PAID","PARTIAL","PENDING"},0)),PRINT_SHEET!J466)</f>
        <v/>
      </c>
      <c r="K466" s="55">
        <f>IF(PRINT_SHEET!K466="","",PRINT_SHEET!K466)</f>
        <v/>
      </c>
      <c r="L466" s="53">
        <f>IF(PRINT_SHEET!L466="","",PRINT_SHEET!L466)</f>
        <v/>
      </c>
    </row>
    <row r="467" ht="20" customHeight="1">
      <c r="A467" s="52">
        <f>IF(PRINT_SHEET!A467="","",PRINT_SHEET!A467)</f>
        <v/>
      </c>
      <c r="B467" s="53">
        <f>IF(PRINT_SHEET!B467="","",PRINT_SHEET!B467)</f>
        <v/>
      </c>
      <c r="C467" s="56">
        <f>IF(PRINT_SHEET!C467="","",PRINT_SHEET!C467)</f>
        <v/>
      </c>
      <c r="D467" s="56">
        <f>IF(PRINT_SHEET!D467="","",PRINT_SHEET!D467)</f>
        <v/>
      </c>
      <c r="E467" s="53">
        <f>IF(PRINT_SHEET!E467="","",PRINT_SHEET!E467)</f>
        <v/>
      </c>
      <c r="F467" s="52">
        <f>IF(PRINT_SHEET!F467="","",PRINT_SHEET!F467)</f>
        <v/>
      </c>
      <c r="G467" s="54">
        <f>IF(PRINT_SHEET!G467="","",PRINT_SHEET!G467)</f>
        <v/>
      </c>
      <c r="H467" s="54">
        <f>IF(PRINT_SHEET!H467="","",PRINT_SHEET!H467)</f>
        <v/>
      </c>
      <c r="I467" s="54">
        <f>IF(PRINT_SHEET!I467="","",PRINT_SHEET!I467)</f>
        <v/>
      </c>
      <c r="J467" s="53">
        <f>IFERROR(INDEX({"ادا شدہ","جزوی","بقایا"},MATCH(PRINT_SHEET!J467,{"PAID","PARTIAL","PENDING"},0)),PRINT_SHEET!J467)</f>
        <v/>
      </c>
      <c r="K467" s="55">
        <f>IF(PRINT_SHEET!K467="","",PRINT_SHEET!K467)</f>
        <v/>
      </c>
      <c r="L467" s="53">
        <f>IF(PRINT_SHEET!L467="","",PRINT_SHEET!L467)</f>
        <v/>
      </c>
    </row>
    <row r="468" ht="20" customHeight="1">
      <c r="A468" s="52">
        <f>IF(PRINT_SHEET!A468="","",PRINT_SHEET!A468)</f>
        <v/>
      </c>
      <c r="B468" s="53">
        <f>IF(PRINT_SHEET!B468="","",PRINT_SHEET!B468)</f>
        <v/>
      </c>
      <c r="C468" s="56">
        <f>IF(PRINT_SHEET!C468="","",PRINT_SHEET!C468)</f>
        <v/>
      </c>
      <c r="D468" s="56">
        <f>IF(PRINT_SHEET!D468="","",PRINT_SHEET!D468)</f>
        <v/>
      </c>
      <c r="E468" s="53">
        <f>IF(PRINT_SHEET!E468="","",PRINT_SHEET!E468)</f>
        <v/>
      </c>
      <c r="F468" s="52">
        <f>IF(PRINT_SHEET!F468="","",PRINT_SHEET!F468)</f>
        <v/>
      </c>
      <c r="G468" s="54">
        <f>IF(PRINT_SHEET!G468="","",PRINT_SHEET!G468)</f>
        <v/>
      </c>
      <c r="H468" s="54">
        <f>IF(PRINT_SHEET!H468="","",PRINT_SHEET!H468)</f>
        <v/>
      </c>
      <c r="I468" s="54">
        <f>IF(PRINT_SHEET!I468="","",PRINT_SHEET!I468)</f>
        <v/>
      </c>
      <c r="J468" s="53">
        <f>IFERROR(INDEX({"ادا شدہ","جزوی","بقایا"},MATCH(PRINT_SHEET!J468,{"PAID","PARTIAL","PENDING"},0)),PRINT_SHEET!J468)</f>
        <v/>
      </c>
      <c r="K468" s="55">
        <f>IF(PRINT_SHEET!K468="","",PRINT_SHEET!K468)</f>
        <v/>
      </c>
      <c r="L468" s="53">
        <f>IF(PRINT_SHEET!L468="","",PRINT_SHEET!L468)</f>
        <v/>
      </c>
    </row>
    <row r="469" ht="20" customHeight="1">
      <c r="A469" s="52">
        <f>IF(PRINT_SHEET!A469="","",PRINT_SHEET!A469)</f>
        <v/>
      </c>
      <c r="B469" s="53">
        <f>IF(PRINT_SHEET!B469="","",PRINT_SHEET!B469)</f>
        <v/>
      </c>
      <c r="C469" s="56">
        <f>IF(PRINT_SHEET!C469="","",PRINT_SHEET!C469)</f>
        <v/>
      </c>
      <c r="D469" s="56">
        <f>IF(PRINT_SHEET!D469="","",PRINT_SHEET!D469)</f>
        <v/>
      </c>
      <c r="E469" s="53">
        <f>IF(PRINT_SHEET!E469="","",PRINT_SHEET!E469)</f>
        <v/>
      </c>
      <c r="F469" s="52">
        <f>IF(PRINT_SHEET!F469="","",PRINT_SHEET!F469)</f>
        <v/>
      </c>
      <c r="G469" s="54">
        <f>IF(PRINT_SHEET!G469="","",PRINT_SHEET!G469)</f>
        <v/>
      </c>
      <c r="H469" s="54">
        <f>IF(PRINT_SHEET!H469="","",PRINT_SHEET!H469)</f>
        <v/>
      </c>
      <c r="I469" s="54">
        <f>IF(PRINT_SHEET!I469="","",PRINT_SHEET!I469)</f>
        <v/>
      </c>
      <c r="J469" s="53">
        <f>IFERROR(INDEX({"ادا شدہ","جزوی","بقایا"},MATCH(PRINT_SHEET!J469,{"PAID","PARTIAL","PENDING"},0)),PRINT_SHEET!J469)</f>
        <v/>
      </c>
      <c r="K469" s="55">
        <f>IF(PRINT_SHEET!K469="","",PRINT_SHEET!K469)</f>
        <v/>
      </c>
      <c r="L469" s="53">
        <f>IF(PRINT_SHEET!L469="","",PRINT_SHEET!L469)</f>
        <v/>
      </c>
    </row>
    <row r="470" ht="20" customHeight="1">
      <c r="A470" s="52">
        <f>IF(PRINT_SHEET!A470="","",PRINT_SHEET!A470)</f>
        <v/>
      </c>
      <c r="B470" s="53">
        <f>IF(PRINT_SHEET!B470="","",PRINT_SHEET!B470)</f>
        <v/>
      </c>
      <c r="C470" s="56">
        <f>IF(PRINT_SHEET!C470="","",PRINT_SHEET!C470)</f>
        <v/>
      </c>
      <c r="D470" s="56">
        <f>IF(PRINT_SHEET!D470="","",PRINT_SHEET!D470)</f>
        <v/>
      </c>
      <c r="E470" s="53">
        <f>IF(PRINT_SHEET!E470="","",PRINT_SHEET!E470)</f>
        <v/>
      </c>
      <c r="F470" s="52">
        <f>IF(PRINT_SHEET!F470="","",PRINT_SHEET!F470)</f>
        <v/>
      </c>
      <c r="G470" s="54">
        <f>IF(PRINT_SHEET!G470="","",PRINT_SHEET!G470)</f>
        <v/>
      </c>
      <c r="H470" s="54">
        <f>IF(PRINT_SHEET!H470="","",PRINT_SHEET!H470)</f>
        <v/>
      </c>
      <c r="I470" s="54">
        <f>IF(PRINT_SHEET!I470="","",PRINT_SHEET!I470)</f>
        <v/>
      </c>
      <c r="J470" s="53">
        <f>IFERROR(INDEX({"ادا شدہ","جزوی","بقایا"},MATCH(PRINT_SHEET!J470,{"PAID","PARTIAL","PENDING"},0)),PRINT_SHEET!J470)</f>
        <v/>
      </c>
      <c r="K470" s="55">
        <f>IF(PRINT_SHEET!K470="","",PRINT_SHEET!K470)</f>
        <v/>
      </c>
      <c r="L470" s="53">
        <f>IF(PRINT_SHEET!L470="","",PRINT_SHEET!L470)</f>
        <v/>
      </c>
    </row>
    <row r="471" ht="20" customHeight="1">
      <c r="A471" s="52">
        <f>IF(PRINT_SHEET!A471="","",PRINT_SHEET!A471)</f>
        <v/>
      </c>
      <c r="B471" s="53">
        <f>IF(PRINT_SHEET!B471="","",PRINT_SHEET!B471)</f>
        <v/>
      </c>
      <c r="C471" s="56">
        <f>IF(PRINT_SHEET!C471="","",PRINT_SHEET!C471)</f>
        <v/>
      </c>
      <c r="D471" s="56">
        <f>IF(PRINT_SHEET!D471="","",PRINT_SHEET!D471)</f>
        <v/>
      </c>
      <c r="E471" s="53">
        <f>IF(PRINT_SHEET!E471="","",PRINT_SHEET!E471)</f>
        <v/>
      </c>
      <c r="F471" s="52">
        <f>IF(PRINT_SHEET!F471="","",PRINT_SHEET!F471)</f>
        <v/>
      </c>
      <c r="G471" s="54">
        <f>IF(PRINT_SHEET!G471="","",PRINT_SHEET!G471)</f>
        <v/>
      </c>
      <c r="H471" s="54">
        <f>IF(PRINT_SHEET!H471="","",PRINT_SHEET!H471)</f>
        <v/>
      </c>
      <c r="I471" s="54">
        <f>IF(PRINT_SHEET!I471="","",PRINT_SHEET!I471)</f>
        <v/>
      </c>
      <c r="J471" s="53">
        <f>IFERROR(INDEX({"ادا شدہ","جزوی","بقایا"},MATCH(PRINT_SHEET!J471,{"PAID","PARTIAL","PENDING"},0)),PRINT_SHEET!J471)</f>
        <v/>
      </c>
      <c r="K471" s="55">
        <f>IF(PRINT_SHEET!K471="","",PRINT_SHEET!K471)</f>
        <v/>
      </c>
      <c r="L471" s="53">
        <f>IF(PRINT_SHEET!L471="","",PRINT_SHEET!L471)</f>
        <v/>
      </c>
    </row>
    <row r="472" ht="20" customHeight="1">
      <c r="A472" s="52">
        <f>IF(PRINT_SHEET!A472="","",PRINT_SHEET!A472)</f>
        <v/>
      </c>
      <c r="B472" s="53">
        <f>IF(PRINT_SHEET!B472="","",PRINT_SHEET!B472)</f>
        <v/>
      </c>
      <c r="C472" s="56">
        <f>IF(PRINT_SHEET!C472="","",PRINT_SHEET!C472)</f>
        <v/>
      </c>
      <c r="D472" s="56">
        <f>IF(PRINT_SHEET!D472="","",PRINT_SHEET!D472)</f>
        <v/>
      </c>
      <c r="E472" s="53">
        <f>IF(PRINT_SHEET!E472="","",PRINT_SHEET!E472)</f>
        <v/>
      </c>
      <c r="F472" s="52">
        <f>IF(PRINT_SHEET!F472="","",PRINT_SHEET!F472)</f>
        <v/>
      </c>
      <c r="G472" s="54">
        <f>IF(PRINT_SHEET!G472="","",PRINT_SHEET!G472)</f>
        <v/>
      </c>
      <c r="H472" s="54">
        <f>IF(PRINT_SHEET!H472="","",PRINT_SHEET!H472)</f>
        <v/>
      </c>
      <c r="I472" s="54">
        <f>IF(PRINT_SHEET!I472="","",PRINT_SHEET!I472)</f>
        <v/>
      </c>
      <c r="J472" s="53">
        <f>IFERROR(INDEX({"ادا شدہ","جزوی","بقایا"},MATCH(PRINT_SHEET!J472,{"PAID","PARTIAL","PENDING"},0)),PRINT_SHEET!J472)</f>
        <v/>
      </c>
      <c r="K472" s="55">
        <f>IF(PRINT_SHEET!K472="","",PRINT_SHEET!K472)</f>
        <v/>
      </c>
      <c r="L472" s="53">
        <f>IF(PRINT_SHEET!L472="","",PRINT_SHEET!L472)</f>
        <v/>
      </c>
    </row>
    <row r="473" ht="20" customHeight="1">
      <c r="A473" s="52">
        <f>IF(PRINT_SHEET!A473="","",PRINT_SHEET!A473)</f>
        <v/>
      </c>
      <c r="B473" s="53">
        <f>IF(PRINT_SHEET!B473="","",PRINT_SHEET!B473)</f>
        <v/>
      </c>
      <c r="C473" s="56">
        <f>IF(PRINT_SHEET!C473="","",PRINT_SHEET!C473)</f>
        <v/>
      </c>
      <c r="D473" s="56">
        <f>IF(PRINT_SHEET!D473="","",PRINT_SHEET!D473)</f>
        <v/>
      </c>
      <c r="E473" s="53">
        <f>IF(PRINT_SHEET!E473="","",PRINT_SHEET!E473)</f>
        <v/>
      </c>
      <c r="F473" s="52">
        <f>IF(PRINT_SHEET!F473="","",PRINT_SHEET!F473)</f>
        <v/>
      </c>
      <c r="G473" s="54">
        <f>IF(PRINT_SHEET!G473="","",PRINT_SHEET!G473)</f>
        <v/>
      </c>
      <c r="H473" s="54">
        <f>IF(PRINT_SHEET!H473="","",PRINT_SHEET!H473)</f>
        <v/>
      </c>
      <c r="I473" s="54">
        <f>IF(PRINT_SHEET!I473="","",PRINT_SHEET!I473)</f>
        <v/>
      </c>
      <c r="J473" s="53">
        <f>IFERROR(INDEX({"ادا شدہ","جزوی","بقایا"},MATCH(PRINT_SHEET!J473,{"PAID","PARTIAL","PENDING"},0)),PRINT_SHEET!J473)</f>
        <v/>
      </c>
      <c r="K473" s="55">
        <f>IF(PRINT_SHEET!K473="","",PRINT_SHEET!K473)</f>
        <v/>
      </c>
      <c r="L473" s="53">
        <f>IF(PRINT_SHEET!L473="","",PRINT_SHEET!L473)</f>
        <v/>
      </c>
    </row>
    <row r="474" ht="20" customHeight="1">
      <c r="A474" s="52">
        <f>IF(PRINT_SHEET!A474="","",PRINT_SHEET!A474)</f>
        <v/>
      </c>
      <c r="B474" s="53">
        <f>IF(PRINT_SHEET!B474="","",PRINT_SHEET!B474)</f>
        <v/>
      </c>
      <c r="C474" s="56">
        <f>IF(PRINT_SHEET!C474="","",PRINT_SHEET!C474)</f>
        <v/>
      </c>
      <c r="D474" s="56">
        <f>IF(PRINT_SHEET!D474="","",PRINT_SHEET!D474)</f>
        <v/>
      </c>
      <c r="E474" s="53">
        <f>IF(PRINT_SHEET!E474="","",PRINT_SHEET!E474)</f>
        <v/>
      </c>
      <c r="F474" s="52">
        <f>IF(PRINT_SHEET!F474="","",PRINT_SHEET!F474)</f>
        <v/>
      </c>
      <c r="G474" s="54">
        <f>IF(PRINT_SHEET!G474="","",PRINT_SHEET!G474)</f>
        <v/>
      </c>
      <c r="H474" s="54">
        <f>IF(PRINT_SHEET!H474="","",PRINT_SHEET!H474)</f>
        <v/>
      </c>
      <c r="I474" s="54">
        <f>IF(PRINT_SHEET!I474="","",PRINT_SHEET!I474)</f>
        <v/>
      </c>
      <c r="J474" s="53">
        <f>IFERROR(INDEX({"ادا شدہ","جزوی","بقایا"},MATCH(PRINT_SHEET!J474,{"PAID","PARTIAL","PENDING"},0)),PRINT_SHEET!J474)</f>
        <v/>
      </c>
      <c r="K474" s="55">
        <f>IF(PRINT_SHEET!K474="","",PRINT_SHEET!K474)</f>
        <v/>
      </c>
      <c r="L474" s="53">
        <f>IF(PRINT_SHEET!L474="","",PRINT_SHEET!L474)</f>
        <v/>
      </c>
    </row>
    <row r="475" ht="20" customHeight="1">
      <c r="A475" s="52">
        <f>IF(PRINT_SHEET!A475="","",PRINT_SHEET!A475)</f>
        <v/>
      </c>
      <c r="B475" s="53">
        <f>IF(PRINT_SHEET!B475="","",PRINT_SHEET!B475)</f>
        <v/>
      </c>
      <c r="C475" s="56">
        <f>IF(PRINT_SHEET!C475="","",PRINT_SHEET!C475)</f>
        <v/>
      </c>
      <c r="D475" s="56">
        <f>IF(PRINT_SHEET!D475="","",PRINT_SHEET!D475)</f>
        <v/>
      </c>
      <c r="E475" s="53">
        <f>IF(PRINT_SHEET!E475="","",PRINT_SHEET!E475)</f>
        <v/>
      </c>
      <c r="F475" s="52">
        <f>IF(PRINT_SHEET!F475="","",PRINT_SHEET!F475)</f>
        <v/>
      </c>
      <c r="G475" s="54">
        <f>IF(PRINT_SHEET!G475="","",PRINT_SHEET!G475)</f>
        <v/>
      </c>
      <c r="H475" s="54">
        <f>IF(PRINT_SHEET!H475="","",PRINT_SHEET!H475)</f>
        <v/>
      </c>
      <c r="I475" s="54">
        <f>IF(PRINT_SHEET!I475="","",PRINT_SHEET!I475)</f>
        <v/>
      </c>
      <c r="J475" s="53">
        <f>IFERROR(INDEX({"ادا شدہ","جزوی","بقایا"},MATCH(PRINT_SHEET!J475,{"PAID","PARTIAL","PENDING"},0)),PRINT_SHEET!J475)</f>
        <v/>
      </c>
      <c r="K475" s="55">
        <f>IF(PRINT_SHEET!K475="","",PRINT_SHEET!K475)</f>
        <v/>
      </c>
      <c r="L475" s="53">
        <f>IF(PRINT_SHEET!L475="","",PRINT_SHEET!L475)</f>
        <v/>
      </c>
    </row>
    <row r="476" ht="20" customHeight="1">
      <c r="A476" s="52">
        <f>IF(PRINT_SHEET!A476="","",PRINT_SHEET!A476)</f>
        <v/>
      </c>
      <c r="B476" s="53">
        <f>IF(PRINT_SHEET!B476="","",PRINT_SHEET!B476)</f>
        <v/>
      </c>
      <c r="C476" s="56">
        <f>IF(PRINT_SHEET!C476="","",PRINT_SHEET!C476)</f>
        <v/>
      </c>
      <c r="D476" s="56">
        <f>IF(PRINT_SHEET!D476="","",PRINT_SHEET!D476)</f>
        <v/>
      </c>
      <c r="E476" s="53">
        <f>IF(PRINT_SHEET!E476="","",PRINT_SHEET!E476)</f>
        <v/>
      </c>
      <c r="F476" s="52">
        <f>IF(PRINT_SHEET!F476="","",PRINT_SHEET!F476)</f>
        <v/>
      </c>
      <c r="G476" s="54">
        <f>IF(PRINT_SHEET!G476="","",PRINT_SHEET!G476)</f>
        <v/>
      </c>
      <c r="H476" s="54">
        <f>IF(PRINT_SHEET!H476="","",PRINT_SHEET!H476)</f>
        <v/>
      </c>
      <c r="I476" s="54">
        <f>IF(PRINT_SHEET!I476="","",PRINT_SHEET!I476)</f>
        <v/>
      </c>
      <c r="J476" s="53">
        <f>IFERROR(INDEX({"ادا شدہ","جزوی","بقایا"},MATCH(PRINT_SHEET!J476,{"PAID","PARTIAL","PENDING"},0)),PRINT_SHEET!J476)</f>
        <v/>
      </c>
      <c r="K476" s="55">
        <f>IF(PRINT_SHEET!K476="","",PRINT_SHEET!K476)</f>
        <v/>
      </c>
      <c r="L476" s="53">
        <f>IF(PRINT_SHEET!L476="","",PRINT_SHEET!L476)</f>
        <v/>
      </c>
    </row>
    <row r="477" ht="20" customHeight="1">
      <c r="A477" s="52">
        <f>IF(PRINT_SHEET!A477="","",PRINT_SHEET!A477)</f>
        <v/>
      </c>
      <c r="B477" s="53">
        <f>IF(PRINT_SHEET!B477="","",PRINT_SHEET!B477)</f>
        <v/>
      </c>
      <c r="C477" s="56">
        <f>IF(PRINT_SHEET!C477="","",PRINT_SHEET!C477)</f>
        <v/>
      </c>
      <c r="D477" s="56">
        <f>IF(PRINT_SHEET!D477="","",PRINT_SHEET!D477)</f>
        <v/>
      </c>
      <c r="E477" s="53">
        <f>IF(PRINT_SHEET!E477="","",PRINT_SHEET!E477)</f>
        <v/>
      </c>
      <c r="F477" s="52">
        <f>IF(PRINT_SHEET!F477="","",PRINT_SHEET!F477)</f>
        <v/>
      </c>
      <c r="G477" s="54">
        <f>IF(PRINT_SHEET!G477="","",PRINT_SHEET!G477)</f>
        <v/>
      </c>
      <c r="H477" s="54">
        <f>IF(PRINT_SHEET!H477="","",PRINT_SHEET!H477)</f>
        <v/>
      </c>
      <c r="I477" s="54">
        <f>IF(PRINT_SHEET!I477="","",PRINT_SHEET!I477)</f>
        <v/>
      </c>
      <c r="J477" s="53">
        <f>IFERROR(INDEX({"ادا شدہ","جزوی","بقایا"},MATCH(PRINT_SHEET!J477,{"PAID","PARTIAL","PENDING"},0)),PRINT_SHEET!J477)</f>
        <v/>
      </c>
      <c r="K477" s="55">
        <f>IF(PRINT_SHEET!K477="","",PRINT_SHEET!K477)</f>
        <v/>
      </c>
      <c r="L477" s="53">
        <f>IF(PRINT_SHEET!L477="","",PRINT_SHEET!L477)</f>
        <v/>
      </c>
    </row>
    <row r="478" ht="20" customHeight="1">
      <c r="A478" s="52">
        <f>IF(PRINT_SHEET!A478="","",PRINT_SHEET!A478)</f>
        <v/>
      </c>
      <c r="B478" s="53">
        <f>IF(PRINT_SHEET!B478="","",PRINT_SHEET!B478)</f>
        <v/>
      </c>
      <c r="C478" s="56">
        <f>IF(PRINT_SHEET!C478="","",PRINT_SHEET!C478)</f>
        <v/>
      </c>
      <c r="D478" s="56">
        <f>IF(PRINT_SHEET!D478="","",PRINT_SHEET!D478)</f>
        <v/>
      </c>
      <c r="E478" s="53">
        <f>IF(PRINT_SHEET!E478="","",PRINT_SHEET!E478)</f>
        <v/>
      </c>
      <c r="F478" s="52">
        <f>IF(PRINT_SHEET!F478="","",PRINT_SHEET!F478)</f>
        <v/>
      </c>
      <c r="G478" s="54">
        <f>IF(PRINT_SHEET!G478="","",PRINT_SHEET!G478)</f>
        <v/>
      </c>
      <c r="H478" s="54">
        <f>IF(PRINT_SHEET!H478="","",PRINT_SHEET!H478)</f>
        <v/>
      </c>
      <c r="I478" s="54">
        <f>IF(PRINT_SHEET!I478="","",PRINT_SHEET!I478)</f>
        <v/>
      </c>
      <c r="J478" s="53">
        <f>IFERROR(INDEX({"ادا شدہ","جزوی","بقایا"},MATCH(PRINT_SHEET!J478,{"PAID","PARTIAL","PENDING"},0)),PRINT_SHEET!J478)</f>
        <v/>
      </c>
      <c r="K478" s="55">
        <f>IF(PRINT_SHEET!K478="","",PRINT_SHEET!K478)</f>
        <v/>
      </c>
      <c r="L478" s="53">
        <f>IF(PRINT_SHEET!L478="","",PRINT_SHEET!L478)</f>
        <v/>
      </c>
    </row>
    <row r="479" ht="20" customHeight="1">
      <c r="A479" s="52">
        <f>IF(PRINT_SHEET!A479="","",PRINT_SHEET!A479)</f>
        <v/>
      </c>
      <c r="B479" s="53">
        <f>IF(PRINT_SHEET!B479="","",PRINT_SHEET!B479)</f>
        <v/>
      </c>
      <c r="C479" s="56">
        <f>IF(PRINT_SHEET!C479="","",PRINT_SHEET!C479)</f>
        <v/>
      </c>
      <c r="D479" s="56">
        <f>IF(PRINT_SHEET!D479="","",PRINT_SHEET!D479)</f>
        <v/>
      </c>
      <c r="E479" s="53">
        <f>IF(PRINT_SHEET!E479="","",PRINT_SHEET!E479)</f>
        <v/>
      </c>
      <c r="F479" s="52">
        <f>IF(PRINT_SHEET!F479="","",PRINT_SHEET!F479)</f>
        <v/>
      </c>
      <c r="G479" s="54">
        <f>IF(PRINT_SHEET!G479="","",PRINT_SHEET!G479)</f>
        <v/>
      </c>
      <c r="H479" s="54">
        <f>IF(PRINT_SHEET!H479="","",PRINT_SHEET!H479)</f>
        <v/>
      </c>
      <c r="I479" s="54">
        <f>IF(PRINT_SHEET!I479="","",PRINT_SHEET!I479)</f>
        <v/>
      </c>
      <c r="J479" s="53">
        <f>IFERROR(INDEX({"ادا شدہ","جزوی","بقایا"},MATCH(PRINT_SHEET!J479,{"PAID","PARTIAL","PENDING"},0)),PRINT_SHEET!J479)</f>
        <v/>
      </c>
      <c r="K479" s="55">
        <f>IF(PRINT_SHEET!K479="","",PRINT_SHEET!K479)</f>
        <v/>
      </c>
      <c r="L479" s="53">
        <f>IF(PRINT_SHEET!L479="","",PRINT_SHEET!L479)</f>
        <v/>
      </c>
    </row>
    <row r="480" ht="20" customHeight="1">
      <c r="A480" s="52">
        <f>IF(PRINT_SHEET!A480="","",PRINT_SHEET!A480)</f>
        <v/>
      </c>
      <c r="B480" s="53">
        <f>IF(PRINT_SHEET!B480="","",PRINT_SHEET!B480)</f>
        <v/>
      </c>
      <c r="C480" s="56">
        <f>IF(PRINT_SHEET!C480="","",PRINT_SHEET!C480)</f>
        <v/>
      </c>
      <c r="D480" s="56">
        <f>IF(PRINT_SHEET!D480="","",PRINT_SHEET!D480)</f>
        <v/>
      </c>
      <c r="E480" s="53">
        <f>IF(PRINT_SHEET!E480="","",PRINT_SHEET!E480)</f>
        <v/>
      </c>
      <c r="F480" s="52">
        <f>IF(PRINT_SHEET!F480="","",PRINT_SHEET!F480)</f>
        <v/>
      </c>
      <c r="G480" s="54">
        <f>IF(PRINT_SHEET!G480="","",PRINT_SHEET!G480)</f>
        <v/>
      </c>
      <c r="H480" s="54">
        <f>IF(PRINT_SHEET!H480="","",PRINT_SHEET!H480)</f>
        <v/>
      </c>
      <c r="I480" s="54">
        <f>IF(PRINT_SHEET!I480="","",PRINT_SHEET!I480)</f>
        <v/>
      </c>
      <c r="J480" s="53">
        <f>IFERROR(INDEX({"ادا شدہ","جزوی","بقایا"},MATCH(PRINT_SHEET!J480,{"PAID","PARTIAL","PENDING"},0)),PRINT_SHEET!J480)</f>
        <v/>
      </c>
      <c r="K480" s="55">
        <f>IF(PRINT_SHEET!K480="","",PRINT_SHEET!K480)</f>
        <v/>
      </c>
      <c r="L480" s="53">
        <f>IF(PRINT_SHEET!L480="","",PRINT_SHEET!L480)</f>
        <v/>
      </c>
    </row>
    <row r="481" ht="20" customHeight="1">
      <c r="A481" s="52">
        <f>IF(PRINT_SHEET!A481="","",PRINT_SHEET!A481)</f>
        <v/>
      </c>
      <c r="B481" s="53">
        <f>IF(PRINT_SHEET!B481="","",PRINT_SHEET!B481)</f>
        <v/>
      </c>
      <c r="C481" s="56">
        <f>IF(PRINT_SHEET!C481="","",PRINT_SHEET!C481)</f>
        <v/>
      </c>
      <c r="D481" s="56">
        <f>IF(PRINT_SHEET!D481="","",PRINT_SHEET!D481)</f>
        <v/>
      </c>
      <c r="E481" s="53">
        <f>IF(PRINT_SHEET!E481="","",PRINT_SHEET!E481)</f>
        <v/>
      </c>
      <c r="F481" s="52">
        <f>IF(PRINT_SHEET!F481="","",PRINT_SHEET!F481)</f>
        <v/>
      </c>
      <c r="G481" s="54">
        <f>IF(PRINT_SHEET!G481="","",PRINT_SHEET!G481)</f>
        <v/>
      </c>
      <c r="H481" s="54">
        <f>IF(PRINT_SHEET!H481="","",PRINT_SHEET!H481)</f>
        <v/>
      </c>
      <c r="I481" s="54">
        <f>IF(PRINT_SHEET!I481="","",PRINT_SHEET!I481)</f>
        <v/>
      </c>
      <c r="J481" s="53">
        <f>IFERROR(INDEX({"ادا شدہ","جزوی","بقایا"},MATCH(PRINT_SHEET!J481,{"PAID","PARTIAL","PENDING"},0)),PRINT_SHEET!J481)</f>
        <v/>
      </c>
      <c r="K481" s="55">
        <f>IF(PRINT_SHEET!K481="","",PRINT_SHEET!K481)</f>
        <v/>
      </c>
      <c r="L481" s="53">
        <f>IF(PRINT_SHEET!L481="","",PRINT_SHEET!L481)</f>
        <v/>
      </c>
    </row>
    <row r="482" ht="20" customHeight="1">
      <c r="A482" s="52">
        <f>IF(PRINT_SHEET!A482="","",PRINT_SHEET!A482)</f>
        <v/>
      </c>
      <c r="B482" s="53">
        <f>IF(PRINT_SHEET!B482="","",PRINT_SHEET!B482)</f>
        <v/>
      </c>
      <c r="C482" s="56">
        <f>IF(PRINT_SHEET!C482="","",PRINT_SHEET!C482)</f>
        <v/>
      </c>
      <c r="D482" s="56">
        <f>IF(PRINT_SHEET!D482="","",PRINT_SHEET!D482)</f>
        <v/>
      </c>
      <c r="E482" s="53">
        <f>IF(PRINT_SHEET!E482="","",PRINT_SHEET!E482)</f>
        <v/>
      </c>
      <c r="F482" s="52">
        <f>IF(PRINT_SHEET!F482="","",PRINT_SHEET!F482)</f>
        <v/>
      </c>
      <c r="G482" s="54">
        <f>IF(PRINT_SHEET!G482="","",PRINT_SHEET!G482)</f>
        <v/>
      </c>
      <c r="H482" s="54">
        <f>IF(PRINT_SHEET!H482="","",PRINT_SHEET!H482)</f>
        <v/>
      </c>
      <c r="I482" s="54">
        <f>IF(PRINT_SHEET!I482="","",PRINT_SHEET!I482)</f>
        <v/>
      </c>
      <c r="J482" s="53">
        <f>IFERROR(INDEX({"ادا شدہ","جزوی","بقایا"},MATCH(PRINT_SHEET!J482,{"PAID","PARTIAL","PENDING"},0)),PRINT_SHEET!J482)</f>
        <v/>
      </c>
      <c r="K482" s="55">
        <f>IF(PRINT_SHEET!K482="","",PRINT_SHEET!K482)</f>
        <v/>
      </c>
      <c r="L482" s="53">
        <f>IF(PRINT_SHEET!L482="","",PRINT_SHEET!L482)</f>
        <v/>
      </c>
    </row>
    <row r="483" ht="20" customHeight="1">
      <c r="A483" s="52">
        <f>IF(PRINT_SHEET!A483="","",PRINT_SHEET!A483)</f>
        <v/>
      </c>
      <c r="B483" s="53">
        <f>IF(PRINT_SHEET!B483="","",PRINT_SHEET!B483)</f>
        <v/>
      </c>
      <c r="C483" s="56">
        <f>IF(PRINT_SHEET!C483="","",PRINT_SHEET!C483)</f>
        <v/>
      </c>
      <c r="D483" s="56">
        <f>IF(PRINT_SHEET!D483="","",PRINT_SHEET!D483)</f>
        <v/>
      </c>
      <c r="E483" s="53">
        <f>IF(PRINT_SHEET!E483="","",PRINT_SHEET!E483)</f>
        <v/>
      </c>
      <c r="F483" s="52">
        <f>IF(PRINT_SHEET!F483="","",PRINT_SHEET!F483)</f>
        <v/>
      </c>
      <c r="G483" s="54">
        <f>IF(PRINT_SHEET!G483="","",PRINT_SHEET!G483)</f>
        <v/>
      </c>
      <c r="H483" s="54">
        <f>IF(PRINT_SHEET!H483="","",PRINT_SHEET!H483)</f>
        <v/>
      </c>
      <c r="I483" s="54">
        <f>IF(PRINT_SHEET!I483="","",PRINT_SHEET!I483)</f>
        <v/>
      </c>
      <c r="J483" s="53">
        <f>IFERROR(INDEX({"ادا شدہ","جزوی","بقایا"},MATCH(PRINT_SHEET!J483,{"PAID","PARTIAL","PENDING"},0)),PRINT_SHEET!J483)</f>
        <v/>
      </c>
      <c r="K483" s="55">
        <f>IF(PRINT_SHEET!K483="","",PRINT_SHEET!K483)</f>
        <v/>
      </c>
      <c r="L483" s="53">
        <f>IF(PRINT_SHEET!L483="","",PRINT_SHEET!L483)</f>
        <v/>
      </c>
    </row>
    <row r="484" ht="20" customHeight="1">
      <c r="A484" s="52">
        <f>IF(PRINT_SHEET!A484="","",PRINT_SHEET!A484)</f>
        <v/>
      </c>
      <c r="B484" s="53">
        <f>IF(PRINT_SHEET!B484="","",PRINT_SHEET!B484)</f>
        <v/>
      </c>
      <c r="C484" s="56">
        <f>IF(PRINT_SHEET!C484="","",PRINT_SHEET!C484)</f>
        <v/>
      </c>
      <c r="D484" s="56">
        <f>IF(PRINT_SHEET!D484="","",PRINT_SHEET!D484)</f>
        <v/>
      </c>
      <c r="E484" s="53">
        <f>IF(PRINT_SHEET!E484="","",PRINT_SHEET!E484)</f>
        <v/>
      </c>
      <c r="F484" s="52">
        <f>IF(PRINT_SHEET!F484="","",PRINT_SHEET!F484)</f>
        <v/>
      </c>
      <c r="G484" s="54">
        <f>IF(PRINT_SHEET!G484="","",PRINT_SHEET!G484)</f>
        <v/>
      </c>
      <c r="H484" s="54">
        <f>IF(PRINT_SHEET!H484="","",PRINT_SHEET!H484)</f>
        <v/>
      </c>
      <c r="I484" s="54">
        <f>IF(PRINT_SHEET!I484="","",PRINT_SHEET!I484)</f>
        <v/>
      </c>
      <c r="J484" s="53">
        <f>IFERROR(INDEX({"ادا شدہ","جزوی","بقایا"},MATCH(PRINT_SHEET!J484,{"PAID","PARTIAL","PENDING"},0)),PRINT_SHEET!J484)</f>
        <v/>
      </c>
      <c r="K484" s="55">
        <f>IF(PRINT_SHEET!K484="","",PRINT_SHEET!K484)</f>
        <v/>
      </c>
      <c r="L484" s="53">
        <f>IF(PRINT_SHEET!L484="","",PRINT_SHEET!L484)</f>
        <v/>
      </c>
    </row>
    <row r="485" ht="20" customHeight="1">
      <c r="A485" s="52">
        <f>IF(PRINT_SHEET!A485="","",PRINT_SHEET!A485)</f>
        <v/>
      </c>
      <c r="B485" s="53">
        <f>IF(PRINT_SHEET!B485="","",PRINT_SHEET!B485)</f>
        <v/>
      </c>
      <c r="C485" s="56">
        <f>IF(PRINT_SHEET!C485="","",PRINT_SHEET!C485)</f>
        <v/>
      </c>
      <c r="D485" s="56">
        <f>IF(PRINT_SHEET!D485="","",PRINT_SHEET!D485)</f>
        <v/>
      </c>
      <c r="E485" s="53">
        <f>IF(PRINT_SHEET!E485="","",PRINT_SHEET!E485)</f>
        <v/>
      </c>
      <c r="F485" s="52">
        <f>IF(PRINT_SHEET!F485="","",PRINT_SHEET!F485)</f>
        <v/>
      </c>
      <c r="G485" s="54">
        <f>IF(PRINT_SHEET!G485="","",PRINT_SHEET!G485)</f>
        <v/>
      </c>
      <c r="H485" s="54">
        <f>IF(PRINT_SHEET!H485="","",PRINT_SHEET!H485)</f>
        <v/>
      </c>
      <c r="I485" s="54">
        <f>IF(PRINT_SHEET!I485="","",PRINT_SHEET!I485)</f>
        <v/>
      </c>
      <c r="J485" s="53">
        <f>IFERROR(INDEX({"ادا شدہ","جزوی","بقایا"},MATCH(PRINT_SHEET!J485,{"PAID","PARTIAL","PENDING"},0)),PRINT_SHEET!J485)</f>
        <v/>
      </c>
      <c r="K485" s="55">
        <f>IF(PRINT_SHEET!K485="","",PRINT_SHEET!K485)</f>
        <v/>
      </c>
      <c r="L485" s="53">
        <f>IF(PRINT_SHEET!L485="","",PRINT_SHEET!L485)</f>
        <v/>
      </c>
    </row>
    <row r="486" ht="20" customHeight="1">
      <c r="A486" s="52">
        <f>IF(PRINT_SHEET!A486="","",PRINT_SHEET!A486)</f>
        <v/>
      </c>
      <c r="B486" s="53">
        <f>IF(PRINT_SHEET!B486="","",PRINT_SHEET!B486)</f>
        <v/>
      </c>
      <c r="C486" s="56">
        <f>IF(PRINT_SHEET!C486="","",PRINT_SHEET!C486)</f>
        <v/>
      </c>
      <c r="D486" s="56">
        <f>IF(PRINT_SHEET!D486="","",PRINT_SHEET!D486)</f>
        <v/>
      </c>
      <c r="E486" s="53">
        <f>IF(PRINT_SHEET!E486="","",PRINT_SHEET!E486)</f>
        <v/>
      </c>
      <c r="F486" s="52">
        <f>IF(PRINT_SHEET!F486="","",PRINT_SHEET!F486)</f>
        <v/>
      </c>
      <c r="G486" s="54">
        <f>IF(PRINT_SHEET!G486="","",PRINT_SHEET!G486)</f>
        <v/>
      </c>
      <c r="H486" s="54">
        <f>IF(PRINT_SHEET!H486="","",PRINT_SHEET!H486)</f>
        <v/>
      </c>
      <c r="I486" s="54">
        <f>IF(PRINT_SHEET!I486="","",PRINT_SHEET!I486)</f>
        <v/>
      </c>
      <c r="J486" s="53">
        <f>IFERROR(INDEX({"ادا شدہ","جزوی","بقایا"},MATCH(PRINT_SHEET!J486,{"PAID","PARTIAL","PENDING"},0)),PRINT_SHEET!J486)</f>
        <v/>
      </c>
      <c r="K486" s="55">
        <f>IF(PRINT_SHEET!K486="","",PRINT_SHEET!K486)</f>
        <v/>
      </c>
      <c r="L486" s="53">
        <f>IF(PRINT_SHEET!L486="","",PRINT_SHEET!L486)</f>
        <v/>
      </c>
    </row>
    <row r="487" ht="20" customHeight="1">
      <c r="A487" s="52">
        <f>IF(PRINT_SHEET!A487="","",PRINT_SHEET!A487)</f>
        <v/>
      </c>
      <c r="B487" s="53">
        <f>IF(PRINT_SHEET!B487="","",PRINT_SHEET!B487)</f>
        <v/>
      </c>
      <c r="C487" s="56">
        <f>IF(PRINT_SHEET!C487="","",PRINT_SHEET!C487)</f>
        <v/>
      </c>
      <c r="D487" s="56">
        <f>IF(PRINT_SHEET!D487="","",PRINT_SHEET!D487)</f>
        <v/>
      </c>
      <c r="E487" s="53">
        <f>IF(PRINT_SHEET!E487="","",PRINT_SHEET!E487)</f>
        <v/>
      </c>
      <c r="F487" s="52">
        <f>IF(PRINT_SHEET!F487="","",PRINT_SHEET!F487)</f>
        <v/>
      </c>
      <c r="G487" s="54">
        <f>IF(PRINT_SHEET!G487="","",PRINT_SHEET!G487)</f>
        <v/>
      </c>
      <c r="H487" s="54">
        <f>IF(PRINT_SHEET!H487="","",PRINT_SHEET!H487)</f>
        <v/>
      </c>
      <c r="I487" s="54">
        <f>IF(PRINT_SHEET!I487="","",PRINT_SHEET!I487)</f>
        <v/>
      </c>
      <c r="J487" s="53">
        <f>IFERROR(INDEX({"ادا شدہ","جزوی","بقایا"},MATCH(PRINT_SHEET!J487,{"PAID","PARTIAL","PENDING"},0)),PRINT_SHEET!J487)</f>
        <v/>
      </c>
      <c r="K487" s="55">
        <f>IF(PRINT_SHEET!K487="","",PRINT_SHEET!K487)</f>
        <v/>
      </c>
      <c r="L487" s="53">
        <f>IF(PRINT_SHEET!L487="","",PRINT_SHEET!L487)</f>
        <v/>
      </c>
    </row>
    <row r="488" ht="20" customHeight="1">
      <c r="A488" s="52">
        <f>IF(PRINT_SHEET!A488="","",PRINT_SHEET!A488)</f>
        <v/>
      </c>
      <c r="B488" s="53">
        <f>IF(PRINT_SHEET!B488="","",PRINT_SHEET!B488)</f>
        <v/>
      </c>
      <c r="C488" s="56">
        <f>IF(PRINT_SHEET!C488="","",PRINT_SHEET!C488)</f>
        <v/>
      </c>
      <c r="D488" s="56">
        <f>IF(PRINT_SHEET!D488="","",PRINT_SHEET!D488)</f>
        <v/>
      </c>
      <c r="E488" s="53">
        <f>IF(PRINT_SHEET!E488="","",PRINT_SHEET!E488)</f>
        <v/>
      </c>
      <c r="F488" s="52">
        <f>IF(PRINT_SHEET!F488="","",PRINT_SHEET!F488)</f>
        <v/>
      </c>
      <c r="G488" s="54">
        <f>IF(PRINT_SHEET!G488="","",PRINT_SHEET!G488)</f>
        <v/>
      </c>
      <c r="H488" s="54">
        <f>IF(PRINT_SHEET!H488="","",PRINT_SHEET!H488)</f>
        <v/>
      </c>
      <c r="I488" s="54">
        <f>IF(PRINT_SHEET!I488="","",PRINT_SHEET!I488)</f>
        <v/>
      </c>
      <c r="J488" s="53">
        <f>IFERROR(INDEX({"ادا شدہ","جزوی","بقایا"},MATCH(PRINT_SHEET!J488,{"PAID","PARTIAL","PENDING"},0)),PRINT_SHEET!J488)</f>
        <v/>
      </c>
      <c r="K488" s="55">
        <f>IF(PRINT_SHEET!K488="","",PRINT_SHEET!K488)</f>
        <v/>
      </c>
      <c r="L488" s="53">
        <f>IF(PRINT_SHEET!L488="","",PRINT_SHEET!L488)</f>
        <v/>
      </c>
    </row>
    <row r="489" ht="20" customHeight="1">
      <c r="A489" s="52">
        <f>IF(PRINT_SHEET!A489="","",PRINT_SHEET!A489)</f>
        <v/>
      </c>
      <c r="B489" s="53">
        <f>IF(PRINT_SHEET!B489="","",PRINT_SHEET!B489)</f>
        <v/>
      </c>
      <c r="C489" s="56">
        <f>IF(PRINT_SHEET!C489="","",PRINT_SHEET!C489)</f>
        <v/>
      </c>
      <c r="D489" s="56">
        <f>IF(PRINT_SHEET!D489="","",PRINT_SHEET!D489)</f>
        <v/>
      </c>
      <c r="E489" s="53">
        <f>IF(PRINT_SHEET!E489="","",PRINT_SHEET!E489)</f>
        <v/>
      </c>
      <c r="F489" s="52">
        <f>IF(PRINT_SHEET!F489="","",PRINT_SHEET!F489)</f>
        <v/>
      </c>
      <c r="G489" s="54">
        <f>IF(PRINT_SHEET!G489="","",PRINT_SHEET!G489)</f>
        <v/>
      </c>
      <c r="H489" s="54">
        <f>IF(PRINT_SHEET!H489="","",PRINT_SHEET!H489)</f>
        <v/>
      </c>
      <c r="I489" s="54">
        <f>IF(PRINT_SHEET!I489="","",PRINT_SHEET!I489)</f>
        <v/>
      </c>
      <c r="J489" s="53">
        <f>IFERROR(INDEX({"ادا شدہ","جزوی","بقایا"},MATCH(PRINT_SHEET!J489,{"PAID","PARTIAL","PENDING"},0)),PRINT_SHEET!J489)</f>
        <v/>
      </c>
      <c r="K489" s="55">
        <f>IF(PRINT_SHEET!K489="","",PRINT_SHEET!K489)</f>
        <v/>
      </c>
      <c r="L489" s="53">
        <f>IF(PRINT_SHEET!L489="","",PRINT_SHEET!L489)</f>
        <v/>
      </c>
    </row>
    <row r="490" ht="20" customHeight="1">
      <c r="A490" s="52">
        <f>IF(PRINT_SHEET!A490="","",PRINT_SHEET!A490)</f>
        <v/>
      </c>
      <c r="B490" s="53">
        <f>IF(PRINT_SHEET!B490="","",PRINT_SHEET!B490)</f>
        <v/>
      </c>
      <c r="C490" s="56">
        <f>IF(PRINT_SHEET!C490="","",PRINT_SHEET!C490)</f>
        <v/>
      </c>
      <c r="D490" s="56">
        <f>IF(PRINT_SHEET!D490="","",PRINT_SHEET!D490)</f>
        <v/>
      </c>
      <c r="E490" s="53">
        <f>IF(PRINT_SHEET!E490="","",PRINT_SHEET!E490)</f>
        <v/>
      </c>
      <c r="F490" s="52">
        <f>IF(PRINT_SHEET!F490="","",PRINT_SHEET!F490)</f>
        <v/>
      </c>
      <c r="G490" s="54">
        <f>IF(PRINT_SHEET!G490="","",PRINT_SHEET!G490)</f>
        <v/>
      </c>
      <c r="H490" s="54">
        <f>IF(PRINT_SHEET!H490="","",PRINT_SHEET!H490)</f>
        <v/>
      </c>
      <c r="I490" s="54">
        <f>IF(PRINT_SHEET!I490="","",PRINT_SHEET!I490)</f>
        <v/>
      </c>
      <c r="J490" s="53">
        <f>IFERROR(INDEX({"ادا شدہ","جزوی","بقایا"},MATCH(PRINT_SHEET!J490,{"PAID","PARTIAL","PENDING"},0)),PRINT_SHEET!J490)</f>
        <v/>
      </c>
      <c r="K490" s="55">
        <f>IF(PRINT_SHEET!K490="","",PRINT_SHEET!K490)</f>
        <v/>
      </c>
      <c r="L490" s="53">
        <f>IF(PRINT_SHEET!L490="","",PRINT_SHEET!L490)</f>
        <v/>
      </c>
    </row>
    <row r="491" ht="20" customHeight="1">
      <c r="A491" s="52">
        <f>IF(PRINT_SHEET!A491="","",PRINT_SHEET!A491)</f>
        <v/>
      </c>
      <c r="B491" s="53">
        <f>IF(PRINT_SHEET!B491="","",PRINT_SHEET!B491)</f>
        <v/>
      </c>
      <c r="C491" s="56">
        <f>IF(PRINT_SHEET!C491="","",PRINT_SHEET!C491)</f>
        <v/>
      </c>
      <c r="D491" s="56">
        <f>IF(PRINT_SHEET!D491="","",PRINT_SHEET!D491)</f>
        <v/>
      </c>
      <c r="E491" s="53">
        <f>IF(PRINT_SHEET!E491="","",PRINT_SHEET!E491)</f>
        <v/>
      </c>
      <c r="F491" s="52">
        <f>IF(PRINT_SHEET!F491="","",PRINT_SHEET!F491)</f>
        <v/>
      </c>
      <c r="G491" s="54">
        <f>IF(PRINT_SHEET!G491="","",PRINT_SHEET!G491)</f>
        <v/>
      </c>
      <c r="H491" s="54">
        <f>IF(PRINT_SHEET!H491="","",PRINT_SHEET!H491)</f>
        <v/>
      </c>
      <c r="I491" s="54">
        <f>IF(PRINT_SHEET!I491="","",PRINT_SHEET!I491)</f>
        <v/>
      </c>
      <c r="J491" s="53">
        <f>IFERROR(INDEX({"ادا شدہ","جزوی","بقایا"},MATCH(PRINT_SHEET!J491,{"PAID","PARTIAL","PENDING"},0)),PRINT_SHEET!J491)</f>
        <v/>
      </c>
      <c r="K491" s="55">
        <f>IF(PRINT_SHEET!K491="","",PRINT_SHEET!K491)</f>
        <v/>
      </c>
      <c r="L491" s="53">
        <f>IF(PRINT_SHEET!L491="","",PRINT_SHEET!L491)</f>
        <v/>
      </c>
    </row>
    <row r="492" ht="20" customHeight="1">
      <c r="A492" s="52">
        <f>IF(PRINT_SHEET!A492="","",PRINT_SHEET!A492)</f>
        <v/>
      </c>
      <c r="B492" s="53">
        <f>IF(PRINT_SHEET!B492="","",PRINT_SHEET!B492)</f>
        <v/>
      </c>
      <c r="C492" s="56">
        <f>IF(PRINT_SHEET!C492="","",PRINT_SHEET!C492)</f>
        <v/>
      </c>
      <c r="D492" s="56">
        <f>IF(PRINT_SHEET!D492="","",PRINT_SHEET!D492)</f>
        <v/>
      </c>
      <c r="E492" s="53">
        <f>IF(PRINT_SHEET!E492="","",PRINT_SHEET!E492)</f>
        <v/>
      </c>
      <c r="F492" s="52">
        <f>IF(PRINT_SHEET!F492="","",PRINT_SHEET!F492)</f>
        <v/>
      </c>
      <c r="G492" s="54">
        <f>IF(PRINT_SHEET!G492="","",PRINT_SHEET!G492)</f>
        <v/>
      </c>
      <c r="H492" s="54">
        <f>IF(PRINT_SHEET!H492="","",PRINT_SHEET!H492)</f>
        <v/>
      </c>
      <c r="I492" s="54">
        <f>IF(PRINT_SHEET!I492="","",PRINT_SHEET!I492)</f>
        <v/>
      </c>
      <c r="J492" s="53">
        <f>IFERROR(INDEX({"ادا شدہ","جزوی","بقایا"},MATCH(PRINT_SHEET!J492,{"PAID","PARTIAL","PENDING"},0)),PRINT_SHEET!J492)</f>
        <v/>
      </c>
      <c r="K492" s="55">
        <f>IF(PRINT_SHEET!K492="","",PRINT_SHEET!K492)</f>
        <v/>
      </c>
      <c r="L492" s="53">
        <f>IF(PRINT_SHEET!L492="","",PRINT_SHEET!L492)</f>
        <v/>
      </c>
    </row>
    <row r="493" ht="20" customHeight="1">
      <c r="A493" s="52">
        <f>IF(PRINT_SHEET!A493="","",PRINT_SHEET!A493)</f>
        <v/>
      </c>
      <c r="B493" s="53">
        <f>IF(PRINT_SHEET!B493="","",PRINT_SHEET!B493)</f>
        <v/>
      </c>
      <c r="C493" s="56">
        <f>IF(PRINT_SHEET!C493="","",PRINT_SHEET!C493)</f>
        <v/>
      </c>
      <c r="D493" s="56">
        <f>IF(PRINT_SHEET!D493="","",PRINT_SHEET!D493)</f>
        <v/>
      </c>
      <c r="E493" s="53">
        <f>IF(PRINT_SHEET!E493="","",PRINT_SHEET!E493)</f>
        <v/>
      </c>
      <c r="F493" s="52">
        <f>IF(PRINT_SHEET!F493="","",PRINT_SHEET!F493)</f>
        <v/>
      </c>
      <c r="G493" s="54">
        <f>IF(PRINT_SHEET!G493="","",PRINT_SHEET!G493)</f>
        <v/>
      </c>
      <c r="H493" s="54">
        <f>IF(PRINT_SHEET!H493="","",PRINT_SHEET!H493)</f>
        <v/>
      </c>
      <c r="I493" s="54">
        <f>IF(PRINT_SHEET!I493="","",PRINT_SHEET!I493)</f>
        <v/>
      </c>
      <c r="J493" s="53">
        <f>IFERROR(INDEX({"ادا شدہ","جزوی","بقایا"},MATCH(PRINT_SHEET!J493,{"PAID","PARTIAL","PENDING"},0)),PRINT_SHEET!J493)</f>
        <v/>
      </c>
      <c r="K493" s="55">
        <f>IF(PRINT_SHEET!K493="","",PRINT_SHEET!K493)</f>
        <v/>
      </c>
      <c r="L493" s="53">
        <f>IF(PRINT_SHEET!L493="","",PRINT_SHEET!L493)</f>
        <v/>
      </c>
    </row>
    <row r="494" ht="20" customHeight="1">
      <c r="A494" s="52">
        <f>IF(PRINT_SHEET!A494="","",PRINT_SHEET!A494)</f>
        <v/>
      </c>
      <c r="B494" s="53">
        <f>IF(PRINT_SHEET!B494="","",PRINT_SHEET!B494)</f>
        <v/>
      </c>
      <c r="C494" s="56">
        <f>IF(PRINT_SHEET!C494="","",PRINT_SHEET!C494)</f>
        <v/>
      </c>
      <c r="D494" s="56">
        <f>IF(PRINT_SHEET!D494="","",PRINT_SHEET!D494)</f>
        <v/>
      </c>
      <c r="E494" s="53">
        <f>IF(PRINT_SHEET!E494="","",PRINT_SHEET!E494)</f>
        <v/>
      </c>
      <c r="F494" s="52">
        <f>IF(PRINT_SHEET!F494="","",PRINT_SHEET!F494)</f>
        <v/>
      </c>
      <c r="G494" s="54">
        <f>IF(PRINT_SHEET!G494="","",PRINT_SHEET!G494)</f>
        <v/>
      </c>
      <c r="H494" s="54">
        <f>IF(PRINT_SHEET!H494="","",PRINT_SHEET!H494)</f>
        <v/>
      </c>
      <c r="I494" s="54">
        <f>IF(PRINT_SHEET!I494="","",PRINT_SHEET!I494)</f>
        <v/>
      </c>
      <c r="J494" s="53">
        <f>IFERROR(INDEX({"ادا شدہ","جزوی","بقایا"},MATCH(PRINT_SHEET!J494,{"PAID","PARTIAL","PENDING"},0)),PRINT_SHEET!J494)</f>
        <v/>
      </c>
      <c r="K494" s="55">
        <f>IF(PRINT_SHEET!K494="","",PRINT_SHEET!K494)</f>
        <v/>
      </c>
      <c r="L494" s="53">
        <f>IF(PRINT_SHEET!L494="","",PRINT_SHEET!L494)</f>
        <v/>
      </c>
    </row>
    <row r="495" ht="20" customHeight="1">
      <c r="A495" s="52">
        <f>IF(PRINT_SHEET!A495="","",PRINT_SHEET!A495)</f>
        <v/>
      </c>
      <c r="B495" s="53">
        <f>IF(PRINT_SHEET!B495="","",PRINT_SHEET!B495)</f>
        <v/>
      </c>
      <c r="C495" s="56">
        <f>IF(PRINT_SHEET!C495="","",PRINT_SHEET!C495)</f>
        <v/>
      </c>
      <c r="D495" s="56">
        <f>IF(PRINT_SHEET!D495="","",PRINT_SHEET!D495)</f>
        <v/>
      </c>
      <c r="E495" s="53">
        <f>IF(PRINT_SHEET!E495="","",PRINT_SHEET!E495)</f>
        <v/>
      </c>
      <c r="F495" s="52">
        <f>IF(PRINT_SHEET!F495="","",PRINT_SHEET!F495)</f>
        <v/>
      </c>
      <c r="G495" s="54">
        <f>IF(PRINT_SHEET!G495="","",PRINT_SHEET!G495)</f>
        <v/>
      </c>
      <c r="H495" s="54">
        <f>IF(PRINT_SHEET!H495="","",PRINT_SHEET!H495)</f>
        <v/>
      </c>
      <c r="I495" s="54">
        <f>IF(PRINT_SHEET!I495="","",PRINT_SHEET!I495)</f>
        <v/>
      </c>
      <c r="J495" s="53">
        <f>IFERROR(INDEX({"ادا شدہ","جزوی","بقایا"},MATCH(PRINT_SHEET!J495,{"PAID","PARTIAL","PENDING"},0)),PRINT_SHEET!J495)</f>
        <v/>
      </c>
      <c r="K495" s="55">
        <f>IF(PRINT_SHEET!K495="","",PRINT_SHEET!K495)</f>
        <v/>
      </c>
      <c r="L495" s="53">
        <f>IF(PRINT_SHEET!L495="","",PRINT_SHEET!L495)</f>
        <v/>
      </c>
    </row>
    <row r="496" ht="20" customHeight="1">
      <c r="A496" s="52">
        <f>IF(PRINT_SHEET!A496="","",PRINT_SHEET!A496)</f>
        <v/>
      </c>
      <c r="B496" s="53">
        <f>IF(PRINT_SHEET!B496="","",PRINT_SHEET!B496)</f>
        <v/>
      </c>
      <c r="C496" s="56">
        <f>IF(PRINT_SHEET!C496="","",PRINT_SHEET!C496)</f>
        <v/>
      </c>
      <c r="D496" s="56">
        <f>IF(PRINT_SHEET!D496="","",PRINT_SHEET!D496)</f>
        <v/>
      </c>
      <c r="E496" s="53">
        <f>IF(PRINT_SHEET!E496="","",PRINT_SHEET!E496)</f>
        <v/>
      </c>
      <c r="F496" s="52">
        <f>IF(PRINT_SHEET!F496="","",PRINT_SHEET!F496)</f>
        <v/>
      </c>
      <c r="G496" s="54">
        <f>IF(PRINT_SHEET!G496="","",PRINT_SHEET!G496)</f>
        <v/>
      </c>
      <c r="H496" s="54">
        <f>IF(PRINT_SHEET!H496="","",PRINT_SHEET!H496)</f>
        <v/>
      </c>
      <c r="I496" s="54">
        <f>IF(PRINT_SHEET!I496="","",PRINT_SHEET!I496)</f>
        <v/>
      </c>
      <c r="J496" s="53">
        <f>IFERROR(INDEX({"ادا شدہ","جزوی","بقایا"},MATCH(PRINT_SHEET!J496,{"PAID","PARTIAL","PENDING"},0)),PRINT_SHEET!J496)</f>
        <v/>
      </c>
      <c r="K496" s="55">
        <f>IF(PRINT_SHEET!K496="","",PRINT_SHEET!K496)</f>
        <v/>
      </c>
      <c r="L496" s="53">
        <f>IF(PRINT_SHEET!L496="","",PRINT_SHEET!L496)</f>
        <v/>
      </c>
    </row>
    <row r="497" ht="20" customHeight="1">
      <c r="A497" s="52">
        <f>IF(PRINT_SHEET!A497="","",PRINT_SHEET!A497)</f>
        <v/>
      </c>
      <c r="B497" s="53">
        <f>IF(PRINT_SHEET!B497="","",PRINT_SHEET!B497)</f>
        <v/>
      </c>
      <c r="C497" s="56">
        <f>IF(PRINT_SHEET!C497="","",PRINT_SHEET!C497)</f>
        <v/>
      </c>
      <c r="D497" s="56">
        <f>IF(PRINT_SHEET!D497="","",PRINT_SHEET!D497)</f>
        <v/>
      </c>
      <c r="E497" s="53">
        <f>IF(PRINT_SHEET!E497="","",PRINT_SHEET!E497)</f>
        <v/>
      </c>
      <c r="F497" s="52">
        <f>IF(PRINT_SHEET!F497="","",PRINT_SHEET!F497)</f>
        <v/>
      </c>
      <c r="G497" s="54">
        <f>IF(PRINT_SHEET!G497="","",PRINT_SHEET!G497)</f>
        <v/>
      </c>
      <c r="H497" s="54">
        <f>IF(PRINT_SHEET!H497="","",PRINT_SHEET!H497)</f>
        <v/>
      </c>
      <c r="I497" s="54">
        <f>IF(PRINT_SHEET!I497="","",PRINT_SHEET!I497)</f>
        <v/>
      </c>
      <c r="J497" s="53">
        <f>IFERROR(INDEX({"ادا شدہ","جزوی","بقایا"},MATCH(PRINT_SHEET!J497,{"PAID","PARTIAL","PENDING"},0)),PRINT_SHEET!J497)</f>
        <v/>
      </c>
      <c r="K497" s="55">
        <f>IF(PRINT_SHEET!K497="","",PRINT_SHEET!K497)</f>
        <v/>
      </c>
      <c r="L497" s="53">
        <f>IF(PRINT_SHEET!L497="","",PRINT_SHEET!L497)</f>
        <v/>
      </c>
    </row>
    <row r="498" ht="20" customHeight="1">
      <c r="A498" s="52">
        <f>IF(PRINT_SHEET!A498="","",PRINT_SHEET!A498)</f>
        <v/>
      </c>
      <c r="B498" s="53">
        <f>IF(PRINT_SHEET!B498="","",PRINT_SHEET!B498)</f>
        <v/>
      </c>
      <c r="C498" s="56">
        <f>IF(PRINT_SHEET!C498="","",PRINT_SHEET!C498)</f>
        <v/>
      </c>
      <c r="D498" s="56">
        <f>IF(PRINT_SHEET!D498="","",PRINT_SHEET!D498)</f>
        <v/>
      </c>
      <c r="E498" s="53">
        <f>IF(PRINT_SHEET!E498="","",PRINT_SHEET!E498)</f>
        <v/>
      </c>
      <c r="F498" s="52">
        <f>IF(PRINT_SHEET!F498="","",PRINT_SHEET!F498)</f>
        <v/>
      </c>
      <c r="G498" s="54">
        <f>IF(PRINT_SHEET!G498="","",PRINT_SHEET!G498)</f>
        <v/>
      </c>
      <c r="H498" s="54">
        <f>IF(PRINT_SHEET!H498="","",PRINT_SHEET!H498)</f>
        <v/>
      </c>
      <c r="I498" s="54">
        <f>IF(PRINT_SHEET!I498="","",PRINT_SHEET!I498)</f>
        <v/>
      </c>
      <c r="J498" s="53">
        <f>IFERROR(INDEX({"ادا شدہ","جزوی","بقایا"},MATCH(PRINT_SHEET!J498,{"PAID","PARTIAL","PENDING"},0)),PRINT_SHEET!J498)</f>
        <v/>
      </c>
      <c r="K498" s="55">
        <f>IF(PRINT_SHEET!K498="","",PRINT_SHEET!K498)</f>
        <v/>
      </c>
      <c r="L498" s="53">
        <f>IF(PRINT_SHEET!L498="","",PRINT_SHEET!L498)</f>
        <v/>
      </c>
    </row>
    <row r="499" ht="20" customHeight="1">
      <c r="A499" s="52">
        <f>IF(PRINT_SHEET!A499="","",PRINT_SHEET!A499)</f>
        <v/>
      </c>
      <c r="B499" s="53">
        <f>IF(PRINT_SHEET!B499="","",PRINT_SHEET!B499)</f>
        <v/>
      </c>
      <c r="C499" s="56">
        <f>IF(PRINT_SHEET!C499="","",PRINT_SHEET!C499)</f>
        <v/>
      </c>
      <c r="D499" s="56">
        <f>IF(PRINT_SHEET!D499="","",PRINT_SHEET!D499)</f>
        <v/>
      </c>
      <c r="E499" s="53">
        <f>IF(PRINT_SHEET!E499="","",PRINT_SHEET!E499)</f>
        <v/>
      </c>
      <c r="F499" s="52">
        <f>IF(PRINT_SHEET!F499="","",PRINT_SHEET!F499)</f>
        <v/>
      </c>
      <c r="G499" s="54">
        <f>IF(PRINT_SHEET!G499="","",PRINT_SHEET!G499)</f>
        <v/>
      </c>
      <c r="H499" s="54">
        <f>IF(PRINT_SHEET!H499="","",PRINT_SHEET!H499)</f>
        <v/>
      </c>
      <c r="I499" s="54">
        <f>IF(PRINT_SHEET!I499="","",PRINT_SHEET!I499)</f>
        <v/>
      </c>
      <c r="J499" s="53">
        <f>IFERROR(INDEX({"ادا شدہ","جزوی","بقایا"},MATCH(PRINT_SHEET!J499,{"PAID","PARTIAL","PENDING"},0)),PRINT_SHEET!J499)</f>
        <v/>
      </c>
      <c r="K499" s="55">
        <f>IF(PRINT_SHEET!K499="","",PRINT_SHEET!K499)</f>
        <v/>
      </c>
      <c r="L499" s="53">
        <f>IF(PRINT_SHEET!L499="","",PRINT_SHEET!L499)</f>
        <v/>
      </c>
    </row>
    <row r="500" ht="20" customHeight="1">
      <c r="A500" s="52">
        <f>IF(PRINT_SHEET!A500="","",PRINT_SHEET!A500)</f>
        <v/>
      </c>
      <c r="B500" s="53">
        <f>IF(PRINT_SHEET!B500="","",PRINT_SHEET!B500)</f>
        <v/>
      </c>
      <c r="C500" s="56">
        <f>IF(PRINT_SHEET!C500="","",PRINT_SHEET!C500)</f>
        <v/>
      </c>
      <c r="D500" s="56">
        <f>IF(PRINT_SHEET!D500="","",PRINT_SHEET!D500)</f>
        <v/>
      </c>
      <c r="E500" s="53">
        <f>IF(PRINT_SHEET!E500="","",PRINT_SHEET!E500)</f>
        <v/>
      </c>
      <c r="F500" s="52">
        <f>IF(PRINT_SHEET!F500="","",PRINT_SHEET!F500)</f>
        <v/>
      </c>
      <c r="G500" s="54">
        <f>IF(PRINT_SHEET!G500="","",PRINT_SHEET!G500)</f>
        <v/>
      </c>
      <c r="H500" s="54">
        <f>IF(PRINT_SHEET!H500="","",PRINT_SHEET!H500)</f>
        <v/>
      </c>
      <c r="I500" s="54">
        <f>IF(PRINT_SHEET!I500="","",PRINT_SHEET!I500)</f>
        <v/>
      </c>
      <c r="J500" s="53">
        <f>IFERROR(INDEX({"ادا شدہ","جزوی","بقایا"},MATCH(PRINT_SHEET!J500,{"PAID","PARTIAL","PENDING"},0)),PRINT_SHEET!J500)</f>
        <v/>
      </c>
      <c r="K500" s="55">
        <f>IF(PRINT_SHEET!K500="","",PRINT_SHEET!K500)</f>
        <v/>
      </c>
      <c r="L500" s="53">
        <f>IF(PRINT_SHEET!L500="","",PRINT_SHEET!L500)</f>
        <v/>
      </c>
    </row>
    <row r="501" ht="20" customHeight="1">
      <c r="A501" s="52">
        <f>IF(PRINT_SHEET!A501="","",PRINT_SHEET!A501)</f>
        <v/>
      </c>
      <c r="B501" s="53">
        <f>IF(PRINT_SHEET!B501="","",PRINT_SHEET!B501)</f>
        <v/>
      </c>
      <c r="C501" s="56">
        <f>IF(PRINT_SHEET!C501="","",PRINT_SHEET!C501)</f>
        <v/>
      </c>
      <c r="D501" s="56">
        <f>IF(PRINT_SHEET!D501="","",PRINT_SHEET!D501)</f>
        <v/>
      </c>
      <c r="E501" s="53">
        <f>IF(PRINT_SHEET!E501="","",PRINT_SHEET!E501)</f>
        <v/>
      </c>
      <c r="F501" s="52">
        <f>IF(PRINT_SHEET!F501="","",PRINT_SHEET!F501)</f>
        <v/>
      </c>
      <c r="G501" s="54">
        <f>IF(PRINT_SHEET!G501="","",PRINT_SHEET!G501)</f>
        <v/>
      </c>
      <c r="H501" s="54">
        <f>IF(PRINT_SHEET!H501="","",PRINT_SHEET!H501)</f>
        <v/>
      </c>
      <c r="I501" s="54">
        <f>IF(PRINT_SHEET!I501="","",PRINT_SHEET!I501)</f>
        <v/>
      </c>
      <c r="J501" s="53">
        <f>IFERROR(INDEX({"ادا شدہ","جزوی","بقایا"},MATCH(PRINT_SHEET!J501,{"PAID","PARTIAL","PENDING"},0)),PRINT_SHEET!J501)</f>
        <v/>
      </c>
      <c r="K501" s="55">
        <f>IF(PRINT_SHEET!K501="","",PRINT_SHEET!K501)</f>
        <v/>
      </c>
      <c r="L501" s="53">
        <f>IF(PRINT_SHEET!L501="","",PRINT_SHEET!L501)</f>
        <v/>
      </c>
    </row>
    <row r="502" ht="20" customHeight="1">
      <c r="A502" s="52">
        <f>IF(PRINT_SHEET!A502="","",PRINT_SHEET!A502)</f>
        <v/>
      </c>
      <c r="B502" s="53">
        <f>IF(PRINT_SHEET!B502="","",PRINT_SHEET!B502)</f>
        <v/>
      </c>
      <c r="C502" s="56">
        <f>IF(PRINT_SHEET!C502="","",PRINT_SHEET!C502)</f>
        <v/>
      </c>
      <c r="D502" s="56">
        <f>IF(PRINT_SHEET!D502="","",PRINT_SHEET!D502)</f>
        <v/>
      </c>
      <c r="E502" s="53">
        <f>IF(PRINT_SHEET!E502="","",PRINT_SHEET!E502)</f>
        <v/>
      </c>
      <c r="F502" s="52">
        <f>IF(PRINT_SHEET!F502="","",PRINT_SHEET!F502)</f>
        <v/>
      </c>
      <c r="G502" s="54">
        <f>IF(PRINT_SHEET!G502="","",PRINT_SHEET!G502)</f>
        <v/>
      </c>
      <c r="H502" s="54">
        <f>IF(PRINT_SHEET!H502="","",PRINT_SHEET!H502)</f>
        <v/>
      </c>
      <c r="I502" s="54">
        <f>IF(PRINT_SHEET!I502="","",PRINT_SHEET!I502)</f>
        <v/>
      </c>
      <c r="J502" s="53">
        <f>IFERROR(INDEX({"ادا شدہ","جزوی","بقایا"},MATCH(PRINT_SHEET!J502,{"PAID","PARTIAL","PENDING"},0)),PRINT_SHEET!J502)</f>
        <v/>
      </c>
      <c r="K502" s="55">
        <f>IF(PRINT_SHEET!K502="","",PRINT_SHEET!K502)</f>
        <v/>
      </c>
      <c r="L502" s="53">
        <f>IF(PRINT_SHEET!L502="","",PRINT_SHEET!L502)</f>
        <v/>
      </c>
    </row>
    <row r="503" ht="20" customHeight="1">
      <c r="A503" s="52">
        <f>IF(PRINT_SHEET!A503="","",PRINT_SHEET!A503)</f>
        <v/>
      </c>
      <c r="B503" s="53">
        <f>IF(PRINT_SHEET!B503="","",PRINT_SHEET!B503)</f>
        <v/>
      </c>
      <c r="C503" s="56">
        <f>IF(PRINT_SHEET!C503="","",PRINT_SHEET!C503)</f>
        <v/>
      </c>
      <c r="D503" s="56">
        <f>IF(PRINT_SHEET!D503="","",PRINT_SHEET!D503)</f>
        <v/>
      </c>
      <c r="E503" s="53">
        <f>IF(PRINT_SHEET!E503="","",PRINT_SHEET!E503)</f>
        <v/>
      </c>
      <c r="F503" s="52">
        <f>IF(PRINT_SHEET!F503="","",PRINT_SHEET!F503)</f>
        <v/>
      </c>
      <c r="G503" s="54">
        <f>IF(PRINT_SHEET!G503="","",PRINT_SHEET!G503)</f>
        <v/>
      </c>
      <c r="H503" s="54">
        <f>IF(PRINT_SHEET!H503="","",PRINT_SHEET!H503)</f>
        <v/>
      </c>
      <c r="I503" s="54">
        <f>IF(PRINT_SHEET!I503="","",PRINT_SHEET!I503)</f>
        <v/>
      </c>
      <c r="J503" s="53">
        <f>IFERROR(INDEX({"ادا شدہ","جزوی","بقایا"},MATCH(PRINT_SHEET!J503,{"PAID","PARTIAL","PENDING"},0)),PRINT_SHEET!J503)</f>
        <v/>
      </c>
      <c r="K503" s="55">
        <f>IF(PRINT_SHEET!K503="","",PRINT_SHEET!K503)</f>
        <v/>
      </c>
      <c r="L503" s="53">
        <f>IF(PRINT_SHEET!L503="","",PRINT_SHEET!L503)</f>
        <v/>
      </c>
    </row>
    <row r="504" ht="20" customHeight="1">
      <c r="A504" s="52">
        <f>IF(PRINT_SHEET!A504="","",PRINT_SHEET!A504)</f>
        <v/>
      </c>
      <c r="B504" s="53">
        <f>IF(PRINT_SHEET!B504="","",PRINT_SHEET!B504)</f>
        <v/>
      </c>
      <c r="C504" s="56">
        <f>IF(PRINT_SHEET!C504="","",PRINT_SHEET!C504)</f>
        <v/>
      </c>
      <c r="D504" s="56">
        <f>IF(PRINT_SHEET!D504="","",PRINT_SHEET!D504)</f>
        <v/>
      </c>
      <c r="E504" s="53">
        <f>IF(PRINT_SHEET!E504="","",PRINT_SHEET!E504)</f>
        <v/>
      </c>
      <c r="F504" s="52">
        <f>IF(PRINT_SHEET!F504="","",PRINT_SHEET!F504)</f>
        <v/>
      </c>
      <c r="G504" s="54">
        <f>IF(PRINT_SHEET!G504="","",PRINT_SHEET!G504)</f>
        <v/>
      </c>
      <c r="H504" s="54">
        <f>IF(PRINT_SHEET!H504="","",PRINT_SHEET!H504)</f>
        <v/>
      </c>
      <c r="I504" s="54">
        <f>IF(PRINT_SHEET!I504="","",PRINT_SHEET!I504)</f>
        <v/>
      </c>
      <c r="J504" s="53">
        <f>IFERROR(INDEX({"ادا شدہ","جزوی","بقایا"},MATCH(PRINT_SHEET!J504,{"PAID","PARTIAL","PENDING"},0)),PRINT_SHEET!J504)</f>
        <v/>
      </c>
      <c r="K504" s="55">
        <f>IF(PRINT_SHEET!K504="","",PRINT_SHEET!K504)</f>
        <v/>
      </c>
      <c r="L504" s="53">
        <f>IF(PRINT_SHEET!L504="","",PRINT_SHEET!L504)</f>
        <v/>
      </c>
    </row>
    <row r="505" ht="20" customHeight="1">
      <c r="A505" s="52">
        <f>IF(PRINT_SHEET!A505="","",PRINT_SHEET!A505)</f>
        <v/>
      </c>
      <c r="B505" s="53">
        <f>IF(PRINT_SHEET!B505="","",PRINT_SHEET!B505)</f>
        <v/>
      </c>
      <c r="C505" s="56">
        <f>IF(PRINT_SHEET!C505="","",PRINT_SHEET!C505)</f>
        <v/>
      </c>
      <c r="D505" s="56">
        <f>IF(PRINT_SHEET!D505="","",PRINT_SHEET!D505)</f>
        <v/>
      </c>
      <c r="E505" s="53">
        <f>IF(PRINT_SHEET!E505="","",PRINT_SHEET!E505)</f>
        <v/>
      </c>
      <c r="F505" s="52">
        <f>IF(PRINT_SHEET!F505="","",PRINT_SHEET!F505)</f>
        <v/>
      </c>
      <c r="G505" s="54">
        <f>IF(PRINT_SHEET!G505="","",PRINT_SHEET!G505)</f>
        <v/>
      </c>
      <c r="H505" s="54">
        <f>IF(PRINT_SHEET!H505="","",PRINT_SHEET!H505)</f>
        <v/>
      </c>
      <c r="I505" s="54">
        <f>IF(PRINT_SHEET!I505="","",PRINT_SHEET!I505)</f>
        <v/>
      </c>
      <c r="J505" s="53">
        <f>IFERROR(INDEX({"ادا شدہ","جزوی","بقایا"},MATCH(PRINT_SHEET!J505,{"PAID","PARTIAL","PENDING"},0)),PRINT_SHEET!J505)</f>
        <v/>
      </c>
      <c r="K505" s="55">
        <f>IF(PRINT_SHEET!K505="","",PRINT_SHEET!K505)</f>
        <v/>
      </c>
      <c r="L505" s="53">
        <f>IF(PRINT_SHEET!L505="","",PRINT_SHEET!L505)</f>
        <v/>
      </c>
    </row>
    <row r="506" ht="20" customHeight="1">
      <c r="A506" s="52">
        <f>IF(PRINT_SHEET!A506="","",PRINT_SHEET!A506)</f>
        <v/>
      </c>
      <c r="B506" s="53">
        <f>IF(PRINT_SHEET!B506="","",PRINT_SHEET!B506)</f>
        <v/>
      </c>
      <c r="C506" s="56">
        <f>IF(PRINT_SHEET!C506="","",PRINT_SHEET!C506)</f>
        <v/>
      </c>
      <c r="D506" s="56">
        <f>IF(PRINT_SHEET!D506="","",PRINT_SHEET!D506)</f>
        <v/>
      </c>
      <c r="E506" s="53">
        <f>IF(PRINT_SHEET!E506="","",PRINT_SHEET!E506)</f>
        <v/>
      </c>
      <c r="F506" s="52">
        <f>IF(PRINT_SHEET!F506="","",PRINT_SHEET!F506)</f>
        <v/>
      </c>
      <c r="G506" s="54">
        <f>IF(PRINT_SHEET!G506="","",PRINT_SHEET!G506)</f>
        <v/>
      </c>
      <c r="H506" s="54">
        <f>IF(PRINT_SHEET!H506="","",PRINT_SHEET!H506)</f>
        <v/>
      </c>
      <c r="I506" s="54">
        <f>IF(PRINT_SHEET!I506="","",PRINT_SHEET!I506)</f>
        <v/>
      </c>
      <c r="J506" s="53">
        <f>IFERROR(INDEX({"ادا شدہ","جزوی","بقایا"},MATCH(PRINT_SHEET!J506,{"PAID","PARTIAL","PENDING"},0)),PRINT_SHEET!J506)</f>
        <v/>
      </c>
      <c r="K506" s="55">
        <f>IF(PRINT_SHEET!K506="","",PRINT_SHEET!K506)</f>
        <v/>
      </c>
      <c r="L506" s="53">
        <f>IF(PRINT_SHEET!L506="","",PRINT_SHEET!L506)</f>
        <v/>
      </c>
    </row>
    <row r="507" ht="20" customHeight="1">
      <c r="A507" s="52">
        <f>IF(PRINT_SHEET!A507="","",PRINT_SHEET!A507)</f>
        <v/>
      </c>
      <c r="B507" s="53">
        <f>IF(PRINT_SHEET!B507="","",PRINT_SHEET!B507)</f>
        <v/>
      </c>
      <c r="C507" s="56">
        <f>IF(PRINT_SHEET!C507="","",PRINT_SHEET!C507)</f>
        <v/>
      </c>
      <c r="D507" s="56">
        <f>IF(PRINT_SHEET!D507="","",PRINT_SHEET!D507)</f>
        <v/>
      </c>
      <c r="E507" s="53">
        <f>IF(PRINT_SHEET!E507="","",PRINT_SHEET!E507)</f>
        <v/>
      </c>
      <c r="F507" s="52">
        <f>IF(PRINT_SHEET!F507="","",PRINT_SHEET!F507)</f>
        <v/>
      </c>
      <c r="G507" s="54">
        <f>IF(PRINT_SHEET!G507="","",PRINT_SHEET!G507)</f>
        <v/>
      </c>
      <c r="H507" s="54">
        <f>IF(PRINT_SHEET!H507="","",PRINT_SHEET!H507)</f>
        <v/>
      </c>
      <c r="I507" s="54">
        <f>IF(PRINT_SHEET!I507="","",PRINT_SHEET!I507)</f>
        <v/>
      </c>
      <c r="J507" s="53">
        <f>IFERROR(INDEX({"ادا شدہ","جزوی","بقایا"},MATCH(PRINT_SHEET!J507,{"PAID","PARTIAL","PENDING"},0)),PRINT_SHEET!J507)</f>
        <v/>
      </c>
      <c r="K507" s="55">
        <f>IF(PRINT_SHEET!K507="","",PRINT_SHEET!K507)</f>
        <v/>
      </c>
      <c r="L507" s="53">
        <f>IF(PRINT_SHEET!L507="","",PRINT_SHEET!L507)</f>
        <v/>
      </c>
    </row>
    <row r="508" ht="20" customHeight="1">
      <c r="A508" s="52">
        <f>IF(PRINT_SHEET!A508="","",PRINT_SHEET!A508)</f>
        <v/>
      </c>
      <c r="B508" s="53">
        <f>IF(PRINT_SHEET!B508="","",PRINT_SHEET!B508)</f>
        <v/>
      </c>
      <c r="C508" s="56">
        <f>IF(PRINT_SHEET!C508="","",PRINT_SHEET!C508)</f>
        <v/>
      </c>
      <c r="D508" s="56">
        <f>IF(PRINT_SHEET!D508="","",PRINT_SHEET!D508)</f>
        <v/>
      </c>
      <c r="E508" s="53">
        <f>IF(PRINT_SHEET!E508="","",PRINT_SHEET!E508)</f>
        <v/>
      </c>
      <c r="F508" s="52">
        <f>IF(PRINT_SHEET!F508="","",PRINT_SHEET!F508)</f>
        <v/>
      </c>
      <c r="G508" s="54">
        <f>IF(PRINT_SHEET!G508="","",PRINT_SHEET!G508)</f>
        <v/>
      </c>
      <c r="H508" s="54">
        <f>IF(PRINT_SHEET!H508="","",PRINT_SHEET!H508)</f>
        <v/>
      </c>
      <c r="I508" s="54">
        <f>IF(PRINT_SHEET!I508="","",PRINT_SHEET!I508)</f>
        <v/>
      </c>
      <c r="J508" s="53">
        <f>IFERROR(INDEX({"ادا شدہ","جزوی","بقایا"},MATCH(PRINT_SHEET!J508,{"PAID","PARTIAL","PENDING"},0)),PRINT_SHEET!J508)</f>
        <v/>
      </c>
      <c r="K508" s="55">
        <f>IF(PRINT_SHEET!K508="","",PRINT_SHEET!K508)</f>
        <v/>
      </c>
      <c r="L508" s="53">
        <f>IF(PRINT_SHEET!L508="","",PRINT_SHEET!L508)</f>
        <v/>
      </c>
    </row>
    <row r="509" ht="20" customHeight="1">
      <c r="A509" s="52">
        <f>IF(PRINT_SHEET!A509="","",PRINT_SHEET!A509)</f>
        <v/>
      </c>
      <c r="B509" s="53">
        <f>IF(PRINT_SHEET!B509="","",PRINT_SHEET!B509)</f>
        <v/>
      </c>
      <c r="C509" s="56">
        <f>IF(PRINT_SHEET!C509="","",PRINT_SHEET!C509)</f>
        <v/>
      </c>
      <c r="D509" s="56">
        <f>IF(PRINT_SHEET!D509="","",PRINT_SHEET!D509)</f>
        <v/>
      </c>
      <c r="E509" s="53">
        <f>IF(PRINT_SHEET!E509="","",PRINT_SHEET!E509)</f>
        <v/>
      </c>
      <c r="F509" s="52">
        <f>IF(PRINT_SHEET!F509="","",PRINT_SHEET!F509)</f>
        <v/>
      </c>
      <c r="G509" s="54">
        <f>IF(PRINT_SHEET!G509="","",PRINT_SHEET!G509)</f>
        <v/>
      </c>
      <c r="H509" s="54">
        <f>IF(PRINT_SHEET!H509="","",PRINT_SHEET!H509)</f>
        <v/>
      </c>
      <c r="I509" s="54">
        <f>IF(PRINT_SHEET!I509="","",PRINT_SHEET!I509)</f>
        <v/>
      </c>
      <c r="J509" s="53">
        <f>IFERROR(INDEX({"ادا شدہ","جزوی","بقایا"},MATCH(PRINT_SHEET!J509,{"PAID","PARTIAL","PENDING"},0)),PRINT_SHEET!J509)</f>
        <v/>
      </c>
      <c r="K509" s="55">
        <f>IF(PRINT_SHEET!K509="","",PRINT_SHEET!K509)</f>
        <v/>
      </c>
      <c r="L509" s="53">
        <f>IF(PRINT_SHEET!L509="","",PRINT_SHEET!L509)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A2:L2"/>
    <mergeCell ref="A7:B7"/>
    <mergeCell ref="A1:L1"/>
    <mergeCell ref="A5:B5"/>
    <mergeCell ref="A3:L3"/>
    <mergeCell ref="A6:B6"/>
    <mergeCell ref="A4:L4"/>
  </mergeCells>
  <conditionalFormatting sqref="A10:L509">
    <cfRule type="expression" priority="1" dxfId="0">
      <formula>PRINT_SHEET!$N10&lt;&gt;""</formula>
    </cfRule>
    <cfRule type="expression" priority="2" dxfId="8">
      <formula>PRINT_SHEET!$O10=1</formula>
    </cfRule>
    <cfRule type="expression" priority="3" dxfId="9">
      <formula>OR(PRINT_SHEET!$O10=3,PRINT_SHEET!$O10=4,PRINT_SHEET!$O10=6)</formula>
    </cfRule>
  </conditionalFormatting>
  <printOptions horizontalCentered="1"/>
  <pageMargins left="0.4" right="0.4" top="0.5" bottom="0.6" header="0.25" footer="0.25"/>
  <pageSetup orientation="landscape" paperSize="9" fitToHeight="0" fitToWidth="1"/>
  <headerFooter>
    <oddHeader/>
    <oddFooter>&amp;L&amp;9 Collector Signature: ______________     Office Verification: ______________&amp;R&amp;9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12" customWidth="1" min="4" max="4"/>
    <col width="13" customWidth="1" min="5" max="5"/>
    <col width="13" customWidth="1" min="6" max="6"/>
    <col width="22" customWidth="1" min="7" max="7"/>
    <col width="14" customWidth="1" min="8" max="8"/>
    <col width="13" customWidth="1" min="9" max="9"/>
    <col width="13" customWidth="1" min="10" max="10"/>
    <col width="14" customWidth="1" min="11" max="11"/>
    <col hidden="1" width="13" customWidth="1" min="13" max="13"/>
  </cols>
  <sheetData>
    <row r="1">
      <c r="A1" s="13" t="inlineStr">
        <is>
          <t>CUSTOMER HISTORY</t>
        </is>
      </c>
      <c r="J1" s="9" t="inlineStr">
        <is>
          <t>◄ HOME</t>
        </is>
      </c>
    </row>
    <row r="2">
      <c r="A2" s="16" t="inlineStr">
        <is>
          <t>Search by Customer ID (best), Name, Mobile, VLAN ID, Location Code or Area. Capital/small letters do not matter.</t>
        </is>
      </c>
    </row>
    <row r="3">
      <c r="F3" s="5" t="inlineStr">
        <is>
          <t>MATCHING CUSTOMERS (first 15)</t>
        </is>
      </c>
    </row>
    <row r="4">
      <c r="B4" s="4" t="inlineStr">
        <is>
          <t>Search By</t>
        </is>
      </c>
      <c r="C4" s="37" t="inlineStr">
        <is>
          <t>Customer ID</t>
        </is>
      </c>
      <c r="F4" s="23" t="inlineStr">
        <is>
          <t>Customer ID</t>
        </is>
      </c>
      <c r="G4" s="23" t="inlineStr">
        <is>
          <t>Customer Name</t>
        </is>
      </c>
      <c r="H4" s="23" t="inlineStr">
        <is>
          <t>Location</t>
        </is>
      </c>
      <c r="I4" s="23" t="inlineStr">
        <is>
          <t>VLAN</t>
        </is>
      </c>
      <c r="J4" s="23" t="inlineStr">
        <is>
          <t>Mobile</t>
        </is>
      </c>
      <c r="K4" s="23" t="inlineStr">
        <is>
          <t>Status</t>
        </is>
      </c>
    </row>
    <row r="5">
      <c r="B5" s="4" t="inlineStr">
        <is>
          <t>Search Text</t>
        </is>
      </c>
      <c r="C5" s="14" t="inlineStr"/>
      <c r="F5" s="40">
        <f>IF($M5="","",INDEX(tblCustomers[Customer ID],$M5)&amp;"")</f>
        <v/>
      </c>
      <c r="G5" s="40">
        <f>IF($M5="","",INDEX(tblCustomers[Customer Name],$M5)&amp;"")</f>
        <v/>
      </c>
      <c r="H5" s="40">
        <f>IF($M5="","",INDEX(tblCustomers[Location Code],$M5)&amp;"")</f>
        <v/>
      </c>
      <c r="I5" s="40">
        <f>IF($M5="","",INDEX(tblCustomers[VLAN ID],$M5)&amp;"")</f>
        <v/>
      </c>
      <c r="J5" s="40">
        <f>IF($M5="","",INDEX(tblCustomers[Mobile Number],$M5)&amp;"")</f>
        <v/>
      </c>
      <c r="K5" s="40">
        <f>IF($M5="","",INDEX(tblCustomers[Customer Status],$M5)&amp;"")</f>
        <v/>
      </c>
      <c r="M5">
        <f>IFERROR(MATCH(1,tblCustomers[Search Match],0),"")</f>
        <v/>
      </c>
    </row>
    <row r="6">
      <c r="B6" s="4" t="inlineStr">
        <is>
          <t>Matches found</t>
        </is>
      </c>
      <c r="C6" s="57">
        <f>SUM(tblCustomers[Search Match])</f>
        <v/>
      </c>
      <c r="F6" s="40">
        <f>IF($M6="","",INDEX(tblCustomers[Customer ID],$M6)&amp;"")</f>
        <v/>
      </c>
      <c r="G6" s="40">
        <f>IF($M6="","",INDEX(tblCustomers[Customer Name],$M6)&amp;"")</f>
        <v/>
      </c>
      <c r="H6" s="40">
        <f>IF($M6="","",INDEX(tblCustomers[Location Code],$M6)&amp;"")</f>
        <v/>
      </c>
      <c r="I6" s="40">
        <f>IF($M6="","",INDEX(tblCustomers[VLAN ID],$M6)&amp;"")</f>
        <v/>
      </c>
      <c r="J6" s="40">
        <f>IF($M6="","",INDEX(tblCustomers[Mobile Number],$M6)&amp;"")</f>
        <v/>
      </c>
      <c r="K6" s="40">
        <f>IF($M6="","",INDEX(tblCustomers[Customer Status],$M6)&amp;"")</f>
        <v/>
      </c>
      <c r="M6">
        <f>IF(M5="","",IFERROR(M5+MATCH(1,INDEX(tblCustomers[Search Match],M5+1):INDEX(tblCustomers[Search Match],ROWS(tblCustomers[Search Match])),0),""))</f>
        <v/>
      </c>
    </row>
    <row r="7">
      <c r="B7" s="4" t="inlineStr">
        <is>
          <t>SELECTED CUSTOMER ID</t>
        </is>
      </c>
      <c r="C7" s="58">
        <f>IF(CH_SearchText="","",IF(COUNTIF(tblCustomers[Customer ID],CH_SearchText)=1,INDEX(tblCustomers[Customer ID],MATCH(CH_SearchText,tblCustomers[Customer ID],0)),IF(C6=1,INDEX(tblCustomers[Customer ID],MATCH(1,tblCustomers[Search Match],0)),"")))</f>
        <v/>
      </c>
      <c r="D7" s="59">
        <f>IF(CH_SearchText="","Type a Customer ID (e.g. CL-0025) in Search Text.",IF(C6=0,"Customer "&amp;CH_SearchText&amp;" was not found.",IF(C7="","Several customers match - copy the correct Customer ID from the list on the right into Search Text.","")))</f>
        <v/>
      </c>
      <c r="F7" s="40">
        <f>IF($M7="","",INDEX(tblCustomers[Customer ID],$M7)&amp;"")</f>
        <v/>
      </c>
      <c r="G7" s="40">
        <f>IF($M7="","",INDEX(tblCustomers[Customer Name],$M7)&amp;"")</f>
        <v/>
      </c>
      <c r="H7" s="40">
        <f>IF($M7="","",INDEX(tblCustomers[Location Code],$M7)&amp;"")</f>
        <v/>
      </c>
      <c r="I7" s="40">
        <f>IF($M7="","",INDEX(tblCustomers[VLAN ID],$M7)&amp;"")</f>
        <v/>
      </c>
      <c r="J7" s="40">
        <f>IF($M7="","",INDEX(tblCustomers[Mobile Number],$M7)&amp;"")</f>
        <v/>
      </c>
      <c r="K7" s="40">
        <f>IF($M7="","",INDEX(tblCustomers[Customer Status],$M7)&amp;"")</f>
        <v/>
      </c>
      <c r="M7">
        <f>IF(M6="","",IFERROR(M6+MATCH(1,INDEX(tblCustomers[Search Match],M6+1):INDEX(tblCustomers[Search Match],ROWS(tblCustomers[Search Match])),0),""))</f>
        <v/>
      </c>
    </row>
    <row r="8">
      <c r="F8" s="40">
        <f>IF($M8="","",INDEX(tblCustomers[Customer ID],$M8)&amp;"")</f>
        <v/>
      </c>
      <c r="G8" s="40">
        <f>IF($M8="","",INDEX(tblCustomers[Customer Name],$M8)&amp;"")</f>
        <v/>
      </c>
      <c r="H8" s="40">
        <f>IF($M8="","",INDEX(tblCustomers[Location Code],$M8)&amp;"")</f>
        <v/>
      </c>
      <c r="I8" s="40">
        <f>IF($M8="","",INDEX(tblCustomers[VLAN ID],$M8)&amp;"")</f>
        <v/>
      </c>
      <c r="J8" s="40">
        <f>IF($M8="","",INDEX(tblCustomers[Mobile Number],$M8)&amp;"")</f>
        <v/>
      </c>
      <c r="K8" s="40">
        <f>IF($M8="","",INDEX(tblCustomers[Customer Status],$M8)&amp;"")</f>
        <v/>
      </c>
      <c r="M8">
        <f>IF(M7="","",IFERROR(M7+MATCH(1,INDEX(tblCustomers[Search Match],M7+1):INDEX(tblCustomers[Search Match],ROWS(tblCustomers[Search Match])),0),""))</f>
        <v/>
      </c>
    </row>
    <row r="9">
      <c r="F9" s="40">
        <f>IF($M9="","",INDEX(tblCustomers[Customer ID],$M9)&amp;"")</f>
        <v/>
      </c>
      <c r="G9" s="40">
        <f>IF($M9="","",INDEX(tblCustomers[Customer Name],$M9)&amp;"")</f>
        <v/>
      </c>
      <c r="H9" s="40">
        <f>IF($M9="","",INDEX(tblCustomers[Location Code],$M9)&amp;"")</f>
        <v/>
      </c>
      <c r="I9" s="40">
        <f>IF($M9="","",INDEX(tblCustomers[VLAN ID],$M9)&amp;"")</f>
        <v/>
      </c>
      <c r="J9" s="40">
        <f>IF($M9="","",INDEX(tblCustomers[Mobile Number],$M9)&amp;"")</f>
        <v/>
      </c>
      <c r="K9" s="40">
        <f>IF($M9="","",INDEX(tblCustomers[Customer Status],$M9)&amp;"")</f>
        <v/>
      </c>
      <c r="M9">
        <f>IF(M8="","",IFERROR(M8+MATCH(1,INDEX(tblCustomers[Search Match],M8+1):INDEX(tblCustomers[Search Match],ROWS(tblCustomers[Search Match])),0),""))</f>
        <v/>
      </c>
    </row>
    <row r="10">
      <c r="F10" s="40">
        <f>IF($M10="","",INDEX(tblCustomers[Customer ID],$M10)&amp;"")</f>
        <v/>
      </c>
      <c r="G10" s="40">
        <f>IF($M10="","",INDEX(tblCustomers[Customer Name],$M10)&amp;"")</f>
        <v/>
      </c>
      <c r="H10" s="40">
        <f>IF($M10="","",INDEX(tblCustomers[Location Code],$M10)&amp;"")</f>
        <v/>
      </c>
      <c r="I10" s="40">
        <f>IF($M10="","",INDEX(tblCustomers[VLAN ID],$M10)&amp;"")</f>
        <v/>
      </c>
      <c r="J10" s="40">
        <f>IF($M10="","",INDEX(tblCustomers[Mobile Number],$M10)&amp;"")</f>
        <v/>
      </c>
      <c r="K10" s="40">
        <f>IF($M10="","",INDEX(tblCustomers[Customer Status],$M10)&amp;"")</f>
        <v/>
      </c>
      <c r="M10">
        <f>IF(M9="","",IFERROR(M9+MATCH(1,INDEX(tblCustomers[Search Match],M9+1):INDEX(tblCustomers[Search Match],ROWS(tblCustomers[Search Match])),0),""))</f>
        <v/>
      </c>
    </row>
    <row r="11">
      <c r="F11" s="40">
        <f>IF($M11="","",INDEX(tblCustomers[Customer ID],$M11)&amp;"")</f>
        <v/>
      </c>
      <c r="G11" s="40">
        <f>IF($M11="","",INDEX(tblCustomers[Customer Name],$M11)&amp;"")</f>
        <v/>
      </c>
      <c r="H11" s="40">
        <f>IF($M11="","",INDEX(tblCustomers[Location Code],$M11)&amp;"")</f>
        <v/>
      </c>
      <c r="I11" s="40">
        <f>IF($M11="","",INDEX(tblCustomers[VLAN ID],$M11)&amp;"")</f>
        <v/>
      </c>
      <c r="J11" s="40">
        <f>IF($M11="","",INDEX(tblCustomers[Mobile Number],$M11)&amp;"")</f>
        <v/>
      </c>
      <c r="K11" s="40">
        <f>IF($M11="","",INDEX(tblCustomers[Customer Status],$M11)&amp;"")</f>
        <v/>
      </c>
      <c r="M11">
        <f>IF(M10="","",IFERROR(M10+MATCH(1,INDEX(tblCustomers[Search Match],M10+1):INDEX(tblCustomers[Search Match],ROWS(tblCustomers[Search Match])),0),""))</f>
        <v/>
      </c>
    </row>
    <row r="12">
      <c r="F12" s="40">
        <f>IF($M12="","",INDEX(tblCustomers[Customer ID],$M12)&amp;"")</f>
        <v/>
      </c>
      <c r="G12" s="40">
        <f>IF($M12="","",INDEX(tblCustomers[Customer Name],$M12)&amp;"")</f>
        <v/>
      </c>
      <c r="H12" s="40">
        <f>IF($M12="","",INDEX(tblCustomers[Location Code],$M12)&amp;"")</f>
        <v/>
      </c>
      <c r="I12" s="40">
        <f>IF($M12="","",INDEX(tblCustomers[VLAN ID],$M12)&amp;"")</f>
        <v/>
      </c>
      <c r="J12" s="40">
        <f>IF($M12="","",INDEX(tblCustomers[Mobile Number],$M12)&amp;"")</f>
        <v/>
      </c>
      <c r="K12" s="40">
        <f>IF($M12="","",INDEX(tblCustomers[Customer Status],$M12)&amp;"")</f>
        <v/>
      </c>
      <c r="M12">
        <f>IF(M11="","",IFERROR(M11+MATCH(1,INDEX(tblCustomers[Search Match],M11+1):INDEX(tblCustomers[Search Match],ROWS(tblCustomers[Search Match])),0),""))</f>
        <v/>
      </c>
    </row>
    <row r="13">
      <c r="F13" s="40">
        <f>IF($M13="","",INDEX(tblCustomers[Customer ID],$M13)&amp;"")</f>
        <v/>
      </c>
      <c r="G13" s="40">
        <f>IF($M13="","",INDEX(tblCustomers[Customer Name],$M13)&amp;"")</f>
        <v/>
      </c>
      <c r="H13" s="40">
        <f>IF($M13="","",INDEX(tblCustomers[Location Code],$M13)&amp;"")</f>
        <v/>
      </c>
      <c r="I13" s="40">
        <f>IF($M13="","",INDEX(tblCustomers[VLAN ID],$M13)&amp;"")</f>
        <v/>
      </c>
      <c r="J13" s="40">
        <f>IF($M13="","",INDEX(tblCustomers[Mobile Number],$M13)&amp;"")</f>
        <v/>
      </c>
      <c r="K13" s="40">
        <f>IF($M13="","",INDEX(tblCustomers[Customer Status],$M13)&amp;"")</f>
        <v/>
      </c>
      <c r="M13">
        <f>IF(M12="","",IFERROR(M12+MATCH(1,INDEX(tblCustomers[Search Match],M12+1):INDEX(tblCustomers[Search Match],ROWS(tblCustomers[Search Match])),0),""))</f>
        <v/>
      </c>
    </row>
    <row r="14">
      <c r="F14" s="40">
        <f>IF($M14="","",INDEX(tblCustomers[Customer ID],$M14)&amp;"")</f>
        <v/>
      </c>
      <c r="G14" s="40">
        <f>IF($M14="","",INDEX(tblCustomers[Customer Name],$M14)&amp;"")</f>
        <v/>
      </c>
      <c r="H14" s="40">
        <f>IF($M14="","",INDEX(tblCustomers[Location Code],$M14)&amp;"")</f>
        <v/>
      </c>
      <c r="I14" s="40">
        <f>IF($M14="","",INDEX(tblCustomers[VLAN ID],$M14)&amp;"")</f>
        <v/>
      </c>
      <c r="J14" s="40">
        <f>IF($M14="","",INDEX(tblCustomers[Mobile Number],$M14)&amp;"")</f>
        <v/>
      </c>
      <c r="K14" s="40">
        <f>IF($M14="","",INDEX(tblCustomers[Customer Status],$M14)&amp;"")</f>
        <v/>
      </c>
      <c r="M14">
        <f>IF(M13="","",IFERROR(M13+MATCH(1,INDEX(tblCustomers[Search Match],M13+1):INDEX(tblCustomers[Search Match],ROWS(tblCustomers[Search Match])),0),""))</f>
        <v/>
      </c>
    </row>
    <row r="15">
      <c r="F15" s="40">
        <f>IF($M15="","",INDEX(tblCustomers[Customer ID],$M15)&amp;"")</f>
        <v/>
      </c>
      <c r="G15" s="40">
        <f>IF($M15="","",INDEX(tblCustomers[Customer Name],$M15)&amp;"")</f>
        <v/>
      </c>
      <c r="H15" s="40">
        <f>IF($M15="","",INDEX(tblCustomers[Location Code],$M15)&amp;"")</f>
        <v/>
      </c>
      <c r="I15" s="40">
        <f>IF($M15="","",INDEX(tblCustomers[VLAN ID],$M15)&amp;"")</f>
        <v/>
      </c>
      <c r="J15" s="40">
        <f>IF($M15="","",INDEX(tblCustomers[Mobile Number],$M15)&amp;"")</f>
        <v/>
      </c>
      <c r="K15" s="40">
        <f>IF($M15="","",INDEX(tblCustomers[Customer Status],$M15)&amp;"")</f>
        <v/>
      </c>
      <c r="M15">
        <f>IF(M14="","",IFERROR(M14+MATCH(1,INDEX(tblCustomers[Search Match],M14+1):INDEX(tblCustomers[Search Match],ROWS(tblCustomers[Search Match])),0),""))</f>
        <v/>
      </c>
    </row>
    <row r="16">
      <c r="F16" s="40">
        <f>IF($M16="","",INDEX(tblCustomers[Customer ID],$M16)&amp;"")</f>
        <v/>
      </c>
      <c r="G16" s="40">
        <f>IF($M16="","",INDEX(tblCustomers[Customer Name],$M16)&amp;"")</f>
        <v/>
      </c>
      <c r="H16" s="40">
        <f>IF($M16="","",INDEX(tblCustomers[Location Code],$M16)&amp;"")</f>
        <v/>
      </c>
      <c r="I16" s="40">
        <f>IF($M16="","",INDEX(tblCustomers[VLAN ID],$M16)&amp;"")</f>
        <v/>
      </c>
      <c r="J16" s="40">
        <f>IF($M16="","",INDEX(tblCustomers[Mobile Number],$M16)&amp;"")</f>
        <v/>
      </c>
      <c r="K16" s="40">
        <f>IF($M16="","",INDEX(tblCustomers[Customer Status],$M16)&amp;"")</f>
        <v/>
      </c>
      <c r="M16">
        <f>IF(M15="","",IFERROR(M15+MATCH(1,INDEX(tblCustomers[Search Match],M15+1):INDEX(tblCustomers[Search Match],ROWS(tblCustomers[Search Match])),0),""))</f>
        <v/>
      </c>
    </row>
    <row r="17">
      <c r="F17" s="40">
        <f>IF($M17="","",INDEX(tblCustomers[Customer ID],$M17)&amp;"")</f>
        <v/>
      </c>
      <c r="G17" s="40">
        <f>IF($M17="","",INDEX(tblCustomers[Customer Name],$M17)&amp;"")</f>
        <v/>
      </c>
      <c r="H17" s="40">
        <f>IF($M17="","",INDEX(tblCustomers[Location Code],$M17)&amp;"")</f>
        <v/>
      </c>
      <c r="I17" s="40">
        <f>IF($M17="","",INDEX(tblCustomers[VLAN ID],$M17)&amp;"")</f>
        <v/>
      </c>
      <c r="J17" s="40">
        <f>IF($M17="","",INDEX(tblCustomers[Mobile Number],$M17)&amp;"")</f>
        <v/>
      </c>
      <c r="K17" s="40">
        <f>IF($M17="","",INDEX(tblCustomers[Customer Status],$M17)&amp;"")</f>
        <v/>
      </c>
      <c r="M17">
        <f>IF(M16="","",IFERROR(M16+MATCH(1,INDEX(tblCustomers[Search Match],M16+1):INDEX(tblCustomers[Search Match],ROWS(tblCustomers[Search Match])),0),""))</f>
        <v/>
      </c>
    </row>
    <row r="18">
      <c r="F18" s="40">
        <f>IF($M18="","",INDEX(tblCustomers[Customer ID],$M18)&amp;"")</f>
        <v/>
      </c>
      <c r="G18" s="40">
        <f>IF($M18="","",INDEX(tblCustomers[Customer Name],$M18)&amp;"")</f>
        <v/>
      </c>
      <c r="H18" s="40">
        <f>IF($M18="","",INDEX(tblCustomers[Location Code],$M18)&amp;"")</f>
        <v/>
      </c>
      <c r="I18" s="40">
        <f>IF($M18="","",INDEX(tblCustomers[VLAN ID],$M18)&amp;"")</f>
        <v/>
      </c>
      <c r="J18" s="40">
        <f>IF($M18="","",INDEX(tblCustomers[Mobile Number],$M18)&amp;"")</f>
        <v/>
      </c>
      <c r="K18" s="40">
        <f>IF($M18="","",INDEX(tblCustomers[Customer Status],$M18)&amp;"")</f>
        <v/>
      </c>
      <c r="M18">
        <f>IF(M17="","",IFERROR(M17+MATCH(1,INDEX(tblCustomers[Search Match],M17+1):INDEX(tblCustomers[Search Match],ROWS(tblCustomers[Search Match])),0),""))</f>
        <v/>
      </c>
    </row>
    <row r="19">
      <c r="F19" s="40">
        <f>IF($M19="","",INDEX(tblCustomers[Customer ID],$M19)&amp;"")</f>
        <v/>
      </c>
      <c r="G19" s="40">
        <f>IF($M19="","",INDEX(tblCustomers[Customer Name],$M19)&amp;"")</f>
        <v/>
      </c>
      <c r="H19" s="40">
        <f>IF($M19="","",INDEX(tblCustomers[Location Code],$M19)&amp;"")</f>
        <v/>
      </c>
      <c r="I19" s="40">
        <f>IF($M19="","",INDEX(tblCustomers[VLAN ID],$M19)&amp;"")</f>
        <v/>
      </c>
      <c r="J19" s="40">
        <f>IF($M19="","",INDEX(tblCustomers[Mobile Number],$M19)&amp;"")</f>
        <v/>
      </c>
      <c r="K19" s="40">
        <f>IF($M19="","",INDEX(tblCustomers[Customer Status],$M19)&amp;"")</f>
        <v/>
      </c>
      <c r="M19">
        <f>IF(M18="","",IFERROR(M18+MATCH(1,INDEX(tblCustomers[Search Match],M18+1):INDEX(tblCustomers[Search Match],ROWS(tblCustomers[Search Match])),0),""))</f>
        <v/>
      </c>
    </row>
    <row r="21">
      <c r="B21" s="7" t="inlineStr">
        <is>
          <t>CUSTOMER PROFILE</t>
        </is>
      </c>
      <c r="C21" s="8" t="n"/>
      <c r="D21" s="8" t="n"/>
      <c r="F21" s="7" t="inlineStr">
        <is>
          <t>TOTALS</t>
        </is>
      </c>
      <c r="G21" s="8" t="n"/>
      <c r="H21" s="8" t="n"/>
      <c r="I21" s="8" t="n"/>
    </row>
    <row r="22">
      <c r="B22" s="4" t="inlineStr">
        <is>
          <t>Customer ID</t>
        </is>
      </c>
      <c r="C22" s="60">
        <f>CH_CustomerID</f>
        <v/>
      </c>
      <c r="F22" s="4" t="inlineStr">
        <is>
          <t>Total Billing</t>
        </is>
      </c>
      <c r="H22" s="39">
        <f>IF(CH_CustomerID="","",SUMIFS(tblBilling[Monthly Fee],tblBilling[Customer ID],CH_CustomerID))</f>
        <v/>
      </c>
    </row>
    <row r="23">
      <c r="B23" s="4" t="inlineStr">
        <is>
          <t>Customer Name</t>
        </is>
      </c>
      <c r="C23" s="60">
        <f>IF(CH_CustomerID="","",INDEX(tblCustomers[Customer Name],MATCH(CH_CustomerID,tblCustomers[Customer ID],0)))</f>
        <v/>
      </c>
      <c r="F23" s="4" t="inlineStr">
        <is>
          <t>Total Paid</t>
        </is>
      </c>
      <c r="H23" s="39">
        <f>IF(CH_CustomerID="","",SUMIFS(tblBilling[Amount Paid],tblBilling[Customer ID],CH_CustomerID))</f>
        <v/>
      </c>
    </row>
    <row r="24">
      <c r="B24" s="4" t="inlineStr">
        <is>
          <t>Location Code</t>
        </is>
      </c>
      <c r="C24" s="60">
        <f>IF(CH_CustomerID="","",INDEX(tblCustomers[Location Code],MATCH(CH_CustomerID,tblCustomers[Customer ID],0)))</f>
        <v/>
      </c>
      <c r="F24" s="4" t="inlineStr">
        <is>
          <t>Total Outstanding</t>
        </is>
      </c>
      <c r="H24" s="39">
        <f>IF(CH_CustomerID="","",SUMIFS(tblBilling[Balance],tblBilling[Customer ID],CH_CustomerID))</f>
        <v/>
      </c>
    </row>
    <row r="25">
      <c r="B25" s="4" t="inlineStr">
        <is>
          <t>Area</t>
        </is>
      </c>
      <c r="C25" s="60">
        <f>IF(CH_CustomerID="","",INDEX(tblCustomers[Area],MATCH(CH_CustomerID,tblCustomers[Customer ID],0)))</f>
        <v/>
      </c>
      <c r="F25" s="4" t="inlineStr">
        <is>
          <t>Last Payment Date</t>
        </is>
      </c>
      <c r="H25" s="61">
        <f>IF(CH_CustomerID="","",IF(COUNTIFS(tblPayments[Customer ID],CH_CustomerID,tblPayments[Voided],"&lt;&gt;Yes")=0,"No payments",IFERROR(_xlfn.MAXIFS(tblPayments[Payment Date],tblPayments[Customer ID],CH_CustomerID,tblPayments[Voided],"&lt;&gt;Yes"),"")))</f>
        <v/>
      </c>
    </row>
    <row r="26">
      <c r="B26" s="4" t="inlineStr">
        <is>
          <t>Street</t>
        </is>
      </c>
      <c r="C26" s="60">
        <f>IF(CH_CustomerID="","",INDEX(tblCustomers[Street],MATCH(CH_CustomerID,tblCustomers[Customer ID],0)))</f>
        <v/>
      </c>
      <c r="F26" s="4" t="inlineStr">
        <is>
          <t>Last Payment Amount</t>
        </is>
      </c>
      <c r="H26" s="39">
        <f>IF(OR(CH_CustomerID="",NOT(ISNUMBER(H25))),"",SUMIFS(tblPayments[Amount],tblPayments[Customer ID],CH_CustomerID,tblPayments[Payment Date],H25,tblPayments[Voided],"&lt;&gt;Yes"))</f>
        <v/>
      </c>
    </row>
    <row r="27">
      <c r="B27" s="4" t="inlineStr">
        <is>
          <t>Full Address</t>
        </is>
      </c>
      <c r="C27" s="60">
        <f>IF(CH_CustomerID="","",INDEX(tblCustomers[Full Address],MATCH(CH_CustomerID,tblCustomers[Customer ID],0)))</f>
        <v/>
      </c>
      <c r="F27" s="4" t="inlineStr">
        <is>
          <t>Months Billed</t>
        </is>
      </c>
      <c r="H27" s="43">
        <f>IF(CH_CustomerID="","",COUNTIF(tblBilling[Customer ID],CH_CustomerID))</f>
        <v/>
      </c>
    </row>
    <row r="28">
      <c r="B28" s="4" t="inlineStr">
        <is>
          <t>VLAN ID</t>
        </is>
      </c>
      <c r="C28" s="60">
        <f>IF(CH_CustomerID="","",INDEX(tblCustomers[VLAN ID],MATCH(CH_CustomerID,tblCustomers[Customer ID],0)))</f>
        <v/>
      </c>
    </row>
    <row r="29">
      <c r="B29" s="4" t="inlineStr">
        <is>
          <t>Package</t>
        </is>
      </c>
      <c r="C29" s="60">
        <f>IF(CH_CustomerID="","",INDEX(tblCustomers[Package],MATCH(CH_CustomerID,tblCustomers[Customer ID],0)))</f>
        <v/>
      </c>
      <c r="F29" s="4" t="inlineStr">
        <is>
          <t>WhatsApp</t>
        </is>
      </c>
      <c r="H29" s="9">
        <f>IF(OR(CH_CustomerID="",C34=""),"",HYPERLINK("https://wa.me/"&amp;IF(LEFT(SUBSTITUTE(SUBSTITUTE(C34,"-","")," ",""),1)="0",CFG_WhatsAppCountryCode&amp;MID(SUBSTITUTE(SUBSTITUTE(C34,"-","")," ",""),2,20),SUBSTITUTE(SUBSTITUTE(C34,"-","")," ",""))&amp;"?text="&amp;_xlfn.ENCODEURL(CFG_WhatsAppMessage),"OPEN WHATSAPP"))</f>
        <v/>
      </c>
    </row>
    <row r="30">
      <c r="B30" s="4" t="inlineStr">
        <is>
          <t>Monthly Fee</t>
        </is>
      </c>
      <c r="C30" s="62">
        <f>IF(CH_CustomerID="","",INDEX(tblCustomers[Monthly Fee],MATCH(CH_CustomerID,tblCustomers[Customer ID],0)))</f>
        <v/>
      </c>
      <c r="F30" s="16" t="inlineStr">
        <is>
          <t>The PDF statement must be attached manually in WhatsApp.</t>
        </is>
      </c>
    </row>
    <row r="31">
      <c r="B31" s="4" t="inlineStr">
        <is>
          <t>Due Date</t>
        </is>
      </c>
      <c r="C31" s="60">
        <f>IF(CH_CustomerID="","",INDEX(tblCustomers[Due Date],MATCH(CH_CustomerID,tblCustomers[Customer ID],0)))</f>
        <v/>
      </c>
      <c r="F31" s="9" t="inlineStr">
        <is>
          <t>► Customer statement sheet</t>
        </is>
      </c>
    </row>
    <row r="32">
      <c r="B32" s="4" t="inlineStr">
        <is>
          <t>Connection Date</t>
        </is>
      </c>
      <c r="C32" s="63">
        <f>IF(CH_CustomerID="","",INDEX(tblCustomers[Connection Date],MATCH(CH_CustomerID,tblCustomers[Customer ID],0)))</f>
        <v/>
      </c>
    </row>
    <row r="33">
      <c r="B33" s="4" t="inlineStr">
        <is>
          <t>Current Status</t>
        </is>
      </c>
      <c r="C33" s="60">
        <f>IF(CH_CustomerID="","",INDEX(tblCustomers[Customer Status],MATCH(CH_CustomerID,tblCustomers[Customer ID],0)))</f>
        <v/>
      </c>
    </row>
    <row r="34">
      <c r="B34" s="4" t="inlineStr">
        <is>
          <t>Mobile</t>
        </is>
      </c>
      <c r="C34" s="60">
        <f>IF(CH_CustomerID="","",INDEX(tblCustomers[Mobile Number],MATCH(CH_CustomerID,tblCustomers[Customer ID],0)))</f>
        <v/>
      </c>
    </row>
    <row r="37">
      <c r="B37" s="7" t="inlineStr">
        <is>
          <t>COMPLETE BILLING / PAYMENT HISTORY (never overwritten)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B38" s="23" t="inlineStr">
        <is>
          <t>Month</t>
        </is>
      </c>
      <c r="C38" s="23" t="inlineStr">
        <is>
          <t>Month Name</t>
        </is>
      </c>
      <c r="D38" s="23" t="inlineStr">
        <is>
          <t>Bill</t>
        </is>
      </c>
      <c r="E38" s="23" t="inlineStr">
        <is>
          <t>Paid</t>
        </is>
      </c>
      <c r="F38" s="23" t="inlineStr">
        <is>
          <t>Payment Date</t>
        </is>
      </c>
      <c r="G38" s="23" t="inlineStr">
        <is>
          <t>Balance</t>
        </is>
      </c>
      <c r="H38" s="23" t="inlineStr">
        <is>
          <t>Status</t>
        </is>
      </c>
      <c r="I38" s="23" t="inlineStr">
        <is>
          <t>Collector</t>
        </is>
      </c>
      <c r="J38" s="23" t="inlineStr">
        <is>
          <t>Payments</t>
        </is>
      </c>
    </row>
    <row r="39">
      <c r="B39" s="64">
        <f>IF($M39="","",IF(INDEX(tblBilling[Month],$M39)="","",INDEX(tblBilling[Month],$M39)))</f>
        <v/>
      </c>
      <c r="C39" s="65">
        <f>IF($M39="","",IF(INDEX(tblBilling[Month Name],$M39)="","",INDEX(tblBilling[Month Name],$M39)))</f>
        <v/>
      </c>
      <c r="D39" s="66">
        <f>IF($M39="","",IF(INDEX(tblBilling[Monthly Fee],$M39)="","",INDEX(tblBilling[Monthly Fee],$M39)))</f>
        <v/>
      </c>
      <c r="E39" s="66">
        <f>IF($M39="","",IF(INDEX(tblBilling[Amount Paid],$M39)="","",INDEX(tblBilling[Amount Paid],$M39)))</f>
        <v/>
      </c>
      <c r="F39" s="67">
        <f>IF($M39="","",IF(INDEX(tblBilling[Last Payment Date],$M39)="","",INDEX(tblBilling[Last Payment Date],$M39)))</f>
        <v/>
      </c>
      <c r="G39" s="66">
        <f>IF($M39="","",IF(INDEX(tblBilling[Balance],$M39)="","",INDEX(tblBilling[Balance],$M39)))</f>
        <v/>
      </c>
      <c r="H39" s="65">
        <f>IF($M39="","",IF(INDEX(tblBilling[Payment Status],$M39)="","",INDEX(tblBilling[Payment Status],$M39)))</f>
        <v/>
      </c>
      <c r="I39" s="65">
        <f>IF($M39="","",IF(INDEX(tblBilling[Collector Name],$M39)="","",INDEX(tblBilling[Collector Name],$M39)))</f>
        <v/>
      </c>
      <c r="J39" s="68">
        <f>IF($M39="","",IF(INDEX(tblBilling[Payments Count],$M39)="","",INDEX(tblBilling[Payments Count],$M39)))</f>
        <v/>
      </c>
      <c r="M39">
        <f>IF(CH_CustomerID="","",IFERROR(MATCH(CH_CustomerID,tblBilling[Customer ID],0),""))</f>
        <v/>
      </c>
    </row>
    <row r="40">
      <c r="B40" s="64">
        <f>IF($M40="","",IF(INDEX(tblBilling[Month],$M40)="","",INDEX(tblBilling[Month],$M40)))</f>
        <v/>
      </c>
      <c r="C40" s="65">
        <f>IF($M40="","",IF(INDEX(tblBilling[Month Name],$M40)="","",INDEX(tblBilling[Month Name],$M40)))</f>
        <v/>
      </c>
      <c r="D40" s="66">
        <f>IF($M40="","",IF(INDEX(tblBilling[Monthly Fee],$M40)="","",INDEX(tblBilling[Monthly Fee],$M40)))</f>
        <v/>
      </c>
      <c r="E40" s="66">
        <f>IF($M40="","",IF(INDEX(tblBilling[Amount Paid],$M40)="","",INDEX(tblBilling[Amount Paid],$M40)))</f>
        <v/>
      </c>
      <c r="F40" s="67">
        <f>IF($M40="","",IF(INDEX(tblBilling[Last Payment Date],$M40)="","",INDEX(tblBilling[Last Payment Date],$M40)))</f>
        <v/>
      </c>
      <c r="G40" s="66">
        <f>IF($M40="","",IF(INDEX(tblBilling[Balance],$M40)="","",INDEX(tblBilling[Balance],$M40)))</f>
        <v/>
      </c>
      <c r="H40" s="65">
        <f>IF($M40="","",IF(INDEX(tblBilling[Payment Status],$M40)="","",INDEX(tblBilling[Payment Status],$M40)))</f>
        <v/>
      </c>
      <c r="I40" s="65">
        <f>IF($M40="","",IF(INDEX(tblBilling[Collector Name],$M40)="","",INDEX(tblBilling[Collector Name],$M40)))</f>
        <v/>
      </c>
      <c r="J40" s="68">
        <f>IF($M40="","",IF(INDEX(tblBilling[Payments Count],$M40)="","",INDEX(tblBilling[Payments Count],$M40)))</f>
        <v/>
      </c>
      <c r="M40">
        <f>IF(M39="","",IFERROR(M39+MATCH(CH_CustomerID,INDEX(tblBilling[Customer ID],M39+1):INDEX(tblBilling[Customer ID],ROWS(tblBilling[Customer ID])),0),""))</f>
        <v/>
      </c>
    </row>
    <row r="41">
      <c r="B41" s="64">
        <f>IF($M41="","",IF(INDEX(tblBilling[Month],$M41)="","",INDEX(tblBilling[Month],$M41)))</f>
        <v/>
      </c>
      <c r="C41" s="65">
        <f>IF($M41="","",IF(INDEX(tblBilling[Month Name],$M41)="","",INDEX(tblBilling[Month Name],$M41)))</f>
        <v/>
      </c>
      <c r="D41" s="66">
        <f>IF($M41="","",IF(INDEX(tblBilling[Monthly Fee],$M41)="","",INDEX(tblBilling[Monthly Fee],$M41)))</f>
        <v/>
      </c>
      <c r="E41" s="66">
        <f>IF($M41="","",IF(INDEX(tblBilling[Amount Paid],$M41)="","",INDEX(tblBilling[Amount Paid],$M41)))</f>
        <v/>
      </c>
      <c r="F41" s="67">
        <f>IF($M41="","",IF(INDEX(tblBilling[Last Payment Date],$M41)="","",INDEX(tblBilling[Last Payment Date],$M41)))</f>
        <v/>
      </c>
      <c r="G41" s="66">
        <f>IF($M41="","",IF(INDEX(tblBilling[Balance],$M41)="","",INDEX(tblBilling[Balance],$M41)))</f>
        <v/>
      </c>
      <c r="H41" s="65">
        <f>IF($M41="","",IF(INDEX(tblBilling[Payment Status],$M41)="","",INDEX(tblBilling[Payment Status],$M41)))</f>
        <v/>
      </c>
      <c r="I41" s="65">
        <f>IF($M41="","",IF(INDEX(tblBilling[Collector Name],$M41)="","",INDEX(tblBilling[Collector Name],$M41)))</f>
        <v/>
      </c>
      <c r="J41" s="68">
        <f>IF($M41="","",IF(INDEX(tblBilling[Payments Count],$M41)="","",INDEX(tblBilling[Payments Count],$M41)))</f>
        <v/>
      </c>
      <c r="M41">
        <f>IF(M40="","",IFERROR(M40+MATCH(CH_CustomerID,INDEX(tblBilling[Customer ID],M40+1):INDEX(tblBilling[Customer ID],ROWS(tblBilling[Customer ID])),0),""))</f>
        <v/>
      </c>
    </row>
    <row r="42">
      <c r="B42" s="64">
        <f>IF($M42="","",IF(INDEX(tblBilling[Month],$M42)="","",INDEX(tblBilling[Month],$M42)))</f>
        <v/>
      </c>
      <c r="C42" s="65">
        <f>IF($M42="","",IF(INDEX(tblBilling[Month Name],$M42)="","",INDEX(tblBilling[Month Name],$M42)))</f>
        <v/>
      </c>
      <c r="D42" s="66">
        <f>IF($M42="","",IF(INDEX(tblBilling[Monthly Fee],$M42)="","",INDEX(tblBilling[Monthly Fee],$M42)))</f>
        <v/>
      </c>
      <c r="E42" s="66">
        <f>IF($M42="","",IF(INDEX(tblBilling[Amount Paid],$M42)="","",INDEX(tblBilling[Amount Paid],$M42)))</f>
        <v/>
      </c>
      <c r="F42" s="67">
        <f>IF($M42="","",IF(INDEX(tblBilling[Last Payment Date],$M42)="","",INDEX(tblBilling[Last Payment Date],$M42)))</f>
        <v/>
      </c>
      <c r="G42" s="66">
        <f>IF($M42="","",IF(INDEX(tblBilling[Balance],$M42)="","",INDEX(tblBilling[Balance],$M42)))</f>
        <v/>
      </c>
      <c r="H42" s="65">
        <f>IF($M42="","",IF(INDEX(tblBilling[Payment Status],$M42)="","",INDEX(tblBilling[Payment Status],$M42)))</f>
        <v/>
      </c>
      <c r="I42" s="65">
        <f>IF($M42="","",IF(INDEX(tblBilling[Collector Name],$M42)="","",INDEX(tblBilling[Collector Name],$M42)))</f>
        <v/>
      </c>
      <c r="J42" s="68">
        <f>IF($M42="","",IF(INDEX(tblBilling[Payments Count],$M42)="","",INDEX(tblBilling[Payments Count],$M42)))</f>
        <v/>
      </c>
      <c r="M42">
        <f>IF(M41="","",IFERROR(M41+MATCH(CH_CustomerID,INDEX(tblBilling[Customer ID],M41+1):INDEX(tblBilling[Customer ID],ROWS(tblBilling[Customer ID])),0),""))</f>
        <v/>
      </c>
    </row>
    <row r="43">
      <c r="B43" s="64">
        <f>IF($M43="","",IF(INDEX(tblBilling[Month],$M43)="","",INDEX(tblBilling[Month],$M43)))</f>
        <v/>
      </c>
      <c r="C43" s="65">
        <f>IF($M43="","",IF(INDEX(tblBilling[Month Name],$M43)="","",INDEX(tblBilling[Month Name],$M43)))</f>
        <v/>
      </c>
      <c r="D43" s="66">
        <f>IF($M43="","",IF(INDEX(tblBilling[Monthly Fee],$M43)="","",INDEX(tblBilling[Monthly Fee],$M43)))</f>
        <v/>
      </c>
      <c r="E43" s="66">
        <f>IF($M43="","",IF(INDEX(tblBilling[Amount Paid],$M43)="","",INDEX(tblBilling[Amount Paid],$M43)))</f>
        <v/>
      </c>
      <c r="F43" s="67">
        <f>IF($M43="","",IF(INDEX(tblBilling[Last Payment Date],$M43)="","",INDEX(tblBilling[Last Payment Date],$M43)))</f>
        <v/>
      </c>
      <c r="G43" s="66">
        <f>IF($M43="","",IF(INDEX(tblBilling[Balance],$M43)="","",INDEX(tblBilling[Balance],$M43)))</f>
        <v/>
      </c>
      <c r="H43" s="65">
        <f>IF($M43="","",IF(INDEX(tblBilling[Payment Status],$M43)="","",INDEX(tblBilling[Payment Status],$M43)))</f>
        <v/>
      </c>
      <c r="I43" s="65">
        <f>IF($M43="","",IF(INDEX(tblBilling[Collector Name],$M43)="","",INDEX(tblBilling[Collector Name],$M43)))</f>
        <v/>
      </c>
      <c r="J43" s="68">
        <f>IF($M43="","",IF(INDEX(tblBilling[Payments Count],$M43)="","",INDEX(tblBilling[Payments Count],$M43)))</f>
        <v/>
      </c>
      <c r="M43">
        <f>IF(M42="","",IFERROR(M42+MATCH(CH_CustomerID,INDEX(tblBilling[Customer ID],M42+1):INDEX(tblBilling[Customer ID],ROWS(tblBilling[Customer ID])),0),""))</f>
        <v/>
      </c>
    </row>
    <row r="44">
      <c r="B44" s="64">
        <f>IF($M44="","",IF(INDEX(tblBilling[Month],$M44)="","",INDEX(tblBilling[Month],$M44)))</f>
        <v/>
      </c>
      <c r="C44" s="65">
        <f>IF($M44="","",IF(INDEX(tblBilling[Month Name],$M44)="","",INDEX(tblBilling[Month Name],$M44)))</f>
        <v/>
      </c>
      <c r="D44" s="66">
        <f>IF($M44="","",IF(INDEX(tblBilling[Monthly Fee],$M44)="","",INDEX(tblBilling[Monthly Fee],$M44)))</f>
        <v/>
      </c>
      <c r="E44" s="66">
        <f>IF($M44="","",IF(INDEX(tblBilling[Amount Paid],$M44)="","",INDEX(tblBilling[Amount Paid],$M44)))</f>
        <v/>
      </c>
      <c r="F44" s="67">
        <f>IF($M44="","",IF(INDEX(tblBilling[Last Payment Date],$M44)="","",INDEX(tblBilling[Last Payment Date],$M44)))</f>
        <v/>
      </c>
      <c r="G44" s="66">
        <f>IF($M44="","",IF(INDEX(tblBilling[Balance],$M44)="","",INDEX(tblBilling[Balance],$M44)))</f>
        <v/>
      </c>
      <c r="H44" s="65">
        <f>IF($M44="","",IF(INDEX(tblBilling[Payment Status],$M44)="","",INDEX(tblBilling[Payment Status],$M44)))</f>
        <v/>
      </c>
      <c r="I44" s="65">
        <f>IF($M44="","",IF(INDEX(tblBilling[Collector Name],$M44)="","",INDEX(tblBilling[Collector Name],$M44)))</f>
        <v/>
      </c>
      <c r="J44" s="68">
        <f>IF($M44="","",IF(INDEX(tblBilling[Payments Count],$M44)="","",INDEX(tblBilling[Payments Count],$M44)))</f>
        <v/>
      </c>
      <c r="M44">
        <f>IF(M43="","",IFERROR(M43+MATCH(CH_CustomerID,INDEX(tblBilling[Customer ID],M43+1):INDEX(tblBilling[Customer ID],ROWS(tblBilling[Customer ID])),0),""))</f>
        <v/>
      </c>
    </row>
    <row r="45">
      <c r="B45" s="64">
        <f>IF($M45="","",IF(INDEX(tblBilling[Month],$M45)="","",INDEX(tblBilling[Month],$M45)))</f>
        <v/>
      </c>
      <c r="C45" s="65">
        <f>IF($M45="","",IF(INDEX(tblBilling[Month Name],$M45)="","",INDEX(tblBilling[Month Name],$M45)))</f>
        <v/>
      </c>
      <c r="D45" s="66">
        <f>IF($M45="","",IF(INDEX(tblBilling[Monthly Fee],$M45)="","",INDEX(tblBilling[Monthly Fee],$M45)))</f>
        <v/>
      </c>
      <c r="E45" s="66">
        <f>IF($M45="","",IF(INDEX(tblBilling[Amount Paid],$M45)="","",INDEX(tblBilling[Amount Paid],$M45)))</f>
        <v/>
      </c>
      <c r="F45" s="67">
        <f>IF($M45="","",IF(INDEX(tblBilling[Last Payment Date],$M45)="","",INDEX(tblBilling[Last Payment Date],$M45)))</f>
        <v/>
      </c>
      <c r="G45" s="66">
        <f>IF($M45="","",IF(INDEX(tblBilling[Balance],$M45)="","",INDEX(tblBilling[Balance],$M45)))</f>
        <v/>
      </c>
      <c r="H45" s="65">
        <f>IF($M45="","",IF(INDEX(tblBilling[Payment Status],$M45)="","",INDEX(tblBilling[Payment Status],$M45)))</f>
        <v/>
      </c>
      <c r="I45" s="65">
        <f>IF($M45="","",IF(INDEX(tblBilling[Collector Name],$M45)="","",INDEX(tblBilling[Collector Name],$M45)))</f>
        <v/>
      </c>
      <c r="J45" s="68">
        <f>IF($M45="","",IF(INDEX(tblBilling[Payments Count],$M45)="","",INDEX(tblBilling[Payments Count],$M45)))</f>
        <v/>
      </c>
      <c r="M45">
        <f>IF(M44="","",IFERROR(M44+MATCH(CH_CustomerID,INDEX(tblBilling[Customer ID],M44+1):INDEX(tblBilling[Customer ID],ROWS(tblBilling[Customer ID])),0),""))</f>
        <v/>
      </c>
    </row>
    <row r="46">
      <c r="B46" s="64">
        <f>IF($M46="","",IF(INDEX(tblBilling[Month],$M46)="","",INDEX(tblBilling[Month],$M46)))</f>
        <v/>
      </c>
      <c r="C46" s="65">
        <f>IF($M46="","",IF(INDEX(tblBilling[Month Name],$M46)="","",INDEX(tblBilling[Month Name],$M46)))</f>
        <v/>
      </c>
      <c r="D46" s="66">
        <f>IF($M46="","",IF(INDEX(tblBilling[Monthly Fee],$M46)="","",INDEX(tblBilling[Monthly Fee],$M46)))</f>
        <v/>
      </c>
      <c r="E46" s="66">
        <f>IF($M46="","",IF(INDEX(tblBilling[Amount Paid],$M46)="","",INDEX(tblBilling[Amount Paid],$M46)))</f>
        <v/>
      </c>
      <c r="F46" s="67">
        <f>IF($M46="","",IF(INDEX(tblBilling[Last Payment Date],$M46)="","",INDEX(tblBilling[Last Payment Date],$M46)))</f>
        <v/>
      </c>
      <c r="G46" s="66">
        <f>IF($M46="","",IF(INDEX(tblBilling[Balance],$M46)="","",INDEX(tblBilling[Balance],$M46)))</f>
        <v/>
      </c>
      <c r="H46" s="65">
        <f>IF($M46="","",IF(INDEX(tblBilling[Payment Status],$M46)="","",INDEX(tblBilling[Payment Status],$M46)))</f>
        <v/>
      </c>
      <c r="I46" s="65">
        <f>IF($M46="","",IF(INDEX(tblBilling[Collector Name],$M46)="","",INDEX(tblBilling[Collector Name],$M46)))</f>
        <v/>
      </c>
      <c r="J46" s="68">
        <f>IF($M46="","",IF(INDEX(tblBilling[Payments Count],$M46)="","",INDEX(tblBilling[Payments Count],$M46)))</f>
        <v/>
      </c>
      <c r="M46">
        <f>IF(M45="","",IFERROR(M45+MATCH(CH_CustomerID,INDEX(tblBilling[Customer ID],M45+1):INDEX(tblBilling[Customer ID],ROWS(tblBilling[Customer ID])),0),""))</f>
        <v/>
      </c>
    </row>
    <row r="47">
      <c r="B47" s="64">
        <f>IF($M47="","",IF(INDEX(tblBilling[Month],$M47)="","",INDEX(tblBilling[Month],$M47)))</f>
        <v/>
      </c>
      <c r="C47" s="65">
        <f>IF($M47="","",IF(INDEX(tblBilling[Month Name],$M47)="","",INDEX(tblBilling[Month Name],$M47)))</f>
        <v/>
      </c>
      <c r="D47" s="66">
        <f>IF($M47="","",IF(INDEX(tblBilling[Monthly Fee],$M47)="","",INDEX(tblBilling[Monthly Fee],$M47)))</f>
        <v/>
      </c>
      <c r="E47" s="66">
        <f>IF($M47="","",IF(INDEX(tblBilling[Amount Paid],$M47)="","",INDEX(tblBilling[Amount Paid],$M47)))</f>
        <v/>
      </c>
      <c r="F47" s="67">
        <f>IF($M47="","",IF(INDEX(tblBilling[Last Payment Date],$M47)="","",INDEX(tblBilling[Last Payment Date],$M47)))</f>
        <v/>
      </c>
      <c r="G47" s="66">
        <f>IF($M47="","",IF(INDEX(tblBilling[Balance],$M47)="","",INDEX(tblBilling[Balance],$M47)))</f>
        <v/>
      </c>
      <c r="H47" s="65">
        <f>IF($M47="","",IF(INDEX(tblBilling[Payment Status],$M47)="","",INDEX(tblBilling[Payment Status],$M47)))</f>
        <v/>
      </c>
      <c r="I47" s="65">
        <f>IF($M47="","",IF(INDEX(tblBilling[Collector Name],$M47)="","",INDEX(tblBilling[Collector Name],$M47)))</f>
        <v/>
      </c>
      <c r="J47" s="68">
        <f>IF($M47="","",IF(INDEX(tblBilling[Payments Count],$M47)="","",INDEX(tblBilling[Payments Count],$M47)))</f>
        <v/>
      </c>
      <c r="M47">
        <f>IF(M46="","",IFERROR(M46+MATCH(CH_CustomerID,INDEX(tblBilling[Customer ID],M46+1):INDEX(tblBilling[Customer ID],ROWS(tblBilling[Customer ID])),0),""))</f>
        <v/>
      </c>
    </row>
    <row r="48">
      <c r="B48" s="64">
        <f>IF($M48="","",IF(INDEX(tblBilling[Month],$M48)="","",INDEX(tblBilling[Month],$M48)))</f>
        <v/>
      </c>
      <c r="C48" s="65">
        <f>IF($M48="","",IF(INDEX(tblBilling[Month Name],$M48)="","",INDEX(tblBilling[Month Name],$M48)))</f>
        <v/>
      </c>
      <c r="D48" s="66">
        <f>IF($M48="","",IF(INDEX(tblBilling[Monthly Fee],$M48)="","",INDEX(tblBilling[Monthly Fee],$M48)))</f>
        <v/>
      </c>
      <c r="E48" s="66">
        <f>IF($M48="","",IF(INDEX(tblBilling[Amount Paid],$M48)="","",INDEX(tblBilling[Amount Paid],$M48)))</f>
        <v/>
      </c>
      <c r="F48" s="67">
        <f>IF($M48="","",IF(INDEX(tblBilling[Last Payment Date],$M48)="","",INDEX(tblBilling[Last Payment Date],$M48)))</f>
        <v/>
      </c>
      <c r="G48" s="66">
        <f>IF($M48="","",IF(INDEX(tblBilling[Balance],$M48)="","",INDEX(tblBilling[Balance],$M48)))</f>
        <v/>
      </c>
      <c r="H48" s="65">
        <f>IF($M48="","",IF(INDEX(tblBilling[Payment Status],$M48)="","",INDEX(tblBilling[Payment Status],$M48)))</f>
        <v/>
      </c>
      <c r="I48" s="65">
        <f>IF($M48="","",IF(INDEX(tblBilling[Collector Name],$M48)="","",INDEX(tblBilling[Collector Name],$M48)))</f>
        <v/>
      </c>
      <c r="J48" s="68">
        <f>IF($M48="","",IF(INDEX(tblBilling[Payments Count],$M48)="","",INDEX(tblBilling[Payments Count],$M48)))</f>
        <v/>
      </c>
      <c r="M48">
        <f>IF(M47="","",IFERROR(M47+MATCH(CH_CustomerID,INDEX(tblBilling[Customer ID],M47+1):INDEX(tblBilling[Customer ID],ROWS(tblBilling[Customer ID])),0),""))</f>
        <v/>
      </c>
    </row>
    <row r="49">
      <c r="B49" s="64">
        <f>IF($M49="","",IF(INDEX(tblBilling[Month],$M49)="","",INDEX(tblBilling[Month],$M49)))</f>
        <v/>
      </c>
      <c r="C49" s="65">
        <f>IF($M49="","",IF(INDEX(tblBilling[Month Name],$M49)="","",INDEX(tblBilling[Month Name],$M49)))</f>
        <v/>
      </c>
      <c r="D49" s="66">
        <f>IF($M49="","",IF(INDEX(tblBilling[Monthly Fee],$M49)="","",INDEX(tblBilling[Monthly Fee],$M49)))</f>
        <v/>
      </c>
      <c r="E49" s="66">
        <f>IF($M49="","",IF(INDEX(tblBilling[Amount Paid],$M49)="","",INDEX(tblBilling[Amount Paid],$M49)))</f>
        <v/>
      </c>
      <c r="F49" s="67">
        <f>IF($M49="","",IF(INDEX(tblBilling[Last Payment Date],$M49)="","",INDEX(tblBilling[Last Payment Date],$M49)))</f>
        <v/>
      </c>
      <c r="G49" s="66">
        <f>IF($M49="","",IF(INDEX(tblBilling[Balance],$M49)="","",INDEX(tblBilling[Balance],$M49)))</f>
        <v/>
      </c>
      <c r="H49" s="65">
        <f>IF($M49="","",IF(INDEX(tblBilling[Payment Status],$M49)="","",INDEX(tblBilling[Payment Status],$M49)))</f>
        <v/>
      </c>
      <c r="I49" s="65">
        <f>IF($M49="","",IF(INDEX(tblBilling[Collector Name],$M49)="","",INDEX(tblBilling[Collector Name],$M49)))</f>
        <v/>
      </c>
      <c r="J49" s="68">
        <f>IF($M49="","",IF(INDEX(tblBilling[Payments Count],$M49)="","",INDEX(tblBilling[Payments Count],$M49)))</f>
        <v/>
      </c>
      <c r="M49">
        <f>IF(M48="","",IFERROR(M48+MATCH(CH_CustomerID,INDEX(tblBilling[Customer ID],M48+1):INDEX(tblBilling[Customer ID],ROWS(tblBilling[Customer ID])),0),""))</f>
        <v/>
      </c>
    </row>
    <row r="50">
      <c r="B50" s="64">
        <f>IF($M50="","",IF(INDEX(tblBilling[Month],$M50)="","",INDEX(tblBilling[Month],$M50)))</f>
        <v/>
      </c>
      <c r="C50" s="65">
        <f>IF($M50="","",IF(INDEX(tblBilling[Month Name],$M50)="","",INDEX(tblBilling[Month Name],$M50)))</f>
        <v/>
      </c>
      <c r="D50" s="66">
        <f>IF($M50="","",IF(INDEX(tblBilling[Monthly Fee],$M50)="","",INDEX(tblBilling[Monthly Fee],$M50)))</f>
        <v/>
      </c>
      <c r="E50" s="66">
        <f>IF($M50="","",IF(INDEX(tblBilling[Amount Paid],$M50)="","",INDEX(tblBilling[Amount Paid],$M50)))</f>
        <v/>
      </c>
      <c r="F50" s="67">
        <f>IF($M50="","",IF(INDEX(tblBilling[Last Payment Date],$M50)="","",INDEX(tblBilling[Last Payment Date],$M50)))</f>
        <v/>
      </c>
      <c r="G50" s="66">
        <f>IF($M50="","",IF(INDEX(tblBilling[Balance],$M50)="","",INDEX(tblBilling[Balance],$M50)))</f>
        <v/>
      </c>
      <c r="H50" s="65">
        <f>IF($M50="","",IF(INDEX(tblBilling[Payment Status],$M50)="","",INDEX(tblBilling[Payment Status],$M50)))</f>
        <v/>
      </c>
      <c r="I50" s="65">
        <f>IF($M50="","",IF(INDEX(tblBilling[Collector Name],$M50)="","",INDEX(tblBilling[Collector Name],$M50)))</f>
        <v/>
      </c>
      <c r="J50" s="68">
        <f>IF($M50="","",IF(INDEX(tblBilling[Payments Count],$M50)="","",INDEX(tblBilling[Payments Count],$M50)))</f>
        <v/>
      </c>
      <c r="M50">
        <f>IF(M49="","",IFERROR(M49+MATCH(CH_CustomerID,INDEX(tblBilling[Customer ID],M49+1):INDEX(tblBilling[Customer ID],ROWS(tblBilling[Customer ID])),0),""))</f>
        <v/>
      </c>
    </row>
    <row r="51">
      <c r="B51" s="64">
        <f>IF($M51="","",IF(INDEX(tblBilling[Month],$M51)="","",INDEX(tblBilling[Month],$M51)))</f>
        <v/>
      </c>
      <c r="C51" s="65">
        <f>IF($M51="","",IF(INDEX(tblBilling[Month Name],$M51)="","",INDEX(tblBilling[Month Name],$M51)))</f>
        <v/>
      </c>
      <c r="D51" s="66">
        <f>IF($M51="","",IF(INDEX(tblBilling[Monthly Fee],$M51)="","",INDEX(tblBilling[Monthly Fee],$M51)))</f>
        <v/>
      </c>
      <c r="E51" s="66">
        <f>IF($M51="","",IF(INDEX(tblBilling[Amount Paid],$M51)="","",INDEX(tblBilling[Amount Paid],$M51)))</f>
        <v/>
      </c>
      <c r="F51" s="67">
        <f>IF($M51="","",IF(INDEX(tblBilling[Last Payment Date],$M51)="","",INDEX(tblBilling[Last Payment Date],$M51)))</f>
        <v/>
      </c>
      <c r="G51" s="66">
        <f>IF($M51="","",IF(INDEX(tblBilling[Balance],$M51)="","",INDEX(tblBilling[Balance],$M51)))</f>
        <v/>
      </c>
      <c r="H51" s="65">
        <f>IF($M51="","",IF(INDEX(tblBilling[Payment Status],$M51)="","",INDEX(tblBilling[Payment Status],$M51)))</f>
        <v/>
      </c>
      <c r="I51" s="65">
        <f>IF($M51="","",IF(INDEX(tblBilling[Collector Name],$M51)="","",INDEX(tblBilling[Collector Name],$M51)))</f>
        <v/>
      </c>
      <c r="J51" s="68">
        <f>IF($M51="","",IF(INDEX(tblBilling[Payments Count],$M51)="","",INDEX(tblBilling[Payments Count],$M51)))</f>
        <v/>
      </c>
      <c r="M51">
        <f>IF(M50="","",IFERROR(M50+MATCH(CH_CustomerID,INDEX(tblBilling[Customer ID],M50+1):INDEX(tblBilling[Customer ID],ROWS(tblBilling[Customer ID])),0),""))</f>
        <v/>
      </c>
    </row>
    <row r="52">
      <c r="B52" s="64">
        <f>IF($M52="","",IF(INDEX(tblBilling[Month],$M52)="","",INDEX(tblBilling[Month],$M52)))</f>
        <v/>
      </c>
      <c r="C52" s="65">
        <f>IF($M52="","",IF(INDEX(tblBilling[Month Name],$M52)="","",INDEX(tblBilling[Month Name],$M52)))</f>
        <v/>
      </c>
      <c r="D52" s="66">
        <f>IF($M52="","",IF(INDEX(tblBilling[Monthly Fee],$M52)="","",INDEX(tblBilling[Monthly Fee],$M52)))</f>
        <v/>
      </c>
      <c r="E52" s="66">
        <f>IF($M52="","",IF(INDEX(tblBilling[Amount Paid],$M52)="","",INDEX(tblBilling[Amount Paid],$M52)))</f>
        <v/>
      </c>
      <c r="F52" s="67">
        <f>IF($M52="","",IF(INDEX(tblBilling[Last Payment Date],$M52)="","",INDEX(tblBilling[Last Payment Date],$M52)))</f>
        <v/>
      </c>
      <c r="G52" s="66">
        <f>IF($M52="","",IF(INDEX(tblBilling[Balance],$M52)="","",INDEX(tblBilling[Balance],$M52)))</f>
        <v/>
      </c>
      <c r="H52" s="65">
        <f>IF($M52="","",IF(INDEX(tblBilling[Payment Status],$M52)="","",INDEX(tblBilling[Payment Status],$M52)))</f>
        <v/>
      </c>
      <c r="I52" s="65">
        <f>IF($M52="","",IF(INDEX(tblBilling[Collector Name],$M52)="","",INDEX(tblBilling[Collector Name],$M52)))</f>
        <v/>
      </c>
      <c r="J52" s="68">
        <f>IF($M52="","",IF(INDEX(tblBilling[Payments Count],$M52)="","",INDEX(tblBilling[Payments Count],$M52)))</f>
        <v/>
      </c>
      <c r="M52">
        <f>IF(M51="","",IFERROR(M51+MATCH(CH_CustomerID,INDEX(tblBilling[Customer ID],M51+1):INDEX(tblBilling[Customer ID],ROWS(tblBilling[Customer ID])),0),""))</f>
        <v/>
      </c>
    </row>
    <row r="53">
      <c r="B53" s="64">
        <f>IF($M53="","",IF(INDEX(tblBilling[Month],$M53)="","",INDEX(tblBilling[Month],$M53)))</f>
        <v/>
      </c>
      <c r="C53" s="65">
        <f>IF($M53="","",IF(INDEX(tblBilling[Month Name],$M53)="","",INDEX(tblBilling[Month Name],$M53)))</f>
        <v/>
      </c>
      <c r="D53" s="66">
        <f>IF($M53="","",IF(INDEX(tblBilling[Monthly Fee],$M53)="","",INDEX(tblBilling[Monthly Fee],$M53)))</f>
        <v/>
      </c>
      <c r="E53" s="66">
        <f>IF($M53="","",IF(INDEX(tblBilling[Amount Paid],$M53)="","",INDEX(tblBilling[Amount Paid],$M53)))</f>
        <v/>
      </c>
      <c r="F53" s="67">
        <f>IF($M53="","",IF(INDEX(tblBilling[Last Payment Date],$M53)="","",INDEX(tblBilling[Last Payment Date],$M53)))</f>
        <v/>
      </c>
      <c r="G53" s="66">
        <f>IF($M53="","",IF(INDEX(tblBilling[Balance],$M53)="","",INDEX(tblBilling[Balance],$M53)))</f>
        <v/>
      </c>
      <c r="H53" s="65">
        <f>IF($M53="","",IF(INDEX(tblBilling[Payment Status],$M53)="","",INDEX(tblBilling[Payment Status],$M53)))</f>
        <v/>
      </c>
      <c r="I53" s="65">
        <f>IF($M53="","",IF(INDEX(tblBilling[Collector Name],$M53)="","",INDEX(tblBilling[Collector Name],$M53)))</f>
        <v/>
      </c>
      <c r="J53" s="68">
        <f>IF($M53="","",IF(INDEX(tblBilling[Payments Count],$M53)="","",INDEX(tblBilling[Payments Count],$M53)))</f>
        <v/>
      </c>
      <c r="M53">
        <f>IF(M52="","",IFERROR(M52+MATCH(CH_CustomerID,INDEX(tblBilling[Customer ID],M52+1):INDEX(tblBilling[Customer ID],ROWS(tblBilling[Customer ID])),0),""))</f>
        <v/>
      </c>
    </row>
    <row r="54">
      <c r="B54" s="64">
        <f>IF($M54="","",IF(INDEX(tblBilling[Month],$M54)="","",INDEX(tblBilling[Month],$M54)))</f>
        <v/>
      </c>
      <c r="C54" s="65">
        <f>IF($M54="","",IF(INDEX(tblBilling[Month Name],$M54)="","",INDEX(tblBilling[Month Name],$M54)))</f>
        <v/>
      </c>
      <c r="D54" s="66">
        <f>IF($M54="","",IF(INDEX(tblBilling[Monthly Fee],$M54)="","",INDEX(tblBilling[Monthly Fee],$M54)))</f>
        <v/>
      </c>
      <c r="E54" s="66">
        <f>IF($M54="","",IF(INDEX(tblBilling[Amount Paid],$M54)="","",INDEX(tblBilling[Amount Paid],$M54)))</f>
        <v/>
      </c>
      <c r="F54" s="67">
        <f>IF($M54="","",IF(INDEX(tblBilling[Last Payment Date],$M54)="","",INDEX(tblBilling[Last Payment Date],$M54)))</f>
        <v/>
      </c>
      <c r="G54" s="66">
        <f>IF($M54="","",IF(INDEX(tblBilling[Balance],$M54)="","",INDEX(tblBilling[Balance],$M54)))</f>
        <v/>
      </c>
      <c r="H54" s="65">
        <f>IF($M54="","",IF(INDEX(tblBilling[Payment Status],$M54)="","",INDEX(tblBilling[Payment Status],$M54)))</f>
        <v/>
      </c>
      <c r="I54" s="65">
        <f>IF($M54="","",IF(INDEX(tblBilling[Collector Name],$M54)="","",INDEX(tblBilling[Collector Name],$M54)))</f>
        <v/>
      </c>
      <c r="J54" s="68">
        <f>IF($M54="","",IF(INDEX(tblBilling[Payments Count],$M54)="","",INDEX(tblBilling[Payments Count],$M54)))</f>
        <v/>
      </c>
      <c r="M54">
        <f>IF(M53="","",IFERROR(M53+MATCH(CH_CustomerID,INDEX(tblBilling[Customer ID],M53+1):INDEX(tblBilling[Customer ID],ROWS(tblBilling[Customer ID])),0),""))</f>
        <v/>
      </c>
    </row>
    <row r="55">
      <c r="B55" s="64">
        <f>IF($M55="","",IF(INDEX(tblBilling[Month],$M55)="","",INDEX(tblBilling[Month],$M55)))</f>
        <v/>
      </c>
      <c r="C55" s="65">
        <f>IF($M55="","",IF(INDEX(tblBilling[Month Name],$M55)="","",INDEX(tblBilling[Month Name],$M55)))</f>
        <v/>
      </c>
      <c r="D55" s="66">
        <f>IF($M55="","",IF(INDEX(tblBilling[Monthly Fee],$M55)="","",INDEX(tblBilling[Monthly Fee],$M55)))</f>
        <v/>
      </c>
      <c r="E55" s="66">
        <f>IF($M55="","",IF(INDEX(tblBilling[Amount Paid],$M55)="","",INDEX(tblBilling[Amount Paid],$M55)))</f>
        <v/>
      </c>
      <c r="F55" s="67">
        <f>IF($M55="","",IF(INDEX(tblBilling[Last Payment Date],$M55)="","",INDEX(tblBilling[Last Payment Date],$M55)))</f>
        <v/>
      </c>
      <c r="G55" s="66">
        <f>IF($M55="","",IF(INDEX(tblBilling[Balance],$M55)="","",INDEX(tblBilling[Balance],$M55)))</f>
        <v/>
      </c>
      <c r="H55" s="65">
        <f>IF($M55="","",IF(INDEX(tblBilling[Payment Status],$M55)="","",INDEX(tblBilling[Payment Status],$M55)))</f>
        <v/>
      </c>
      <c r="I55" s="65">
        <f>IF($M55="","",IF(INDEX(tblBilling[Collector Name],$M55)="","",INDEX(tblBilling[Collector Name],$M55)))</f>
        <v/>
      </c>
      <c r="J55" s="68">
        <f>IF($M55="","",IF(INDEX(tblBilling[Payments Count],$M55)="","",INDEX(tblBilling[Payments Count],$M55)))</f>
        <v/>
      </c>
      <c r="M55">
        <f>IF(M54="","",IFERROR(M54+MATCH(CH_CustomerID,INDEX(tblBilling[Customer ID],M54+1):INDEX(tblBilling[Customer ID],ROWS(tblBilling[Customer ID])),0),""))</f>
        <v/>
      </c>
    </row>
    <row r="56">
      <c r="B56" s="64">
        <f>IF($M56="","",IF(INDEX(tblBilling[Month],$M56)="","",INDEX(tblBilling[Month],$M56)))</f>
        <v/>
      </c>
      <c r="C56" s="65">
        <f>IF($M56="","",IF(INDEX(tblBilling[Month Name],$M56)="","",INDEX(tblBilling[Month Name],$M56)))</f>
        <v/>
      </c>
      <c r="D56" s="66">
        <f>IF($M56="","",IF(INDEX(tblBilling[Monthly Fee],$M56)="","",INDEX(tblBilling[Monthly Fee],$M56)))</f>
        <v/>
      </c>
      <c r="E56" s="66">
        <f>IF($M56="","",IF(INDEX(tblBilling[Amount Paid],$M56)="","",INDEX(tblBilling[Amount Paid],$M56)))</f>
        <v/>
      </c>
      <c r="F56" s="67">
        <f>IF($M56="","",IF(INDEX(tblBilling[Last Payment Date],$M56)="","",INDEX(tblBilling[Last Payment Date],$M56)))</f>
        <v/>
      </c>
      <c r="G56" s="66">
        <f>IF($M56="","",IF(INDEX(tblBilling[Balance],$M56)="","",INDEX(tblBilling[Balance],$M56)))</f>
        <v/>
      </c>
      <c r="H56" s="65">
        <f>IF($M56="","",IF(INDEX(tblBilling[Payment Status],$M56)="","",INDEX(tblBilling[Payment Status],$M56)))</f>
        <v/>
      </c>
      <c r="I56" s="65">
        <f>IF($M56="","",IF(INDEX(tblBilling[Collector Name],$M56)="","",INDEX(tblBilling[Collector Name],$M56)))</f>
        <v/>
      </c>
      <c r="J56" s="68">
        <f>IF($M56="","",IF(INDEX(tblBilling[Payments Count],$M56)="","",INDEX(tblBilling[Payments Count],$M56)))</f>
        <v/>
      </c>
      <c r="M56">
        <f>IF(M55="","",IFERROR(M55+MATCH(CH_CustomerID,INDEX(tblBilling[Customer ID],M55+1):INDEX(tblBilling[Customer ID],ROWS(tblBilling[Customer ID])),0),""))</f>
        <v/>
      </c>
    </row>
    <row r="57">
      <c r="B57" s="64">
        <f>IF($M57="","",IF(INDEX(tblBilling[Month],$M57)="","",INDEX(tblBilling[Month],$M57)))</f>
        <v/>
      </c>
      <c r="C57" s="65">
        <f>IF($M57="","",IF(INDEX(tblBilling[Month Name],$M57)="","",INDEX(tblBilling[Month Name],$M57)))</f>
        <v/>
      </c>
      <c r="D57" s="66">
        <f>IF($M57="","",IF(INDEX(tblBilling[Monthly Fee],$M57)="","",INDEX(tblBilling[Monthly Fee],$M57)))</f>
        <v/>
      </c>
      <c r="E57" s="66">
        <f>IF($M57="","",IF(INDEX(tblBilling[Amount Paid],$M57)="","",INDEX(tblBilling[Amount Paid],$M57)))</f>
        <v/>
      </c>
      <c r="F57" s="67">
        <f>IF($M57="","",IF(INDEX(tblBilling[Last Payment Date],$M57)="","",INDEX(tblBilling[Last Payment Date],$M57)))</f>
        <v/>
      </c>
      <c r="G57" s="66">
        <f>IF($M57="","",IF(INDEX(tblBilling[Balance],$M57)="","",INDEX(tblBilling[Balance],$M57)))</f>
        <v/>
      </c>
      <c r="H57" s="65">
        <f>IF($M57="","",IF(INDEX(tblBilling[Payment Status],$M57)="","",INDEX(tblBilling[Payment Status],$M57)))</f>
        <v/>
      </c>
      <c r="I57" s="65">
        <f>IF($M57="","",IF(INDEX(tblBilling[Collector Name],$M57)="","",INDEX(tblBilling[Collector Name],$M57)))</f>
        <v/>
      </c>
      <c r="J57" s="68">
        <f>IF($M57="","",IF(INDEX(tblBilling[Payments Count],$M57)="","",INDEX(tblBilling[Payments Count],$M57)))</f>
        <v/>
      </c>
      <c r="M57">
        <f>IF(M56="","",IFERROR(M56+MATCH(CH_CustomerID,INDEX(tblBilling[Customer ID],M56+1):INDEX(tblBilling[Customer ID],ROWS(tblBilling[Customer ID])),0),""))</f>
        <v/>
      </c>
    </row>
    <row r="58">
      <c r="B58" s="64">
        <f>IF($M58="","",IF(INDEX(tblBilling[Month],$M58)="","",INDEX(tblBilling[Month],$M58)))</f>
        <v/>
      </c>
      <c r="C58" s="65">
        <f>IF($M58="","",IF(INDEX(tblBilling[Month Name],$M58)="","",INDEX(tblBilling[Month Name],$M58)))</f>
        <v/>
      </c>
      <c r="D58" s="66">
        <f>IF($M58="","",IF(INDEX(tblBilling[Monthly Fee],$M58)="","",INDEX(tblBilling[Monthly Fee],$M58)))</f>
        <v/>
      </c>
      <c r="E58" s="66">
        <f>IF($M58="","",IF(INDEX(tblBilling[Amount Paid],$M58)="","",INDEX(tblBilling[Amount Paid],$M58)))</f>
        <v/>
      </c>
      <c r="F58" s="67">
        <f>IF($M58="","",IF(INDEX(tblBilling[Last Payment Date],$M58)="","",INDEX(tblBilling[Last Payment Date],$M58)))</f>
        <v/>
      </c>
      <c r="G58" s="66">
        <f>IF($M58="","",IF(INDEX(tblBilling[Balance],$M58)="","",INDEX(tblBilling[Balance],$M58)))</f>
        <v/>
      </c>
      <c r="H58" s="65">
        <f>IF($M58="","",IF(INDEX(tblBilling[Payment Status],$M58)="","",INDEX(tblBilling[Payment Status],$M58)))</f>
        <v/>
      </c>
      <c r="I58" s="65">
        <f>IF($M58="","",IF(INDEX(tblBilling[Collector Name],$M58)="","",INDEX(tblBilling[Collector Name],$M58)))</f>
        <v/>
      </c>
      <c r="J58" s="68">
        <f>IF($M58="","",IF(INDEX(tblBilling[Payments Count],$M58)="","",INDEX(tblBilling[Payments Count],$M58)))</f>
        <v/>
      </c>
      <c r="M58">
        <f>IF(M57="","",IFERROR(M57+MATCH(CH_CustomerID,INDEX(tblBilling[Customer ID],M57+1):INDEX(tblBilling[Customer ID],ROWS(tblBilling[Customer ID])),0),""))</f>
        <v/>
      </c>
    </row>
    <row r="59">
      <c r="B59" s="64">
        <f>IF($M59="","",IF(INDEX(tblBilling[Month],$M59)="","",INDEX(tblBilling[Month],$M59)))</f>
        <v/>
      </c>
      <c r="C59" s="65">
        <f>IF($M59="","",IF(INDEX(tblBilling[Month Name],$M59)="","",INDEX(tblBilling[Month Name],$M59)))</f>
        <v/>
      </c>
      <c r="D59" s="66">
        <f>IF($M59="","",IF(INDEX(tblBilling[Monthly Fee],$M59)="","",INDEX(tblBilling[Monthly Fee],$M59)))</f>
        <v/>
      </c>
      <c r="E59" s="66">
        <f>IF($M59="","",IF(INDEX(tblBilling[Amount Paid],$M59)="","",INDEX(tblBilling[Amount Paid],$M59)))</f>
        <v/>
      </c>
      <c r="F59" s="67">
        <f>IF($M59="","",IF(INDEX(tblBilling[Last Payment Date],$M59)="","",INDEX(tblBilling[Last Payment Date],$M59)))</f>
        <v/>
      </c>
      <c r="G59" s="66">
        <f>IF($M59="","",IF(INDEX(tblBilling[Balance],$M59)="","",INDEX(tblBilling[Balance],$M59)))</f>
        <v/>
      </c>
      <c r="H59" s="65">
        <f>IF($M59="","",IF(INDEX(tblBilling[Payment Status],$M59)="","",INDEX(tblBilling[Payment Status],$M59)))</f>
        <v/>
      </c>
      <c r="I59" s="65">
        <f>IF($M59="","",IF(INDEX(tblBilling[Collector Name],$M59)="","",INDEX(tblBilling[Collector Name],$M59)))</f>
        <v/>
      </c>
      <c r="J59" s="68">
        <f>IF($M59="","",IF(INDEX(tblBilling[Payments Count],$M59)="","",INDEX(tblBilling[Payments Count],$M59)))</f>
        <v/>
      </c>
      <c r="M59">
        <f>IF(M58="","",IFERROR(M58+MATCH(CH_CustomerID,INDEX(tblBilling[Customer ID],M58+1):INDEX(tblBilling[Customer ID],ROWS(tblBilling[Customer ID])),0),""))</f>
        <v/>
      </c>
    </row>
    <row r="60">
      <c r="B60" s="64">
        <f>IF($M60="","",IF(INDEX(tblBilling[Month],$M60)="","",INDEX(tblBilling[Month],$M60)))</f>
        <v/>
      </c>
      <c r="C60" s="65">
        <f>IF($M60="","",IF(INDEX(tblBilling[Month Name],$M60)="","",INDEX(tblBilling[Month Name],$M60)))</f>
        <v/>
      </c>
      <c r="D60" s="66">
        <f>IF($M60="","",IF(INDEX(tblBilling[Monthly Fee],$M60)="","",INDEX(tblBilling[Monthly Fee],$M60)))</f>
        <v/>
      </c>
      <c r="E60" s="66">
        <f>IF($M60="","",IF(INDEX(tblBilling[Amount Paid],$M60)="","",INDEX(tblBilling[Amount Paid],$M60)))</f>
        <v/>
      </c>
      <c r="F60" s="67">
        <f>IF($M60="","",IF(INDEX(tblBilling[Last Payment Date],$M60)="","",INDEX(tblBilling[Last Payment Date],$M60)))</f>
        <v/>
      </c>
      <c r="G60" s="66">
        <f>IF($M60="","",IF(INDEX(tblBilling[Balance],$M60)="","",INDEX(tblBilling[Balance],$M60)))</f>
        <v/>
      </c>
      <c r="H60" s="65">
        <f>IF($M60="","",IF(INDEX(tblBilling[Payment Status],$M60)="","",INDEX(tblBilling[Payment Status],$M60)))</f>
        <v/>
      </c>
      <c r="I60" s="65">
        <f>IF($M60="","",IF(INDEX(tblBilling[Collector Name],$M60)="","",INDEX(tblBilling[Collector Name],$M60)))</f>
        <v/>
      </c>
      <c r="J60" s="68">
        <f>IF($M60="","",IF(INDEX(tblBilling[Payments Count],$M60)="","",INDEX(tblBilling[Payments Count],$M60)))</f>
        <v/>
      </c>
      <c r="M60">
        <f>IF(M59="","",IFERROR(M59+MATCH(CH_CustomerID,INDEX(tblBilling[Customer ID],M59+1):INDEX(tblBilling[Customer ID],ROWS(tblBilling[Customer ID])),0),""))</f>
        <v/>
      </c>
    </row>
    <row r="61">
      <c r="B61" s="64">
        <f>IF($M61="","",IF(INDEX(tblBilling[Month],$M61)="","",INDEX(tblBilling[Month],$M61)))</f>
        <v/>
      </c>
      <c r="C61" s="65">
        <f>IF($M61="","",IF(INDEX(tblBilling[Month Name],$M61)="","",INDEX(tblBilling[Month Name],$M61)))</f>
        <v/>
      </c>
      <c r="D61" s="66">
        <f>IF($M61="","",IF(INDEX(tblBilling[Monthly Fee],$M61)="","",INDEX(tblBilling[Monthly Fee],$M61)))</f>
        <v/>
      </c>
      <c r="E61" s="66">
        <f>IF($M61="","",IF(INDEX(tblBilling[Amount Paid],$M61)="","",INDEX(tblBilling[Amount Paid],$M61)))</f>
        <v/>
      </c>
      <c r="F61" s="67">
        <f>IF($M61="","",IF(INDEX(tblBilling[Last Payment Date],$M61)="","",INDEX(tblBilling[Last Payment Date],$M61)))</f>
        <v/>
      </c>
      <c r="G61" s="66">
        <f>IF($M61="","",IF(INDEX(tblBilling[Balance],$M61)="","",INDEX(tblBilling[Balance],$M61)))</f>
        <v/>
      </c>
      <c r="H61" s="65">
        <f>IF($M61="","",IF(INDEX(tblBilling[Payment Status],$M61)="","",INDEX(tblBilling[Payment Status],$M61)))</f>
        <v/>
      </c>
      <c r="I61" s="65">
        <f>IF($M61="","",IF(INDEX(tblBilling[Collector Name],$M61)="","",INDEX(tblBilling[Collector Name],$M61)))</f>
        <v/>
      </c>
      <c r="J61" s="68">
        <f>IF($M61="","",IF(INDEX(tblBilling[Payments Count],$M61)="","",INDEX(tblBilling[Payments Count],$M61)))</f>
        <v/>
      </c>
      <c r="M61">
        <f>IF(M60="","",IFERROR(M60+MATCH(CH_CustomerID,INDEX(tblBilling[Customer ID],M60+1):INDEX(tblBilling[Customer ID],ROWS(tblBilling[Customer ID])),0),""))</f>
        <v/>
      </c>
    </row>
    <row r="62">
      <c r="B62" s="64">
        <f>IF($M62="","",IF(INDEX(tblBilling[Month],$M62)="","",INDEX(tblBilling[Month],$M62)))</f>
        <v/>
      </c>
      <c r="C62" s="65">
        <f>IF($M62="","",IF(INDEX(tblBilling[Month Name],$M62)="","",INDEX(tblBilling[Month Name],$M62)))</f>
        <v/>
      </c>
      <c r="D62" s="66">
        <f>IF($M62="","",IF(INDEX(tblBilling[Monthly Fee],$M62)="","",INDEX(tblBilling[Monthly Fee],$M62)))</f>
        <v/>
      </c>
      <c r="E62" s="66">
        <f>IF($M62="","",IF(INDEX(tblBilling[Amount Paid],$M62)="","",INDEX(tblBilling[Amount Paid],$M62)))</f>
        <v/>
      </c>
      <c r="F62" s="67">
        <f>IF($M62="","",IF(INDEX(tblBilling[Last Payment Date],$M62)="","",INDEX(tblBilling[Last Payment Date],$M62)))</f>
        <v/>
      </c>
      <c r="G62" s="66">
        <f>IF($M62="","",IF(INDEX(tblBilling[Balance],$M62)="","",INDEX(tblBilling[Balance],$M62)))</f>
        <v/>
      </c>
      <c r="H62" s="65">
        <f>IF($M62="","",IF(INDEX(tblBilling[Payment Status],$M62)="","",INDEX(tblBilling[Payment Status],$M62)))</f>
        <v/>
      </c>
      <c r="I62" s="65">
        <f>IF($M62="","",IF(INDEX(tblBilling[Collector Name],$M62)="","",INDEX(tblBilling[Collector Name],$M62)))</f>
        <v/>
      </c>
      <c r="J62" s="68">
        <f>IF($M62="","",IF(INDEX(tblBilling[Payments Count],$M62)="","",INDEX(tblBilling[Payments Count],$M62)))</f>
        <v/>
      </c>
      <c r="M62">
        <f>IF(M61="","",IFERROR(M61+MATCH(CH_CustomerID,INDEX(tblBilling[Customer ID],M61+1):INDEX(tblBilling[Customer ID],ROWS(tblBilling[Customer ID])),0),""))</f>
        <v/>
      </c>
    </row>
    <row r="63">
      <c r="B63" s="64">
        <f>IF($M63="","",IF(INDEX(tblBilling[Month],$M63)="","",INDEX(tblBilling[Month],$M63)))</f>
        <v/>
      </c>
      <c r="C63" s="65">
        <f>IF($M63="","",IF(INDEX(tblBilling[Month Name],$M63)="","",INDEX(tblBilling[Month Name],$M63)))</f>
        <v/>
      </c>
      <c r="D63" s="66">
        <f>IF($M63="","",IF(INDEX(tblBilling[Monthly Fee],$M63)="","",INDEX(tblBilling[Monthly Fee],$M63)))</f>
        <v/>
      </c>
      <c r="E63" s="66">
        <f>IF($M63="","",IF(INDEX(tblBilling[Amount Paid],$M63)="","",INDEX(tblBilling[Amount Paid],$M63)))</f>
        <v/>
      </c>
      <c r="F63" s="67">
        <f>IF($M63="","",IF(INDEX(tblBilling[Last Payment Date],$M63)="","",INDEX(tblBilling[Last Payment Date],$M63)))</f>
        <v/>
      </c>
      <c r="G63" s="66">
        <f>IF($M63="","",IF(INDEX(tblBilling[Balance],$M63)="","",INDEX(tblBilling[Balance],$M63)))</f>
        <v/>
      </c>
      <c r="H63" s="65">
        <f>IF($M63="","",IF(INDEX(tblBilling[Payment Status],$M63)="","",INDEX(tblBilling[Payment Status],$M63)))</f>
        <v/>
      </c>
      <c r="I63" s="65">
        <f>IF($M63="","",IF(INDEX(tblBilling[Collector Name],$M63)="","",INDEX(tblBilling[Collector Name],$M63)))</f>
        <v/>
      </c>
      <c r="J63" s="68">
        <f>IF($M63="","",IF(INDEX(tblBilling[Payments Count],$M63)="","",INDEX(tblBilling[Payments Count],$M63)))</f>
        <v/>
      </c>
      <c r="M63">
        <f>IF(M62="","",IFERROR(M62+MATCH(CH_CustomerID,INDEX(tblBilling[Customer ID],M62+1):INDEX(tblBilling[Customer ID],ROWS(tblBilling[Customer ID])),0),""))</f>
        <v/>
      </c>
    </row>
    <row r="64">
      <c r="B64" s="64">
        <f>IF($M64="","",IF(INDEX(tblBilling[Month],$M64)="","",INDEX(tblBilling[Month],$M64)))</f>
        <v/>
      </c>
      <c r="C64" s="65">
        <f>IF($M64="","",IF(INDEX(tblBilling[Month Name],$M64)="","",INDEX(tblBilling[Month Name],$M64)))</f>
        <v/>
      </c>
      <c r="D64" s="66">
        <f>IF($M64="","",IF(INDEX(tblBilling[Monthly Fee],$M64)="","",INDEX(tblBilling[Monthly Fee],$M64)))</f>
        <v/>
      </c>
      <c r="E64" s="66">
        <f>IF($M64="","",IF(INDEX(tblBilling[Amount Paid],$M64)="","",INDEX(tblBilling[Amount Paid],$M64)))</f>
        <v/>
      </c>
      <c r="F64" s="67">
        <f>IF($M64="","",IF(INDEX(tblBilling[Last Payment Date],$M64)="","",INDEX(tblBilling[Last Payment Date],$M64)))</f>
        <v/>
      </c>
      <c r="G64" s="66">
        <f>IF($M64="","",IF(INDEX(tblBilling[Balance],$M64)="","",INDEX(tblBilling[Balance],$M64)))</f>
        <v/>
      </c>
      <c r="H64" s="65">
        <f>IF($M64="","",IF(INDEX(tblBilling[Payment Status],$M64)="","",INDEX(tblBilling[Payment Status],$M64)))</f>
        <v/>
      </c>
      <c r="I64" s="65">
        <f>IF($M64="","",IF(INDEX(tblBilling[Collector Name],$M64)="","",INDEX(tblBilling[Collector Name],$M64)))</f>
        <v/>
      </c>
      <c r="J64" s="68">
        <f>IF($M64="","",IF(INDEX(tblBilling[Payments Count],$M64)="","",INDEX(tblBilling[Payments Count],$M64)))</f>
        <v/>
      </c>
      <c r="M64">
        <f>IF(M63="","",IFERROR(M63+MATCH(CH_CustomerID,INDEX(tblBilling[Customer ID],M63+1):INDEX(tblBilling[Customer ID],ROWS(tblBilling[Customer ID])),0),""))</f>
        <v/>
      </c>
    </row>
    <row r="65">
      <c r="B65" s="64">
        <f>IF($M65="","",IF(INDEX(tblBilling[Month],$M65)="","",INDEX(tblBilling[Month],$M65)))</f>
        <v/>
      </c>
      <c r="C65" s="65">
        <f>IF($M65="","",IF(INDEX(tblBilling[Month Name],$M65)="","",INDEX(tblBilling[Month Name],$M65)))</f>
        <v/>
      </c>
      <c r="D65" s="66">
        <f>IF($M65="","",IF(INDEX(tblBilling[Monthly Fee],$M65)="","",INDEX(tblBilling[Monthly Fee],$M65)))</f>
        <v/>
      </c>
      <c r="E65" s="66">
        <f>IF($M65="","",IF(INDEX(tblBilling[Amount Paid],$M65)="","",INDEX(tblBilling[Amount Paid],$M65)))</f>
        <v/>
      </c>
      <c r="F65" s="67">
        <f>IF($M65="","",IF(INDEX(tblBilling[Last Payment Date],$M65)="","",INDEX(tblBilling[Last Payment Date],$M65)))</f>
        <v/>
      </c>
      <c r="G65" s="66">
        <f>IF($M65="","",IF(INDEX(tblBilling[Balance],$M65)="","",INDEX(tblBilling[Balance],$M65)))</f>
        <v/>
      </c>
      <c r="H65" s="65">
        <f>IF($M65="","",IF(INDEX(tblBilling[Payment Status],$M65)="","",INDEX(tblBilling[Payment Status],$M65)))</f>
        <v/>
      </c>
      <c r="I65" s="65">
        <f>IF($M65="","",IF(INDEX(tblBilling[Collector Name],$M65)="","",INDEX(tblBilling[Collector Name],$M65)))</f>
        <v/>
      </c>
      <c r="J65" s="68">
        <f>IF($M65="","",IF(INDEX(tblBilling[Payments Count],$M65)="","",INDEX(tblBilling[Payments Count],$M65)))</f>
        <v/>
      </c>
      <c r="M65">
        <f>IF(M64="","",IFERROR(M64+MATCH(CH_CustomerID,INDEX(tblBilling[Customer ID],M64+1):INDEX(tblBilling[Customer ID],ROWS(tblBilling[Customer ID])),0),""))</f>
        <v/>
      </c>
    </row>
    <row r="66">
      <c r="B66" s="64">
        <f>IF($M66="","",IF(INDEX(tblBilling[Month],$M66)="","",INDEX(tblBilling[Month],$M66)))</f>
        <v/>
      </c>
      <c r="C66" s="65">
        <f>IF($M66="","",IF(INDEX(tblBilling[Month Name],$M66)="","",INDEX(tblBilling[Month Name],$M66)))</f>
        <v/>
      </c>
      <c r="D66" s="66">
        <f>IF($M66="","",IF(INDEX(tblBilling[Monthly Fee],$M66)="","",INDEX(tblBilling[Monthly Fee],$M66)))</f>
        <v/>
      </c>
      <c r="E66" s="66">
        <f>IF($M66="","",IF(INDEX(tblBilling[Amount Paid],$M66)="","",INDEX(tblBilling[Amount Paid],$M66)))</f>
        <v/>
      </c>
      <c r="F66" s="67">
        <f>IF($M66="","",IF(INDEX(tblBilling[Last Payment Date],$M66)="","",INDEX(tblBilling[Last Payment Date],$M66)))</f>
        <v/>
      </c>
      <c r="G66" s="66">
        <f>IF($M66="","",IF(INDEX(tblBilling[Balance],$M66)="","",INDEX(tblBilling[Balance],$M66)))</f>
        <v/>
      </c>
      <c r="H66" s="65">
        <f>IF($M66="","",IF(INDEX(tblBilling[Payment Status],$M66)="","",INDEX(tblBilling[Payment Status],$M66)))</f>
        <v/>
      </c>
      <c r="I66" s="65">
        <f>IF($M66="","",IF(INDEX(tblBilling[Collector Name],$M66)="","",INDEX(tblBilling[Collector Name],$M66)))</f>
        <v/>
      </c>
      <c r="J66" s="68">
        <f>IF($M66="","",IF(INDEX(tblBilling[Payments Count],$M66)="","",INDEX(tblBilling[Payments Count],$M66)))</f>
        <v/>
      </c>
      <c r="M66">
        <f>IF(M65="","",IFERROR(M65+MATCH(CH_CustomerID,INDEX(tblBilling[Customer ID],M65+1):INDEX(tblBilling[Customer ID],ROWS(tblBilling[Customer ID])),0),""))</f>
        <v/>
      </c>
    </row>
    <row r="67">
      <c r="B67" s="64">
        <f>IF($M67="","",IF(INDEX(tblBilling[Month],$M67)="","",INDEX(tblBilling[Month],$M67)))</f>
        <v/>
      </c>
      <c r="C67" s="65">
        <f>IF($M67="","",IF(INDEX(tblBilling[Month Name],$M67)="","",INDEX(tblBilling[Month Name],$M67)))</f>
        <v/>
      </c>
      <c r="D67" s="66">
        <f>IF($M67="","",IF(INDEX(tblBilling[Monthly Fee],$M67)="","",INDEX(tblBilling[Monthly Fee],$M67)))</f>
        <v/>
      </c>
      <c r="E67" s="66">
        <f>IF($M67="","",IF(INDEX(tblBilling[Amount Paid],$M67)="","",INDEX(tblBilling[Amount Paid],$M67)))</f>
        <v/>
      </c>
      <c r="F67" s="67">
        <f>IF($M67="","",IF(INDEX(tblBilling[Last Payment Date],$M67)="","",INDEX(tblBilling[Last Payment Date],$M67)))</f>
        <v/>
      </c>
      <c r="G67" s="66">
        <f>IF($M67="","",IF(INDEX(tblBilling[Balance],$M67)="","",INDEX(tblBilling[Balance],$M67)))</f>
        <v/>
      </c>
      <c r="H67" s="65">
        <f>IF($M67="","",IF(INDEX(tblBilling[Payment Status],$M67)="","",INDEX(tblBilling[Payment Status],$M67)))</f>
        <v/>
      </c>
      <c r="I67" s="65">
        <f>IF($M67="","",IF(INDEX(tblBilling[Collector Name],$M67)="","",INDEX(tblBilling[Collector Name],$M67)))</f>
        <v/>
      </c>
      <c r="J67" s="68">
        <f>IF($M67="","",IF(INDEX(tblBilling[Payments Count],$M67)="","",INDEX(tblBilling[Payments Count],$M67)))</f>
        <v/>
      </c>
      <c r="M67">
        <f>IF(M66="","",IFERROR(M66+MATCH(CH_CustomerID,INDEX(tblBilling[Customer ID],M66+1):INDEX(tblBilling[Customer ID],ROWS(tblBilling[Customer ID])),0),""))</f>
        <v/>
      </c>
    </row>
    <row r="68">
      <c r="B68" s="64">
        <f>IF($M68="","",IF(INDEX(tblBilling[Month],$M68)="","",INDEX(tblBilling[Month],$M68)))</f>
        <v/>
      </c>
      <c r="C68" s="65">
        <f>IF($M68="","",IF(INDEX(tblBilling[Month Name],$M68)="","",INDEX(tblBilling[Month Name],$M68)))</f>
        <v/>
      </c>
      <c r="D68" s="66">
        <f>IF($M68="","",IF(INDEX(tblBilling[Monthly Fee],$M68)="","",INDEX(tblBilling[Monthly Fee],$M68)))</f>
        <v/>
      </c>
      <c r="E68" s="66">
        <f>IF($M68="","",IF(INDEX(tblBilling[Amount Paid],$M68)="","",INDEX(tblBilling[Amount Paid],$M68)))</f>
        <v/>
      </c>
      <c r="F68" s="67">
        <f>IF($M68="","",IF(INDEX(tblBilling[Last Payment Date],$M68)="","",INDEX(tblBilling[Last Payment Date],$M68)))</f>
        <v/>
      </c>
      <c r="G68" s="66">
        <f>IF($M68="","",IF(INDEX(tblBilling[Balance],$M68)="","",INDEX(tblBilling[Balance],$M68)))</f>
        <v/>
      </c>
      <c r="H68" s="65">
        <f>IF($M68="","",IF(INDEX(tblBilling[Payment Status],$M68)="","",INDEX(tblBilling[Payment Status],$M68)))</f>
        <v/>
      </c>
      <c r="I68" s="65">
        <f>IF($M68="","",IF(INDEX(tblBilling[Collector Name],$M68)="","",INDEX(tblBilling[Collector Name],$M68)))</f>
        <v/>
      </c>
      <c r="J68" s="68">
        <f>IF($M68="","",IF(INDEX(tblBilling[Payments Count],$M68)="","",INDEX(tblBilling[Payments Count],$M68)))</f>
        <v/>
      </c>
      <c r="M68">
        <f>IF(M67="","",IFERROR(M67+MATCH(CH_CustomerID,INDEX(tblBilling[Customer ID],M67+1):INDEX(tblBilling[Customer ID],ROWS(tblBilling[Customer ID])),0),""))</f>
        <v/>
      </c>
    </row>
    <row r="69">
      <c r="B69" s="64">
        <f>IF($M69="","",IF(INDEX(tblBilling[Month],$M69)="","",INDEX(tblBilling[Month],$M69)))</f>
        <v/>
      </c>
      <c r="C69" s="65">
        <f>IF($M69="","",IF(INDEX(tblBilling[Month Name],$M69)="","",INDEX(tblBilling[Month Name],$M69)))</f>
        <v/>
      </c>
      <c r="D69" s="66">
        <f>IF($M69="","",IF(INDEX(tblBilling[Monthly Fee],$M69)="","",INDEX(tblBilling[Monthly Fee],$M69)))</f>
        <v/>
      </c>
      <c r="E69" s="66">
        <f>IF($M69="","",IF(INDEX(tblBilling[Amount Paid],$M69)="","",INDEX(tblBilling[Amount Paid],$M69)))</f>
        <v/>
      </c>
      <c r="F69" s="67">
        <f>IF($M69="","",IF(INDEX(tblBilling[Last Payment Date],$M69)="","",INDEX(tblBilling[Last Payment Date],$M69)))</f>
        <v/>
      </c>
      <c r="G69" s="66">
        <f>IF($M69="","",IF(INDEX(tblBilling[Balance],$M69)="","",INDEX(tblBilling[Balance],$M69)))</f>
        <v/>
      </c>
      <c r="H69" s="65">
        <f>IF($M69="","",IF(INDEX(tblBilling[Payment Status],$M69)="","",INDEX(tblBilling[Payment Status],$M69)))</f>
        <v/>
      </c>
      <c r="I69" s="65">
        <f>IF($M69="","",IF(INDEX(tblBilling[Collector Name],$M69)="","",INDEX(tblBilling[Collector Name],$M69)))</f>
        <v/>
      </c>
      <c r="J69" s="68">
        <f>IF($M69="","",IF(INDEX(tblBilling[Payments Count],$M69)="","",INDEX(tblBilling[Payments Count],$M69)))</f>
        <v/>
      </c>
      <c r="M69">
        <f>IF(M68="","",IFERROR(M68+MATCH(CH_CustomerID,INDEX(tblBilling[Customer ID],M68+1):INDEX(tblBilling[Customer ID],ROWS(tblBilling[Customer ID])),0),""))</f>
        <v/>
      </c>
    </row>
    <row r="70">
      <c r="B70" s="64">
        <f>IF($M70="","",IF(INDEX(tblBilling[Month],$M70)="","",INDEX(tblBilling[Month],$M70)))</f>
        <v/>
      </c>
      <c r="C70" s="65">
        <f>IF($M70="","",IF(INDEX(tblBilling[Month Name],$M70)="","",INDEX(tblBilling[Month Name],$M70)))</f>
        <v/>
      </c>
      <c r="D70" s="66">
        <f>IF($M70="","",IF(INDEX(tblBilling[Monthly Fee],$M70)="","",INDEX(tblBilling[Monthly Fee],$M70)))</f>
        <v/>
      </c>
      <c r="E70" s="66">
        <f>IF($M70="","",IF(INDEX(tblBilling[Amount Paid],$M70)="","",INDEX(tblBilling[Amount Paid],$M70)))</f>
        <v/>
      </c>
      <c r="F70" s="67">
        <f>IF($M70="","",IF(INDEX(tblBilling[Last Payment Date],$M70)="","",INDEX(tblBilling[Last Payment Date],$M70)))</f>
        <v/>
      </c>
      <c r="G70" s="66">
        <f>IF($M70="","",IF(INDEX(tblBilling[Balance],$M70)="","",INDEX(tblBilling[Balance],$M70)))</f>
        <v/>
      </c>
      <c r="H70" s="65">
        <f>IF($M70="","",IF(INDEX(tblBilling[Payment Status],$M70)="","",INDEX(tblBilling[Payment Status],$M70)))</f>
        <v/>
      </c>
      <c r="I70" s="65">
        <f>IF($M70="","",IF(INDEX(tblBilling[Collector Name],$M70)="","",INDEX(tblBilling[Collector Name],$M70)))</f>
        <v/>
      </c>
      <c r="J70" s="68">
        <f>IF($M70="","",IF(INDEX(tblBilling[Payments Count],$M70)="","",INDEX(tblBilling[Payments Count],$M70)))</f>
        <v/>
      </c>
      <c r="M70">
        <f>IF(M69="","",IFERROR(M69+MATCH(CH_CustomerID,INDEX(tblBilling[Customer ID],M69+1):INDEX(tblBilling[Customer ID],ROWS(tblBilling[Customer ID])),0),""))</f>
        <v/>
      </c>
    </row>
    <row r="71">
      <c r="B71" s="64">
        <f>IF($M71="","",IF(INDEX(tblBilling[Month],$M71)="","",INDEX(tblBilling[Month],$M71)))</f>
        <v/>
      </c>
      <c r="C71" s="65">
        <f>IF($M71="","",IF(INDEX(tblBilling[Month Name],$M71)="","",INDEX(tblBilling[Month Name],$M71)))</f>
        <v/>
      </c>
      <c r="D71" s="66">
        <f>IF($M71="","",IF(INDEX(tblBilling[Monthly Fee],$M71)="","",INDEX(tblBilling[Monthly Fee],$M71)))</f>
        <v/>
      </c>
      <c r="E71" s="66">
        <f>IF($M71="","",IF(INDEX(tblBilling[Amount Paid],$M71)="","",INDEX(tblBilling[Amount Paid],$M71)))</f>
        <v/>
      </c>
      <c r="F71" s="67">
        <f>IF($M71="","",IF(INDEX(tblBilling[Last Payment Date],$M71)="","",INDEX(tblBilling[Last Payment Date],$M71)))</f>
        <v/>
      </c>
      <c r="G71" s="66">
        <f>IF($M71="","",IF(INDEX(tblBilling[Balance],$M71)="","",INDEX(tblBilling[Balance],$M71)))</f>
        <v/>
      </c>
      <c r="H71" s="65">
        <f>IF($M71="","",IF(INDEX(tblBilling[Payment Status],$M71)="","",INDEX(tblBilling[Payment Status],$M71)))</f>
        <v/>
      </c>
      <c r="I71" s="65">
        <f>IF($M71="","",IF(INDEX(tblBilling[Collector Name],$M71)="","",INDEX(tblBilling[Collector Name],$M71)))</f>
        <v/>
      </c>
      <c r="J71" s="68">
        <f>IF($M71="","",IF(INDEX(tblBilling[Payments Count],$M71)="","",INDEX(tblBilling[Payments Count],$M71)))</f>
        <v/>
      </c>
      <c r="M71">
        <f>IF(M70="","",IFERROR(M70+MATCH(CH_CustomerID,INDEX(tblBilling[Customer ID],M70+1):INDEX(tblBilling[Customer ID],ROWS(tblBilling[Customer ID])),0),""))</f>
        <v/>
      </c>
    </row>
    <row r="72">
      <c r="B72" s="64">
        <f>IF($M72="","",IF(INDEX(tblBilling[Month],$M72)="","",INDEX(tblBilling[Month],$M72)))</f>
        <v/>
      </c>
      <c r="C72" s="65">
        <f>IF($M72="","",IF(INDEX(tblBilling[Month Name],$M72)="","",INDEX(tblBilling[Month Name],$M72)))</f>
        <v/>
      </c>
      <c r="D72" s="66">
        <f>IF($M72="","",IF(INDEX(tblBilling[Monthly Fee],$M72)="","",INDEX(tblBilling[Monthly Fee],$M72)))</f>
        <v/>
      </c>
      <c r="E72" s="66">
        <f>IF($M72="","",IF(INDEX(tblBilling[Amount Paid],$M72)="","",INDEX(tblBilling[Amount Paid],$M72)))</f>
        <v/>
      </c>
      <c r="F72" s="67">
        <f>IF($M72="","",IF(INDEX(tblBilling[Last Payment Date],$M72)="","",INDEX(tblBilling[Last Payment Date],$M72)))</f>
        <v/>
      </c>
      <c r="G72" s="66">
        <f>IF($M72="","",IF(INDEX(tblBilling[Balance],$M72)="","",INDEX(tblBilling[Balance],$M72)))</f>
        <v/>
      </c>
      <c r="H72" s="65">
        <f>IF($M72="","",IF(INDEX(tblBilling[Payment Status],$M72)="","",INDEX(tblBilling[Payment Status],$M72)))</f>
        <v/>
      </c>
      <c r="I72" s="65">
        <f>IF($M72="","",IF(INDEX(tblBilling[Collector Name],$M72)="","",INDEX(tblBilling[Collector Name],$M72)))</f>
        <v/>
      </c>
      <c r="J72" s="68">
        <f>IF($M72="","",IF(INDEX(tblBilling[Payments Count],$M72)="","",INDEX(tblBilling[Payments Count],$M72)))</f>
        <v/>
      </c>
      <c r="M72">
        <f>IF(M71="","",IFERROR(M71+MATCH(CH_CustomerID,INDEX(tblBilling[Customer ID],M71+1):INDEX(tblBilling[Customer ID],ROWS(tblBilling[Customer ID])),0),""))</f>
        <v/>
      </c>
    </row>
    <row r="73">
      <c r="B73" s="64">
        <f>IF($M73="","",IF(INDEX(tblBilling[Month],$M73)="","",INDEX(tblBilling[Month],$M73)))</f>
        <v/>
      </c>
      <c r="C73" s="65">
        <f>IF($M73="","",IF(INDEX(tblBilling[Month Name],$M73)="","",INDEX(tblBilling[Month Name],$M73)))</f>
        <v/>
      </c>
      <c r="D73" s="66">
        <f>IF($M73="","",IF(INDEX(tblBilling[Monthly Fee],$M73)="","",INDEX(tblBilling[Monthly Fee],$M73)))</f>
        <v/>
      </c>
      <c r="E73" s="66">
        <f>IF($M73="","",IF(INDEX(tblBilling[Amount Paid],$M73)="","",INDEX(tblBilling[Amount Paid],$M73)))</f>
        <v/>
      </c>
      <c r="F73" s="67">
        <f>IF($M73="","",IF(INDEX(tblBilling[Last Payment Date],$M73)="","",INDEX(tblBilling[Last Payment Date],$M73)))</f>
        <v/>
      </c>
      <c r="G73" s="66">
        <f>IF($M73="","",IF(INDEX(tblBilling[Balance],$M73)="","",INDEX(tblBilling[Balance],$M73)))</f>
        <v/>
      </c>
      <c r="H73" s="65">
        <f>IF($M73="","",IF(INDEX(tblBilling[Payment Status],$M73)="","",INDEX(tblBilling[Payment Status],$M73)))</f>
        <v/>
      </c>
      <c r="I73" s="65">
        <f>IF($M73="","",IF(INDEX(tblBilling[Collector Name],$M73)="","",INDEX(tblBilling[Collector Name],$M73)))</f>
        <v/>
      </c>
      <c r="J73" s="68">
        <f>IF($M73="","",IF(INDEX(tblBilling[Payments Count],$M73)="","",INDEX(tblBilling[Payments Count],$M73)))</f>
        <v/>
      </c>
      <c r="M73">
        <f>IF(M72="","",IFERROR(M72+MATCH(CH_CustomerID,INDEX(tblBilling[Customer ID],M72+1):INDEX(tblBilling[Customer ID],ROWS(tblBilling[Customer ID])),0),""))</f>
        <v/>
      </c>
    </row>
    <row r="74">
      <c r="B74" s="64">
        <f>IF($M74="","",IF(INDEX(tblBilling[Month],$M74)="","",INDEX(tblBilling[Month],$M74)))</f>
        <v/>
      </c>
      <c r="C74" s="65">
        <f>IF($M74="","",IF(INDEX(tblBilling[Month Name],$M74)="","",INDEX(tblBilling[Month Name],$M74)))</f>
        <v/>
      </c>
      <c r="D74" s="66">
        <f>IF($M74="","",IF(INDEX(tblBilling[Monthly Fee],$M74)="","",INDEX(tblBilling[Monthly Fee],$M74)))</f>
        <v/>
      </c>
      <c r="E74" s="66">
        <f>IF($M74="","",IF(INDEX(tblBilling[Amount Paid],$M74)="","",INDEX(tblBilling[Amount Paid],$M74)))</f>
        <v/>
      </c>
      <c r="F74" s="67">
        <f>IF($M74="","",IF(INDEX(tblBilling[Last Payment Date],$M74)="","",INDEX(tblBilling[Last Payment Date],$M74)))</f>
        <v/>
      </c>
      <c r="G74" s="66">
        <f>IF($M74="","",IF(INDEX(tblBilling[Balance],$M74)="","",INDEX(tblBilling[Balance],$M74)))</f>
        <v/>
      </c>
      <c r="H74" s="65">
        <f>IF($M74="","",IF(INDEX(tblBilling[Payment Status],$M74)="","",INDEX(tblBilling[Payment Status],$M74)))</f>
        <v/>
      </c>
      <c r="I74" s="65">
        <f>IF($M74="","",IF(INDEX(tblBilling[Collector Name],$M74)="","",INDEX(tblBilling[Collector Name],$M74)))</f>
        <v/>
      </c>
      <c r="J74" s="68">
        <f>IF($M74="","",IF(INDEX(tblBilling[Payments Count],$M74)="","",INDEX(tblBilling[Payments Count],$M74)))</f>
        <v/>
      </c>
      <c r="M74">
        <f>IF(M73="","",IFERROR(M73+MATCH(CH_CustomerID,INDEX(tblBilling[Customer ID],M73+1):INDEX(tblBilling[Customer ID],ROWS(tblBilling[Customer ID])),0),""))</f>
        <v/>
      </c>
    </row>
    <row r="75">
      <c r="B75" s="64">
        <f>IF($M75="","",IF(INDEX(tblBilling[Month],$M75)="","",INDEX(tblBilling[Month],$M75)))</f>
        <v/>
      </c>
      <c r="C75" s="65">
        <f>IF($M75="","",IF(INDEX(tblBilling[Month Name],$M75)="","",INDEX(tblBilling[Month Name],$M75)))</f>
        <v/>
      </c>
      <c r="D75" s="66">
        <f>IF($M75="","",IF(INDEX(tblBilling[Monthly Fee],$M75)="","",INDEX(tblBilling[Monthly Fee],$M75)))</f>
        <v/>
      </c>
      <c r="E75" s="66">
        <f>IF($M75="","",IF(INDEX(tblBilling[Amount Paid],$M75)="","",INDEX(tblBilling[Amount Paid],$M75)))</f>
        <v/>
      </c>
      <c r="F75" s="67">
        <f>IF($M75="","",IF(INDEX(tblBilling[Last Payment Date],$M75)="","",INDEX(tblBilling[Last Payment Date],$M75)))</f>
        <v/>
      </c>
      <c r="G75" s="66">
        <f>IF($M75="","",IF(INDEX(tblBilling[Balance],$M75)="","",INDEX(tblBilling[Balance],$M75)))</f>
        <v/>
      </c>
      <c r="H75" s="65">
        <f>IF($M75="","",IF(INDEX(tblBilling[Payment Status],$M75)="","",INDEX(tblBilling[Payment Status],$M75)))</f>
        <v/>
      </c>
      <c r="I75" s="65">
        <f>IF($M75="","",IF(INDEX(tblBilling[Collector Name],$M75)="","",INDEX(tblBilling[Collector Name],$M75)))</f>
        <v/>
      </c>
      <c r="J75" s="68">
        <f>IF($M75="","",IF(INDEX(tblBilling[Payments Count],$M75)="","",INDEX(tblBilling[Payments Count],$M75)))</f>
        <v/>
      </c>
      <c r="M75">
        <f>IF(M74="","",IFERROR(M74+MATCH(CH_CustomerID,INDEX(tblBilling[Customer ID],M74+1):INDEX(tblBilling[Customer ID],ROWS(tblBilling[Customer ID])),0),""))</f>
        <v/>
      </c>
    </row>
    <row r="76">
      <c r="B76" s="64">
        <f>IF($M76="","",IF(INDEX(tblBilling[Month],$M76)="","",INDEX(tblBilling[Month],$M76)))</f>
        <v/>
      </c>
      <c r="C76" s="65">
        <f>IF($M76="","",IF(INDEX(tblBilling[Month Name],$M76)="","",INDEX(tblBilling[Month Name],$M76)))</f>
        <v/>
      </c>
      <c r="D76" s="66">
        <f>IF($M76="","",IF(INDEX(tblBilling[Monthly Fee],$M76)="","",INDEX(tblBilling[Monthly Fee],$M76)))</f>
        <v/>
      </c>
      <c r="E76" s="66">
        <f>IF($M76="","",IF(INDEX(tblBilling[Amount Paid],$M76)="","",INDEX(tblBilling[Amount Paid],$M76)))</f>
        <v/>
      </c>
      <c r="F76" s="67">
        <f>IF($M76="","",IF(INDEX(tblBilling[Last Payment Date],$M76)="","",INDEX(tblBilling[Last Payment Date],$M76)))</f>
        <v/>
      </c>
      <c r="G76" s="66">
        <f>IF($M76="","",IF(INDEX(tblBilling[Balance],$M76)="","",INDEX(tblBilling[Balance],$M76)))</f>
        <v/>
      </c>
      <c r="H76" s="65">
        <f>IF($M76="","",IF(INDEX(tblBilling[Payment Status],$M76)="","",INDEX(tblBilling[Payment Status],$M76)))</f>
        <v/>
      </c>
      <c r="I76" s="65">
        <f>IF($M76="","",IF(INDEX(tblBilling[Collector Name],$M76)="","",INDEX(tblBilling[Collector Name],$M76)))</f>
        <v/>
      </c>
      <c r="J76" s="68">
        <f>IF($M76="","",IF(INDEX(tblBilling[Payments Count],$M76)="","",INDEX(tblBilling[Payments Count],$M76)))</f>
        <v/>
      </c>
      <c r="M76">
        <f>IF(M75="","",IFERROR(M75+MATCH(CH_CustomerID,INDEX(tblBilling[Customer ID],M75+1):INDEX(tblBilling[Customer ID],ROWS(tblBilling[Customer ID])),0),""))</f>
        <v/>
      </c>
    </row>
    <row r="77">
      <c r="B77" s="64">
        <f>IF($M77="","",IF(INDEX(tblBilling[Month],$M77)="","",INDEX(tblBilling[Month],$M77)))</f>
        <v/>
      </c>
      <c r="C77" s="65">
        <f>IF($M77="","",IF(INDEX(tblBilling[Month Name],$M77)="","",INDEX(tblBilling[Month Name],$M77)))</f>
        <v/>
      </c>
      <c r="D77" s="66">
        <f>IF($M77="","",IF(INDEX(tblBilling[Monthly Fee],$M77)="","",INDEX(tblBilling[Monthly Fee],$M77)))</f>
        <v/>
      </c>
      <c r="E77" s="66">
        <f>IF($M77="","",IF(INDEX(tblBilling[Amount Paid],$M77)="","",INDEX(tblBilling[Amount Paid],$M77)))</f>
        <v/>
      </c>
      <c r="F77" s="67">
        <f>IF($M77="","",IF(INDEX(tblBilling[Last Payment Date],$M77)="","",INDEX(tblBilling[Last Payment Date],$M77)))</f>
        <v/>
      </c>
      <c r="G77" s="66">
        <f>IF($M77="","",IF(INDEX(tblBilling[Balance],$M77)="","",INDEX(tblBilling[Balance],$M77)))</f>
        <v/>
      </c>
      <c r="H77" s="65">
        <f>IF($M77="","",IF(INDEX(tblBilling[Payment Status],$M77)="","",INDEX(tblBilling[Payment Status],$M77)))</f>
        <v/>
      </c>
      <c r="I77" s="65">
        <f>IF($M77="","",IF(INDEX(tblBilling[Collector Name],$M77)="","",INDEX(tblBilling[Collector Name],$M77)))</f>
        <v/>
      </c>
      <c r="J77" s="68">
        <f>IF($M77="","",IF(INDEX(tblBilling[Payments Count],$M77)="","",INDEX(tblBilling[Payments Count],$M77)))</f>
        <v/>
      </c>
      <c r="M77">
        <f>IF(M76="","",IFERROR(M76+MATCH(CH_CustomerID,INDEX(tblBilling[Customer ID],M76+1):INDEX(tblBilling[Customer ID],ROWS(tblBilling[Customer ID])),0),""))</f>
        <v/>
      </c>
    </row>
    <row r="78">
      <c r="B78" s="64">
        <f>IF($M78="","",IF(INDEX(tblBilling[Month],$M78)="","",INDEX(tblBilling[Month],$M78)))</f>
        <v/>
      </c>
      <c r="C78" s="65">
        <f>IF($M78="","",IF(INDEX(tblBilling[Month Name],$M78)="","",INDEX(tblBilling[Month Name],$M78)))</f>
        <v/>
      </c>
      <c r="D78" s="66">
        <f>IF($M78="","",IF(INDEX(tblBilling[Monthly Fee],$M78)="","",INDEX(tblBilling[Monthly Fee],$M78)))</f>
        <v/>
      </c>
      <c r="E78" s="66">
        <f>IF($M78="","",IF(INDEX(tblBilling[Amount Paid],$M78)="","",INDEX(tblBilling[Amount Paid],$M78)))</f>
        <v/>
      </c>
      <c r="F78" s="67">
        <f>IF($M78="","",IF(INDEX(tblBilling[Last Payment Date],$M78)="","",INDEX(tblBilling[Last Payment Date],$M78)))</f>
        <v/>
      </c>
      <c r="G78" s="66">
        <f>IF($M78="","",IF(INDEX(tblBilling[Balance],$M78)="","",INDEX(tblBilling[Balance],$M78)))</f>
        <v/>
      </c>
      <c r="H78" s="65">
        <f>IF($M78="","",IF(INDEX(tblBilling[Payment Status],$M78)="","",INDEX(tblBilling[Payment Status],$M78)))</f>
        <v/>
      </c>
      <c r="I78" s="65">
        <f>IF($M78="","",IF(INDEX(tblBilling[Collector Name],$M78)="","",INDEX(tblBilling[Collector Name],$M78)))</f>
        <v/>
      </c>
      <c r="J78" s="68">
        <f>IF($M78="","",IF(INDEX(tblBilling[Payments Count],$M78)="","",INDEX(tblBilling[Payments Count],$M78)))</f>
        <v/>
      </c>
      <c r="M78">
        <f>IF(M77="","",IFERROR(M77+MATCH(CH_CustomerID,INDEX(tblBilling[Customer ID],M77+1):INDEX(tblBilling[Customer ID],ROWS(tblBilling[Customer ID])),0),""))</f>
        <v/>
      </c>
    </row>
    <row r="79">
      <c r="B79" s="64">
        <f>IF($M79="","",IF(INDEX(tblBilling[Month],$M79)="","",INDEX(tblBilling[Month],$M79)))</f>
        <v/>
      </c>
      <c r="C79" s="65">
        <f>IF($M79="","",IF(INDEX(tblBilling[Month Name],$M79)="","",INDEX(tblBilling[Month Name],$M79)))</f>
        <v/>
      </c>
      <c r="D79" s="66">
        <f>IF($M79="","",IF(INDEX(tblBilling[Monthly Fee],$M79)="","",INDEX(tblBilling[Monthly Fee],$M79)))</f>
        <v/>
      </c>
      <c r="E79" s="66">
        <f>IF($M79="","",IF(INDEX(tblBilling[Amount Paid],$M79)="","",INDEX(tblBilling[Amount Paid],$M79)))</f>
        <v/>
      </c>
      <c r="F79" s="67">
        <f>IF($M79="","",IF(INDEX(tblBilling[Last Payment Date],$M79)="","",INDEX(tblBilling[Last Payment Date],$M79)))</f>
        <v/>
      </c>
      <c r="G79" s="66">
        <f>IF($M79="","",IF(INDEX(tblBilling[Balance],$M79)="","",INDEX(tblBilling[Balance],$M79)))</f>
        <v/>
      </c>
      <c r="H79" s="65">
        <f>IF($M79="","",IF(INDEX(tblBilling[Payment Status],$M79)="","",INDEX(tblBilling[Payment Status],$M79)))</f>
        <v/>
      </c>
      <c r="I79" s="65">
        <f>IF($M79="","",IF(INDEX(tblBilling[Collector Name],$M79)="","",INDEX(tblBilling[Collector Name],$M79)))</f>
        <v/>
      </c>
      <c r="J79" s="68">
        <f>IF($M79="","",IF(INDEX(tblBilling[Payments Count],$M79)="","",INDEX(tblBilling[Payments Count],$M79)))</f>
        <v/>
      </c>
      <c r="M79">
        <f>IF(M78="","",IFERROR(M78+MATCH(CH_CustomerID,INDEX(tblBilling[Customer ID],M78+1):INDEX(tblBilling[Customer ID],ROWS(tblBilling[Customer ID])),0),""))</f>
        <v/>
      </c>
    </row>
    <row r="80">
      <c r="B80" s="64">
        <f>IF($M80="","",IF(INDEX(tblBilling[Month],$M80)="","",INDEX(tblBilling[Month],$M80)))</f>
        <v/>
      </c>
      <c r="C80" s="65">
        <f>IF($M80="","",IF(INDEX(tblBilling[Month Name],$M80)="","",INDEX(tblBilling[Month Name],$M80)))</f>
        <v/>
      </c>
      <c r="D80" s="66">
        <f>IF($M80="","",IF(INDEX(tblBilling[Monthly Fee],$M80)="","",INDEX(tblBilling[Monthly Fee],$M80)))</f>
        <v/>
      </c>
      <c r="E80" s="66">
        <f>IF($M80="","",IF(INDEX(tblBilling[Amount Paid],$M80)="","",INDEX(tblBilling[Amount Paid],$M80)))</f>
        <v/>
      </c>
      <c r="F80" s="67">
        <f>IF($M80="","",IF(INDEX(tblBilling[Last Payment Date],$M80)="","",INDEX(tblBilling[Last Payment Date],$M80)))</f>
        <v/>
      </c>
      <c r="G80" s="66">
        <f>IF($M80="","",IF(INDEX(tblBilling[Balance],$M80)="","",INDEX(tblBilling[Balance],$M80)))</f>
        <v/>
      </c>
      <c r="H80" s="65">
        <f>IF($M80="","",IF(INDEX(tblBilling[Payment Status],$M80)="","",INDEX(tblBilling[Payment Status],$M80)))</f>
        <v/>
      </c>
      <c r="I80" s="65">
        <f>IF($M80="","",IF(INDEX(tblBilling[Collector Name],$M80)="","",INDEX(tblBilling[Collector Name],$M80)))</f>
        <v/>
      </c>
      <c r="J80" s="68">
        <f>IF($M80="","",IF(INDEX(tblBilling[Payments Count],$M80)="","",INDEX(tblBilling[Payments Count],$M80)))</f>
        <v/>
      </c>
      <c r="M80">
        <f>IF(M79="","",IFERROR(M79+MATCH(CH_CustomerID,INDEX(tblBilling[Customer ID],M79+1):INDEX(tblBilling[Customer ID],ROWS(tblBilling[Customer ID])),0),""))</f>
        <v/>
      </c>
    </row>
    <row r="81">
      <c r="B81" s="64">
        <f>IF($M81="","",IF(INDEX(tblBilling[Month],$M81)="","",INDEX(tblBilling[Month],$M81)))</f>
        <v/>
      </c>
      <c r="C81" s="65">
        <f>IF($M81="","",IF(INDEX(tblBilling[Month Name],$M81)="","",INDEX(tblBilling[Month Name],$M81)))</f>
        <v/>
      </c>
      <c r="D81" s="66">
        <f>IF($M81="","",IF(INDEX(tblBilling[Monthly Fee],$M81)="","",INDEX(tblBilling[Monthly Fee],$M81)))</f>
        <v/>
      </c>
      <c r="E81" s="66">
        <f>IF($M81="","",IF(INDEX(tblBilling[Amount Paid],$M81)="","",INDEX(tblBilling[Amount Paid],$M81)))</f>
        <v/>
      </c>
      <c r="F81" s="67">
        <f>IF($M81="","",IF(INDEX(tblBilling[Last Payment Date],$M81)="","",INDEX(tblBilling[Last Payment Date],$M81)))</f>
        <v/>
      </c>
      <c r="G81" s="66">
        <f>IF($M81="","",IF(INDEX(tblBilling[Balance],$M81)="","",INDEX(tblBilling[Balance],$M81)))</f>
        <v/>
      </c>
      <c r="H81" s="65">
        <f>IF($M81="","",IF(INDEX(tblBilling[Payment Status],$M81)="","",INDEX(tblBilling[Payment Status],$M81)))</f>
        <v/>
      </c>
      <c r="I81" s="65">
        <f>IF($M81="","",IF(INDEX(tblBilling[Collector Name],$M81)="","",INDEX(tblBilling[Collector Name],$M81)))</f>
        <v/>
      </c>
      <c r="J81" s="68">
        <f>IF($M81="","",IF(INDEX(tblBilling[Payments Count],$M81)="","",INDEX(tblBilling[Payments Count],$M81)))</f>
        <v/>
      </c>
      <c r="M81">
        <f>IF(M80="","",IFERROR(M80+MATCH(CH_CustomerID,INDEX(tblBilling[Customer ID],M80+1):INDEX(tblBilling[Customer ID],ROWS(tblBilling[Customer ID])),0),""))</f>
        <v/>
      </c>
    </row>
    <row r="82">
      <c r="B82" s="64">
        <f>IF($M82="","",IF(INDEX(tblBilling[Month],$M82)="","",INDEX(tblBilling[Month],$M82)))</f>
        <v/>
      </c>
      <c r="C82" s="65">
        <f>IF($M82="","",IF(INDEX(tblBilling[Month Name],$M82)="","",INDEX(tblBilling[Month Name],$M82)))</f>
        <v/>
      </c>
      <c r="D82" s="66">
        <f>IF($M82="","",IF(INDEX(tblBilling[Monthly Fee],$M82)="","",INDEX(tblBilling[Monthly Fee],$M82)))</f>
        <v/>
      </c>
      <c r="E82" s="66">
        <f>IF($M82="","",IF(INDEX(tblBilling[Amount Paid],$M82)="","",INDEX(tblBilling[Amount Paid],$M82)))</f>
        <v/>
      </c>
      <c r="F82" s="67">
        <f>IF($M82="","",IF(INDEX(tblBilling[Last Payment Date],$M82)="","",INDEX(tblBilling[Last Payment Date],$M82)))</f>
        <v/>
      </c>
      <c r="G82" s="66">
        <f>IF($M82="","",IF(INDEX(tblBilling[Balance],$M82)="","",INDEX(tblBilling[Balance],$M82)))</f>
        <v/>
      </c>
      <c r="H82" s="65">
        <f>IF($M82="","",IF(INDEX(tblBilling[Payment Status],$M82)="","",INDEX(tblBilling[Payment Status],$M82)))</f>
        <v/>
      </c>
      <c r="I82" s="65">
        <f>IF($M82="","",IF(INDEX(tblBilling[Collector Name],$M82)="","",INDEX(tblBilling[Collector Name],$M82)))</f>
        <v/>
      </c>
      <c r="J82" s="68">
        <f>IF($M82="","",IF(INDEX(tblBilling[Payments Count],$M82)="","",INDEX(tblBilling[Payments Count],$M82)))</f>
        <v/>
      </c>
      <c r="M82">
        <f>IF(M81="","",IFERROR(M81+MATCH(CH_CustomerID,INDEX(tblBilling[Customer ID],M81+1):INDEX(tblBilling[Customer ID],ROWS(tblBilling[Customer ID])),0),""))</f>
        <v/>
      </c>
    </row>
    <row r="83">
      <c r="B83" s="64">
        <f>IF($M83="","",IF(INDEX(tblBilling[Month],$M83)="","",INDEX(tblBilling[Month],$M83)))</f>
        <v/>
      </c>
      <c r="C83" s="65">
        <f>IF($M83="","",IF(INDEX(tblBilling[Month Name],$M83)="","",INDEX(tblBilling[Month Name],$M83)))</f>
        <v/>
      </c>
      <c r="D83" s="66">
        <f>IF($M83="","",IF(INDEX(tblBilling[Monthly Fee],$M83)="","",INDEX(tblBilling[Monthly Fee],$M83)))</f>
        <v/>
      </c>
      <c r="E83" s="66">
        <f>IF($M83="","",IF(INDEX(tblBilling[Amount Paid],$M83)="","",INDEX(tblBilling[Amount Paid],$M83)))</f>
        <v/>
      </c>
      <c r="F83" s="67">
        <f>IF($M83="","",IF(INDEX(tblBilling[Last Payment Date],$M83)="","",INDEX(tblBilling[Last Payment Date],$M83)))</f>
        <v/>
      </c>
      <c r="G83" s="66">
        <f>IF($M83="","",IF(INDEX(tblBilling[Balance],$M83)="","",INDEX(tblBilling[Balance],$M83)))</f>
        <v/>
      </c>
      <c r="H83" s="65">
        <f>IF($M83="","",IF(INDEX(tblBilling[Payment Status],$M83)="","",INDEX(tblBilling[Payment Status],$M83)))</f>
        <v/>
      </c>
      <c r="I83" s="65">
        <f>IF($M83="","",IF(INDEX(tblBilling[Collector Name],$M83)="","",INDEX(tblBilling[Collector Name],$M83)))</f>
        <v/>
      </c>
      <c r="J83" s="68">
        <f>IF($M83="","",IF(INDEX(tblBilling[Payments Count],$M83)="","",INDEX(tblBilling[Payments Count],$M83)))</f>
        <v/>
      </c>
      <c r="M83">
        <f>IF(M82="","",IFERROR(M82+MATCH(CH_CustomerID,INDEX(tblBilling[Customer ID],M82+1):INDEX(tblBilling[Customer ID],ROWS(tblBilling[Customer ID])),0),""))</f>
        <v/>
      </c>
    </row>
    <row r="84">
      <c r="B84" s="64">
        <f>IF($M84="","",IF(INDEX(tblBilling[Month],$M84)="","",INDEX(tblBilling[Month],$M84)))</f>
        <v/>
      </c>
      <c r="C84" s="65">
        <f>IF($M84="","",IF(INDEX(tblBilling[Month Name],$M84)="","",INDEX(tblBilling[Month Name],$M84)))</f>
        <v/>
      </c>
      <c r="D84" s="66">
        <f>IF($M84="","",IF(INDEX(tblBilling[Monthly Fee],$M84)="","",INDEX(tblBilling[Monthly Fee],$M84)))</f>
        <v/>
      </c>
      <c r="E84" s="66">
        <f>IF($M84="","",IF(INDEX(tblBilling[Amount Paid],$M84)="","",INDEX(tblBilling[Amount Paid],$M84)))</f>
        <v/>
      </c>
      <c r="F84" s="67">
        <f>IF($M84="","",IF(INDEX(tblBilling[Last Payment Date],$M84)="","",INDEX(tblBilling[Last Payment Date],$M84)))</f>
        <v/>
      </c>
      <c r="G84" s="66">
        <f>IF($M84="","",IF(INDEX(tblBilling[Balance],$M84)="","",INDEX(tblBilling[Balance],$M84)))</f>
        <v/>
      </c>
      <c r="H84" s="65">
        <f>IF($M84="","",IF(INDEX(tblBilling[Payment Status],$M84)="","",INDEX(tblBilling[Payment Status],$M84)))</f>
        <v/>
      </c>
      <c r="I84" s="65">
        <f>IF($M84="","",IF(INDEX(tblBilling[Collector Name],$M84)="","",INDEX(tblBilling[Collector Name],$M84)))</f>
        <v/>
      </c>
      <c r="J84" s="68">
        <f>IF($M84="","",IF(INDEX(tblBilling[Payments Count],$M84)="","",INDEX(tblBilling[Payments Count],$M84)))</f>
        <v/>
      </c>
      <c r="M84">
        <f>IF(M83="","",IFERROR(M83+MATCH(CH_CustomerID,INDEX(tblBilling[Customer ID],M83+1):INDEX(tblBilling[Customer ID],ROWS(tblBilling[Customer ID])),0),""))</f>
        <v/>
      </c>
    </row>
    <row r="85">
      <c r="B85" s="64">
        <f>IF($M85="","",IF(INDEX(tblBilling[Month],$M85)="","",INDEX(tblBilling[Month],$M85)))</f>
        <v/>
      </c>
      <c r="C85" s="65">
        <f>IF($M85="","",IF(INDEX(tblBilling[Month Name],$M85)="","",INDEX(tblBilling[Month Name],$M85)))</f>
        <v/>
      </c>
      <c r="D85" s="66">
        <f>IF($M85="","",IF(INDEX(tblBilling[Monthly Fee],$M85)="","",INDEX(tblBilling[Monthly Fee],$M85)))</f>
        <v/>
      </c>
      <c r="E85" s="66">
        <f>IF($M85="","",IF(INDEX(tblBilling[Amount Paid],$M85)="","",INDEX(tblBilling[Amount Paid],$M85)))</f>
        <v/>
      </c>
      <c r="F85" s="67">
        <f>IF($M85="","",IF(INDEX(tblBilling[Last Payment Date],$M85)="","",INDEX(tblBilling[Last Payment Date],$M85)))</f>
        <v/>
      </c>
      <c r="G85" s="66">
        <f>IF($M85="","",IF(INDEX(tblBilling[Balance],$M85)="","",INDEX(tblBilling[Balance],$M85)))</f>
        <v/>
      </c>
      <c r="H85" s="65">
        <f>IF($M85="","",IF(INDEX(tblBilling[Payment Status],$M85)="","",INDEX(tblBilling[Payment Status],$M85)))</f>
        <v/>
      </c>
      <c r="I85" s="65">
        <f>IF($M85="","",IF(INDEX(tblBilling[Collector Name],$M85)="","",INDEX(tblBilling[Collector Name],$M85)))</f>
        <v/>
      </c>
      <c r="J85" s="68">
        <f>IF($M85="","",IF(INDEX(tblBilling[Payments Count],$M85)="","",INDEX(tblBilling[Payments Count],$M85)))</f>
        <v/>
      </c>
      <c r="M85">
        <f>IF(M84="","",IFERROR(M84+MATCH(CH_CustomerID,INDEX(tblBilling[Customer ID],M84+1):INDEX(tblBilling[Customer ID],ROWS(tblBilling[Customer ID])),0),""))</f>
        <v/>
      </c>
    </row>
    <row r="86">
      <c r="B86" s="64">
        <f>IF($M86="","",IF(INDEX(tblBilling[Month],$M86)="","",INDEX(tblBilling[Month],$M86)))</f>
        <v/>
      </c>
      <c r="C86" s="65">
        <f>IF($M86="","",IF(INDEX(tblBilling[Month Name],$M86)="","",INDEX(tblBilling[Month Name],$M86)))</f>
        <v/>
      </c>
      <c r="D86" s="66">
        <f>IF($M86="","",IF(INDEX(tblBilling[Monthly Fee],$M86)="","",INDEX(tblBilling[Monthly Fee],$M86)))</f>
        <v/>
      </c>
      <c r="E86" s="66">
        <f>IF($M86="","",IF(INDEX(tblBilling[Amount Paid],$M86)="","",INDEX(tblBilling[Amount Paid],$M86)))</f>
        <v/>
      </c>
      <c r="F86" s="67">
        <f>IF($M86="","",IF(INDEX(tblBilling[Last Payment Date],$M86)="","",INDEX(tblBilling[Last Payment Date],$M86)))</f>
        <v/>
      </c>
      <c r="G86" s="66">
        <f>IF($M86="","",IF(INDEX(tblBilling[Balance],$M86)="","",INDEX(tblBilling[Balance],$M86)))</f>
        <v/>
      </c>
      <c r="H86" s="65">
        <f>IF($M86="","",IF(INDEX(tblBilling[Payment Status],$M86)="","",INDEX(tblBilling[Payment Status],$M86)))</f>
        <v/>
      </c>
      <c r="I86" s="65">
        <f>IF($M86="","",IF(INDEX(tblBilling[Collector Name],$M86)="","",INDEX(tblBilling[Collector Name],$M86)))</f>
        <v/>
      </c>
      <c r="J86" s="68">
        <f>IF($M86="","",IF(INDEX(tblBilling[Payments Count],$M86)="","",INDEX(tblBilling[Payments Count],$M86)))</f>
        <v/>
      </c>
      <c r="M86">
        <f>IF(M85="","",IFERROR(M85+MATCH(CH_CustomerID,INDEX(tblBilling[Customer ID],M85+1):INDEX(tblBilling[Customer ID],ROWS(tblBilling[Customer ID])),0),""))</f>
        <v/>
      </c>
    </row>
    <row r="87">
      <c r="B87" s="64">
        <f>IF($M87="","",IF(INDEX(tblBilling[Month],$M87)="","",INDEX(tblBilling[Month],$M87)))</f>
        <v/>
      </c>
      <c r="C87" s="65">
        <f>IF($M87="","",IF(INDEX(tblBilling[Month Name],$M87)="","",INDEX(tblBilling[Month Name],$M87)))</f>
        <v/>
      </c>
      <c r="D87" s="66">
        <f>IF($M87="","",IF(INDEX(tblBilling[Monthly Fee],$M87)="","",INDEX(tblBilling[Monthly Fee],$M87)))</f>
        <v/>
      </c>
      <c r="E87" s="66">
        <f>IF($M87="","",IF(INDEX(tblBilling[Amount Paid],$M87)="","",INDEX(tblBilling[Amount Paid],$M87)))</f>
        <v/>
      </c>
      <c r="F87" s="67">
        <f>IF($M87="","",IF(INDEX(tblBilling[Last Payment Date],$M87)="","",INDEX(tblBilling[Last Payment Date],$M87)))</f>
        <v/>
      </c>
      <c r="G87" s="66">
        <f>IF($M87="","",IF(INDEX(tblBilling[Balance],$M87)="","",INDEX(tblBilling[Balance],$M87)))</f>
        <v/>
      </c>
      <c r="H87" s="65">
        <f>IF($M87="","",IF(INDEX(tblBilling[Payment Status],$M87)="","",INDEX(tblBilling[Payment Status],$M87)))</f>
        <v/>
      </c>
      <c r="I87" s="65">
        <f>IF($M87="","",IF(INDEX(tblBilling[Collector Name],$M87)="","",INDEX(tblBilling[Collector Name],$M87)))</f>
        <v/>
      </c>
      <c r="J87" s="68">
        <f>IF($M87="","",IF(INDEX(tblBilling[Payments Count],$M87)="","",INDEX(tblBilling[Payments Count],$M87)))</f>
        <v/>
      </c>
      <c r="M87">
        <f>IF(M86="","",IFERROR(M86+MATCH(CH_CustomerID,INDEX(tblBilling[Customer ID],M86+1):INDEX(tblBilling[Customer ID],ROWS(tblBilling[Customer ID])),0),""))</f>
        <v/>
      </c>
    </row>
    <row r="88">
      <c r="B88" s="64">
        <f>IF($M88="","",IF(INDEX(tblBilling[Month],$M88)="","",INDEX(tblBilling[Month],$M88)))</f>
        <v/>
      </c>
      <c r="C88" s="65">
        <f>IF($M88="","",IF(INDEX(tblBilling[Month Name],$M88)="","",INDEX(tblBilling[Month Name],$M88)))</f>
        <v/>
      </c>
      <c r="D88" s="66">
        <f>IF($M88="","",IF(INDEX(tblBilling[Monthly Fee],$M88)="","",INDEX(tblBilling[Monthly Fee],$M88)))</f>
        <v/>
      </c>
      <c r="E88" s="66">
        <f>IF($M88="","",IF(INDEX(tblBilling[Amount Paid],$M88)="","",INDEX(tblBilling[Amount Paid],$M88)))</f>
        <v/>
      </c>
      <c r="F88" s="67">
        <f>IF($M88="","",IF(INDEX(tblBilling[Last Payment Date],$M88)="","",INDEX(tblBilling[Last Payment Date],$M88)))</f>
        <v/>
      </c>
      <c r="G88" s="66">
        <f>IF($M88="","",IF(INDEX(tblBilling[Balance],$M88)="","",INDEX(tblBilling[Balance],$M88)))</f>
        <v/>
      </c>
      <c r="H88" s="65">
        <f>IF($M88="","",IF(INDEX(tblBilling[Payment Status],$M88)="","",INDEX(tblBilling[Payment Status],$M88)))</f>
        <v/>
      </c>
      <c r="I88" s="65">
        <f>IF($M88="","",IF(INDEX(tblBilling[Collector Name],$M88)="","",INDEX(tblBilling[Collector Name],$M88)))</f>
        <v/>
      </c>
      <c r="J88" s="68">
        <f>IF($M88="","",IF(INDEX(tblBilling[Payments Count],$M88)="","",INDEX(tblBilling[Payments Count],$M88)))</f>
        <v/>
      </c>
      <c r="M88">
        <f>IF(M87="","",IFERROR(M87+MATCH(CH_CustomerID,INDEX(tblBilling[Customer ID],M87+1):INDEX(tblBilling[Customer ID],ROWS(tblBilling[Customer ID])),0),""))</f>
        <v/>
      </c>
    </row>
    <row r="89">
      <c r="B89" s="64">
        <f>IF($M89="","",IF(INDEX(tblBilling[Month],$M89)="","",INDEX(tblBilling[Month],$M89)))</f>
        <v/>
      </c>
      <c r="C89" s="65">
        <f>IF($M89="","",IF(INDEX(tblBilling[Month Name],$M89)="","",INDEX(tblBilling[Month Name],$M89)))</f>
        <v/>
      </c>
      <c r="D89" s="66">
        <f>IF($M89="","",IF(INDEX(tblBilling[Monthly Fee],$M89)="","",INDEX(tblBilling[Monthly Fee],$M89)))</f>
        <v/>
      </c>
      <c r="E89" s="66">
        <f>IF($M89="","",IF(INDEX(tblBilling[Amount Paid],$M89)="","",INDEX(tblBilling[Amount Paid],$M89)))</f>
        <v/>
      </c>
      <c r="F89" s="67">
        <f>IF($M89="","",IF(INDEX(tblBilling[Last Payment Date],$M89)="","",INDEX(tblBilling[Last Payment Date],$M89)))</f>
        <v/>
      </c>
      <c r="G89" s="66">
        <f>IF($M89="","",IF(INDEX(tblBilling[Balance],$M89)="","",INDEX(tblBilling[Balance],$M89)))</f>
        <v/>
      </c>
      <c r="H89" s="65">
        <f>IF($M89="","",IF(INDEX(tblBilling[Payment Status],$M89)="","",INDEX(tblBilling[Payment Status],$M89)))</f>
        <v/>
      </c>
      <c r="I89" s="65">
        <f>IF($M89="","",IF(INDEX(tblBilling[Collector Name],$M89)="","",INDEX(tblBilling[Collector Name],$M89)))</f>
        <v/>
      </c>
      <c r="J89" s="68">
        <f>IF($M89="","",IF(INDEX(tblBilling[Payments Count],$M89)="","",INDEX(tblBilling[Payments Count],$M89)))</f>
        <v/>
      </c>
      <c r="M89">
        <f>IF(M88="","",IFERROR(M88+MATCH(CH_CustomerID,INDEX(tblBilling[Customer ID],M88+1):INDEX(tblBilling[Customer ID],ROWS(tblBilling[Customer ID])),0),""))</f>
        <v/>
      </c>
    </row>
    <row r="90">
      <c r="B90" s="64">
        <f>IF($M90="","",IF(INDEX(tblBilling[Month],$M90)="","",INDEX(tblBilling[Month],$M90)))</f>
        <v/>
      </c>
      <c r="C90" s="65">
        <f>IF($M90="","",IF(INDEX(tblBilling[Month Name],$M90)="","",INDEX(tblBilling[Month Name],$M90)))</f>
        <v/>
      </c>
      <c r="D90" s="66">
        <f>IF($M90="","",IF(INDEX(tblBilling[Monthly Fee],$M90)="","",INDEX(tblBilling[Monthly Fee],$M90)))</f>
        <v/>
      </c>
      <c r="E90" s="66">
        <f>IF($M90="","",IF(INDEX(tblBilling[Amount Paid],$M90)="","",INDEX(tblBilling[Amount Paid],$M90)))</f>
        <v/>
      </c>
      <c r="F90" s="67">
        <f>IF($M90="","",IF(INDEX(tblBilling[Last Payment Date],$M90)="","",INDEX(tblBilling[Last Payment Date],$M90)))</f>
        <v/>
      </c>
      <c r="G90" s="66">
        <f>IF($M90="","",IF(INDEX(tblBilling[Balance],$M90)="","",INDEX(tblBilling[Balance],$M90)))</f>
        <v/>
      </c>
      <c r="H90" s="65">
        <f>IF($M90="","",IF(INDEX(tblBilling[Payment Status],$M90)="","",INDEX(tblBilling[Payment Status],$M90)))</f>
        <v/>
      </c>
      <c r="I90" s="65">
        <f>IF($M90="","",IF(INDEX(tblBilling[Collector Name],$M90)="","",INDEX(tblBilling[Collector Name],$M90)))</f>
        <v/>
      </c>
      <c r="J90" s="68">
        <f>IF($M90="","",IF(INDEX(tblBilling[Payments Count],$M90)="","",INDEX(tblBilling[Payments Count],$M90)))</f>
        <v/>
      </c>
      <c r="M90">
        <f>IF(M89="","",IFERROR(M89+MATCH(CH_CustomerID,INDEX(tblBilling[Customer ID],M89+1):INDEX(tblBilling[Customer ID],ROWS(tblBilling[Customer ID])),0),""))</f>
        <v/>
      </c>
    </row>
    <row r="91">
      <c r="B91" s="64">
        <f>IF($M91="","",IF(INDEX(tblBilling[Month],$M91)="","",INDEX(tblBilling[Month],$M91)))</f>
        <v/>
      </c>
      <c r="C91" s="65">
        <f>IF($M91="","",IF(INDEX(tblBilling[Month Name],$M91)="","",INDEX(tblBilling[Month Name],$M91)))</f>
        <v/>
      </c>
      <c r="D91" s="66">
        <f>IF($M91="","",IF(INDEX(tblBilling[Monthly Fee],$M91)="","",INDEX(tblBilling[Monthly Fee],$M91)))</f>
        <v/>
      </c>
      <c r="E91" s="66">
        <f>IF($M91="","",IF(INDEX(tblBilling[Amount Paid],$M91)="","",INDEX(tblBilling[Amount Paid],$M91)))</f>
        <v/>
      </c>
      <c r="F91" s="67">
        <f>IF($M91="","",IF(INDEX(tblBilling[Last Payment Date],$M91)="","",INDEX(tblBilling[Last Payment Date],$M91)))</f>
        <v/>
      </c>
      <c r="G91" s="66">
        <f>IF($M91="","",IF(INDEX(tblBilling[Balance],$M91)="","",INDEX(tblBilling[Balance],$M91)))</f>
        <v/>
      </c>
      <c r="H91" s="65">
        <f>IF($M91="","",IF(INDEX(tblBilling[Payment Status],$M91)="","",INDEX(tblBilling[Payment Status],$M91)))</f>
        <v/>
      </c>
      <c r="I91" s="65">
        <f>IF($M91="","",IF(INDEX(tblBilling[Collector Name],$M91)="","",INDEX(tblBilling[Collector Name],$M91)))</f>
        <v/>
      </c>
      <c r="J91" s="68">
        <f>IF($M91="","",IF(INDEX(tblBilling[Payments Count],$M91)="","",INDEX(tblBilling[Payments Count],$M91)))</f>
        <v/>
      </c>
      <c r="M91">
        <f>IF(M90="","",IFERROR(M90+MATCH(CH_CustomerID,INDEX(tblBilling[Customer ID],M90+1):INDEX(tblBilling[Customer ID],ROWS(tblBilling[Customer ID])),0),""))</f>
        <v/>
      </c>
    </row>
    <row r="92">
      <c r="B92" s="64">
        <f>IF($M92="","",IF(INDEX(tblBilling[Month],$M92)="","",INDEX(tblBilling[Month],$M92)))</f>
        <v/>
      </c>
      <c r="C92" s="65">
        <f>IF($M92="","",IF(INDEX(tblBilling[Month Name],$M92)="","",INDEX(tblBilling[Month Name],$M92)))</f>
        <v/>
      </c>
      <c r="D92" s="66">
        <f>IF($M92="","",IF(INDEX(tblBilling[Monthly Fee],$M92)="","",INDEX(tblBilling[Monthly Fee],$M92)))</f>
        <v/>
      </c>
      <c r="E92" s="66">
        <f>IF($M92="","",IF(INDEX(tblBilling[Amount Paid],$M92)="","",INDEX(tblBilling[Amount Paid],$M92)))</f>
        <v/>
      </c>
      <c r="F92" s="67">
        <f>IF($M92="","",IF(INDEX(tblBilling[Last Payment Date],$M92)="","",INDEX(tblBilling[Last Payment Date],$M92)))</f>
        <v/>
      </c>
      <c r="G92" s="66">
        <f>IF($M92="","",IF(INDEX(tblBilling[Balance],$M92)="","",INDEX(tblBilling[Balance],$M92)))</f>
        <v/>
      </c>
      <c r="H92" s="65">
        <f>IF($M92="","",IF(INDEX(tblBilling[Payment Status],$M92)="","",INDEX(tblBilling[Payment Status],$M92)))</f>
        <v/>
      </c>
      <c r="I92" s="65">
        <f>IF($M92="","",IF(INDEX(tblBilling[Collector Name],$M92)="","",INDEX(tblBilling[Collector Name],$M92)))</f>
        <v/>
      </c>
      <c r="J92" s="68">
        <f>IF($M92="","",IF(INDEX(tblBilling[Payments Count],$M92)="","",INDEX(tblBilling[Payments Count],$M92)))</f>
        <v/>
      </c>
      <c r="M92">
        <f>IF(M91="","",IFERROR(M91+MATCH(CH_CustomerID,INDEX(tblBilling[Customer ID],M91+1):INDEX(tblBilling[Customer ID],ROWS(tblBilling[Customer ID])),0),""))</f>
        <v/>
      </c>
    </row>
    <row r="93">
      <c r="B93" s="64">
        <f>IF($M93="","",IF(INDEX(tblBilling[Month],$M93)="","",INDEX(tblBilling[Month],$M93)))</f>
        <v/>
      </c>
      <c r="C93" s="65">
        <f>IF($M93="","",IF(INDEX(tblBilling[Month Name],$M93)="","",INDEX(tblBilling[Month Name],$M93)))</f>
        <v/>
      </c>
      <c r="D93" s="66">
        <f>IF($M93="","",IF(INDEX(tblBilling[Monthly Fee],$M93)="","",INDEX(tblBilling[Monthly Fee],$M93)))</f>
        <v/>
      </c>
      <c r="E93" s="66">
        <f>IF($M93="","",IF(INDEX(tblBilling[Amount Paid],$M93)="","",INDEX(tblBilling[Amount Paid],$M93)))</f>
        <v/>
      </c>
      <c r="F93" s="67">
        <f>IF($M93="","",IF(INDEX(tblBilling[Last Payment Date],$M93)="","",INDEX(tblBilling[Last Payment Date],$M93)))</f>
        <v/>
      </c>
      <c r="G93" s="66">
        <f>IF($M93="","",IF(INDEX(tblBilling[Balance],$M93)="","",INDEX(tblBilling[Balance],$M93)))</f>
        <v/>
      </c>
      <c r="H93" s="65">
        <f>IF($M93="","",IF(INDEX(tblBilling[Payment Status],$M93)="","",INDEX(tblBilling[Payment Status],$M93)))</f>
        <v/>
      </c>
      <c r="I93" s="65">
        <f>IF($M93="","",IF(INDEX(tblBilling[Collector Name],$M93)="","",INDEX(tblBilling[Collector Name],$M93)))</f>
        <v/>
      </c>
      <c r="J93" s="68">
        <f>IF($M93="","",IF(INDEX(tblBilling[Payments Count],$M93)="","",INDEX(tblBilling[Payments Count],$M93)))</f>
        <v/>
      </c>
      <c r="M93">
        <f>IF(M92="","",IFERROR(M92+MATCH(CH_CustomerID,INDEX(tblBilling[Customer ID],M92+1):INDEX(tblBilling[Customer ID],ROWS(tblBilling[Customer ID])),0),""))</f>
        <v/>
      </c>
    </row>
    <row r="94">
      <c r="B94" s="64">
        <f>IF($M94="","",IF(INDEX(tblBilling[Month],$M94)="","",INDEX(tblBilling[Month],$M94)))</f>
        <v/>
      </c>
      <c r="C94" s="65">
        <f>IF($M94="","",IF(INDEX(tblBilling[Month Name],$M94)="","",INDEX(tblBilling[Month Name],$M94)))</f>
        <v/>
      </c>
      <c r="D94" s="66">
        <f>IF($M94="","",IF(INDEX(tblBilling[Monthly Fee],$M94)="","",INDEX(tblBilling[Monthly Fee],$M94)))</f>
        <v/>
      </c>
      <c r="E94" s="66">
        <f>IF($M94="","",IF(INDEX(tblBilling[Amount Paid],$M94)="","",INDEX(tblBilling[Amount Paid],$M94)))</f>
        <v/>
      </c>
      <c r="F94" s="67">
        <f>IF($M94="","",IF(INDEX(tblBilling[Last Payment Date],$M94)="","",INDEX(tblBilling[Last Payment Date],$M94)))</f>
        <v/>
      </c>
      <c r="G94" s="66">
        <f>IF($M94="","",IF(INDEX(tblBilling[Balance],$M94)="","",INDEX(tblBilling[Balance],$M94)))</f>
        <v/>
      </c>
      <c r="H94" s="65">
        <f>IF($M94="","",IF(INDEX(tblBilling[Payment Status],$M94)="","",INDEX(tblBilling[Payment Status],$M94)))</f>
        <v/>
      </c>
      <c r="I94" s="65">
        <f>IF($M94="","",IF(INDEX(tblBilling[Collector Name],$M94)="","",INDEX(tblBilling[Collector Name],$M94)))</f>
        <v/>
      </c>
      <c r="J94" s="68">
        <f>IF($M94="","",IF(INDEX(tblBilling[Payments Count],$M94)="","",INDEX(tblBilling[Payments Count],$M94)))</f>
        <v/>
      </c>
      <c r="M94">
        <f>IF(M93="","",IFERROR(M93+MATCH(CH_CustomerID,INDEX(tblBilling[Customer ID],M93+1):INDEX(tblBilling[Customer ID],ROWS(tblBilling[Customer ID])),0),""))</f>
        <v/>
      </c>
    </row>
    <row r="95">
      <c r="B95" s="64">
        <f>IF($M95="","",IF(INDEX(tblBilling[Month],$M95)="","",INDEX(tblBilling[Month],$M95)))</f>
        <v/>
      </c>
      <c r="C95" s="65">
        <f>IF($M95="","",IF(INDEX(tblBilling[Month Name],$M95)="","",INDEX(tblBilling[Month Name],$M95)))</f>
        <v/>
      </c>
      <c r="D95" s="66">
        <f>IF($M95="","",IF(INDEX(tblBilling[Monthly Fee],$M95)="","",INDEX(tblBilling[Monthly Fee],$M95)))</f>
        <v/>
      </c>
      <c r="E95" s="66">
        <f>IF($M95="","",IF(INDEX(tblBilling[Amount Paid],$M95)="","",INDEX(tblBilling[Amount Paid],$M95)))</f>
        <v/>
      </c>
      <c r="F95" s="67">
        <f>IF($M95="","",IF(INDEX(tblBilling[Last Payment Date],$M95)="","",INDEX(tblBilling[Last Payment Date],$M95)))</f>
        <v/>
      </c>
      <c r="G95" s="66">
        <f>IF($M95="","",IF(INDEX(tblBilling[Balance],$M95)="","",INDEX(tblBilling[Balance],$M95)))</f>
        <v/>
      </c>
      <c r="H95" s="65">
        <f>IF($M95="","",IF(INDEX(tblBilling[Payment Status],$M95)="","",INDEX(tblBilling[Payment Status],$M95)))</f>
        <v/>
      </c>
      <c r="I95" s="65">
        <f>IF($M95="","",IF(INDEX(tblBilling[Collector Name],$M95)="","",INDEX(tblBilling[Collector Name],$M95)))</f>
        <v/>
      </c>
      <c r="J95" s="68">
        <f>IF($M95="","",IF(INDEX(tblBilling[Payments Count],$M95)="","",INDEX(tblBilling[Payments Count],$M95)))</f>
        <v/>
      </c>
      <c r="M95">
        <f>IF(M94="","",IFERROR(M94+MATCH(CH_CustomerID,INDEX(tblBilling[Customer ID],M94+1):INDEX(tblBilling[Customer ID],ROWS(tblBilling[Customer ID])),0),""))</f>
        <v/>
      </c>
    </row>
    <row r="96">
      <c r="B96" s="64">
        <f>IF($M96="","",IF(INDEX(tblBilling[Month],$M96)="","",INDEX(tblBilling[Month],$M96)))</f>
        <v/>
      </c>
      <c r="C96" s="65">
        <f>IF($M96="","",IF(INDEX(tblBilling[Month Name],$M96)="","",INDEX(tblBilling[Month Name],$M96)))</f>
        <v/>
      </c>
      <c r="D96" s="66">
        <f>IF($M96="","",IF(INDEX(tblBilling[Monthly Fee],$M96)="","",INDEX(tblBilling[Monthly Fee],$M96)))</f>
        <v/>
      </c>
      <c r="E96" s="66">
        <f>IF($M96="","",IF(INDEX(tblBilling[Amount Paid],$M96)="","",INDEX(tblBilling[Amount Paid],$M96)))</f>
        <v/>
      </c>
      <c r="F96" s="67">
        <f>IF($M96="","",IF(INDEX(tblBilling[Last Payment Date],$M96)="","",INDEX(tblBilling[Last Payment Date],$M96)))</f>
        <v/>
      </c>
      <c r="G96" s="66">
        <f>IF($M96="","",IF(INDEX(tblBilling[Balance],$M96)="","",INDEX(tblBilling[Balance],$M96)))</f>
        <v/>
      </c>
      <c r="H96" s="65">
        <f>IF($M96="","",IF(INDEX(tblBilling[Payment Status],$M96)="","",INDEX(tblBilling[Payment Status],$M96)))</f>
        <v/>
      </c>
      <c r="I96" s="65">
        <f>IF($M96="","",IF(INDEX(tblBilling[Collector Name],$M96)="","",INDEX(tblBilling[Collector Name],$M96)))</f>
        <v/>
      </c>
      <c r="J96" s="68">
        <f>IF($M96="","",IF(INDEX(tblBilling[Payments Count],$M96)="","",INDEX(tblBilling[Payments Count],$M96)))</f>
        <v/>
      </c>
      <c r="M96">
        <f>IF(M95="","",IFERROR(M95+MATCH(CH_CustomerID,INDEX(tblBilling[Customer ID],M95+1):INDEX(tblBilling[Customer ID],ROWS(tblBilling[Customer ID])),0),""))</f>
        <v/>
      </c>
    </row>
    <row r="97">
      <c r="B97" s="64">
        <f>IF($M97="","",IF(INDEX(tblBilling[Month],$M97)="","",INDEX(tblBilling[Month],$M97)))</f>
        <v/>
      </c>
      <c r="C97" s="65">
        <f>IF($M97="","",IF(INDEX(tblBilling[Month Name],$M97)="","",INDEX(tblBilling[Month Name],$M97)))</f>
        <v/>
      </c>
      <c r="D97" s="66">
        <f>IF($M97="","",IF(INDEX(tblBilling[Monthly Fee],$M97)="","",INDEX(tblBilling[Monthly Fee],$M97)))</f>
        <v/>
      </c>
      <c r="E97" s="66">
        <f>IF($M97="","",IF(INDEX(tblBilling[Amount Paid],$M97)="","",INDEX(tblBilling[Amount Paid],$M97)))</f>
        <v/>
      </c>
      <c r="F97" s="67">
        <f>IF($M97="","",IF(INDEX(tblBilling[Last Payment Date],$M97)="","",INDEX(tblBilling[Last Payment Date],$M97)))</f>
        <v/>
      </c>
      <c r="G97" s="66">
        <f>IF($M97="","",IF(INDEX(tblBilling[Balance],$M97)="","",INDEX(tblBilling[Balance],$M97)))</f>
        <v/>
      </c>
      <c r="H97" s="65">
        <f>IF($M97="","",IF(INDEX(tblBilling[Payment Status],$M97)="","",INDEX(tblBilling[Payment Status],$M97)))</f>
        <v/>
      </c>
      <c r="I97" s="65">
        <f>IF($M97="","",IF(INDEX(tblBilling[Collector Name],$M97)="","",INDEX(tblBilling[Collector Name],$M97)))</f>
        <v/>
      </c>
      <c r="J97" s="68">
        <f>IF($M97="","",IF(INDEX(tblBilling[Payments Count],$M97)="","",INDEX(tblBilling[Payments Count],$M97)))</f>
        <v/>
      </c>
      <c r="M97">
        <f>IF(M96="","",IFERROR(M96+MATCH(CH_CustomerID,INDEX(tblBilling[Customer ID],M96+1):INDEX(tblBilling[Customer ID],ROWS(tblBilling[Customer ID])),0),""))</f>
        <v/>
      </c>
    </row>
    <row r="98">
      <c r="B98" s="64">
        <f>IF($M98="","",IF(INDEX(tblBilling[Month],$M98)="","",INDEX(tblBilling[Month],$M98)))</f>
        <v/>
      </c>
      <c r="C98" s="65">
        <f>IF($M98="","",IF(INDEX(tblBilling[Month Name],$M98)="","",INDEX(tblBilling[Month Name],$M98)))</f>
        <v/>
      </c>
      <c r="D98" s="66">
        <f>IF($M98="","",IF(INDEX(tblBilling[Monthly Fee],$M98)="","",INDEX(tblBilling[Monthly Fee],$M98)))</f>
        <v/>
      </c>
      <c r="E98" s="66">
        <f>IF($M98="","",IF(INDEX(tblBilling[Amount Paid],$M98)="","",INDEX(tblBilling[Amount Paid],$M98)))</f>
        <v/>
      </c>
      <c r="F98" s="67">
        <f>IF($M98="","",IF(INDEX(tblBilling[Last Payment Date],$M98)="","",INDEX(tblBilling[Last Payment Date],$M98)))</f>
        <v/>
      </c>
      <c r="G98" s="66">
        <f>IF($M98="","",IF(INDEX(tblBilling[Balance],$M98)="","",INDEX(tblBilling[Balance],$M98)))</f>
        <v/>
      </c>
      <c r="H98" s="65">
        <f>IF($M98="","",IF(INDEX(tblBilling[Payment Status],$M98)="","",INDEX(tblBilling[Payment Status],$M98)))</f>
        <v/>
      </c>
      <c r="I98" s="65">
        <f>IF($M98="","",IF(INDEX(tblBilling[Collector Name],$M98)="","",INDEX(tblBilling[Collector Name],$M98)))</f>
        <v/>
      </c>
      <c r="J98" s="68">
        <f>IF($M98="","",IF(INDEX(tblBilling[Payments Count],$M98)="","",INDEX(tblBilling[Payments Count],$M98)))</f>
        <v/>
      </c>
      <c r="M98">
        <f>IF(M97="","",IFERROR(M97+MATCH(CH_CustomerID,INDEX(tblBilling[Customer ID],M97+1):INDEX(tblBilling[Customer ID],ROWS(tblBilling[Customer ID])),0),""))</f>
        <v/>
      </c>
    </row>
    <row r="99">
      <c r="B99" s="64">
        <f>IF($M99="","",IF(INDEX(tblBilling[Month],$M99)="","",INDEX(tblBilling[Month],$M99)))</f>
        <v/>
      </c>
      <c r="C99" s="65">
        <f>IF($M99="","",IF(INDEX(tblBilling[Month Name],$M99)="","",INDEX(tblBilling[Month Name],$M99)))</f>
        <v/>
      </c>
      <c r="D99" s="66">
        <f>IF($M99="","",IF(INDEX(tblBilling[Monthly Fee],$M99)="","",INDEX(tblBilling[Monthly Fee],$M99)))</f>
        <v/>
      </c>
      <c r="E99" s="66">
        <f>IF($M99="","",IF(INDEX(tblBilling[Amount Paid],$M99)="","",INDEX(tblBilling[Amount Paid],$M99)))</f>
        <v/>
      </c>
      <c r="F99" s="67">
        <f>IF($M99="","",IF(INDEX(tblBilling[Last Payment Date],$M99)="","",INDEX(tblBilling[Last Payment Date],$M99)))</f>
        <v/>
      </c>
      <c r="G99" s="66">
        <f>IF($M99="","",IF(INDEX(tblBilling[Balance],$M99)="","",INDEX(tblBilling[Balance],$M99)))</f>
        <v/>
      </c>
      <c r="H99" s="65">
        <f>IF($M99="","",IF(INDEX(tblBilling[Payment Status],$M99)="","",INDEX(tblBilling[Payment Status],$M99)))</f>
        <v/>
      </c>
      <c r="I99" s="65">
        <f>IF($M99="","",IF(INDEX(tblBilling[Collector Name],$M99)="","",INDEX(tblBilling[Collector Name],$M99)))</f>
        <v/>
      </c>
      <c r="J99" s="68">
        <f>IF($M99="","",IF(INDEX(tblBilling[Payments Count],$M99)="","",INDEX(tblBilling[Payments Count],$M99)))</f>
        <v/>
      </c>
      <c r="M99">
        <f>IF(M98="","",IFERROR(M98+MATCH(CH_CustomerID,INDEX(tblBilling[Customer ID],M98+1):INDEX(tblBilling[Customer ID],ROWS(tblBilling[Customer ID])),0),""))</f>
        <v/>
      </c>
    </row>
    <row r="100">
      <c r="B100" s="64">
        <f>IF($M100="","",IF(INDEX(tblBilling[Month],$M100)="","",INDEX(tblBilling[Month],$M100)))</f>
        <v/>
      </c>
      <c r="C100" s="65">
        <f>IF($M100="","",IF(INDEX(tblBilling[Month Name],$M100)="","",INDEX(tblBilling[Month Name],$M100)))</f>
        <v/>
      </c>
      <c r="D100" s="66">
        <f>IF($M100="","",IF(INDEX(tblBilling[Monthly Fee],$M100)="","",INDEX(tblBilling[Monthly Fee],$M100)))</f>
        <v/>
      </c>
      <c r="E100" s="66">
        <f>IF($M100="","",IF(INDEX(tblBilling[Amount Paid],$M100)="","",INDEX(tblBilling[Amount Paid],$M100)))</f>
        <v/>
      </c>
      <c r="F100" s="67">
        <f>IF($M100="","",IF(INDEX(tblBilling[Last Payment Date],$M100)="","",INDEX(tblBilling[Last Payment Date],$M100)))</f>
        <v/>
      </c>
      <c r="G100" s="66">
        <f>IF($M100="","",IF(INDEX(tblBilling[Balance],$M100)="","",INDEX(tblBilling[Balance],$M100)))</f>
        <v/>
      </c>
      <c r="H100" s="65">
        <f>IF($M100="","",IF(INDEX(tblBilling[Payment Status],$M100)="","",INDEX(tblBilling[Payment Status],$M100)))</f>
        <v/>
      </c>
      <c r="I100" s="65">
        <f>IF($M100="","",IF(INDEX(tblBilling[Collector Name],$M100)="","",INDEX(tblBilling[Collector Name],$M100)))</f>
        <v/>
      </c>
      <c r="J100" s="68">
        <f>IF($M100="","",IF(INDEX(tblBilling[Payments Count],$M100)="","",INDEX(tblBilling[Payments Count],$M100)))</f>
        <v/>
      </c>
      <c r="M100">
        <f>IF(M99="","",IFERROR(M99+MATCH(CH_CustomerID,INDEX(tblBilling[Customer ID],M99+1):INDEX(tblBilling[Customer ID],ROWS(tblBilling[Customer ID])),0),""))</f>
        <v/>
      </c>
    </row>
    <row r="101">
      <c r="B101" s="64">
        <f>IF($M101="","",IF(INDEX(tblBilling[Month],$M101)="","",INDEX(tblBilling[Month],$M101)))</f>
        <v/>
      </c>
      <c r="C101" s="65">
        <f>IF($M101="","",IF(INDEX(tblBilling[Month Name],$M101)="","",INDEX(tblBilling[Month Name],$M101)))</f>
        <v/>
      </c>
      <c r="D101" s="66">
        <f>IF($M101="","",IF(INDEX(tblBilling[Monthly Fee],$M101)="","",INDEX(tblBilling[Monthly Fee],$M101)))</f>
        <v/>
      </c>
      <c r="E101" s="66">
        <f>IF($M101="","",IF(INDEX(tblBilling[Amount Paid],$M101)="","",INDEX(tblBilling[Amount Paid],$M101)))</f>
        <v/>
      </c>
      <c r="F101" s="67">
        <f>IF($M101="","",IF(INDEX(tblBilling[Last Payment Date],$M101)="","",INDEX(tblBilling[Last Payment Date],$M101)))</f>
        <v/>
      </c>
      <c r="G101" s="66">
        <f>IF($M101="","",IF(INDEX(tblBilling[Balance],$M101)="","",INDEX(tblBilling[Balance],$M101)))</f>
        <v/>
      </c>
      <c r="H101" s="65">
        <f>IF($M101="","",IF(INDEX(tblBilling[Payment Status],$M101)="","",INDEX(tblBilling[Payment Status],$M101)))</f>
        <v/>
      </c>
      <c r="I101" s="65">
        <f>IF($M101="","",IF(INDEX(tblBilling[Collector Name],$M101)="","",INDEX(tblBilling[Collector Name],$M101)))</f>
        <v/>
      </c>
      <c r="J101" s="68">
        <f>IF($M101="","",IF(INDEX(tblBilling[Payments Count],$M101)="","",INDEX(tblBilling[Payments Count],$M101)))</f>
        <v/>
      </c>
      <c r="M101">
        <f>IF(M100="","",IFERROR(M100+MATCH(CH_CustomerID,INDEX(tblBilling[Customer ID],M100+1):INDEX(tblBilling[Customer ID],ROWS(tblBilling[Customer ID])),0),""))</f>
        <v/>
      </c>
    </row>
    <row r="102">
      <c r="B102" s="64">
        <f>IF($M102="","",IF(INDEX(tblBilling[Month],$M102)="","",INDEX(tblBilling[Month],$M102)))</f>
        <v/>
      </c>
      <c r="C102" s="65">
        <f>IF($M102="","",IF(INDEX(tblBilling[Month Name],$M102)="","",INDEX(tblBilling[Month Name],$M102)))</f>
        <v/>
      </c>
      <c r="D102" s="66">
        <f>IF($M102="","",IF(INDEX(tblBilling[Monthly Fee],$M102)="","",INDEX(tblBilling[Monthly Fee],$M102)))</f>
        <v/>
      </c>
      <c r="E102" s="66">
        <f>IF($M102="","",IF(INDEX(tblBilling[Amount Paid],$M102)="","",INDEX(tblBilling[Amount Paid],$M102)))</f>
        <v/>
      </c>
      <c r="F102" s="67">
        <f>IF($M102="","",IF(INDEX(tblBilling[Last Payment Date],$M102)="","",INDEX(tblBilling[Last Payment Date],$M102)))</f>
        <v/>
      </c>
      <c r="G102" s="66">
        <f>IF($M102="","",IF(INDEX(tblBilling[Balance],$M102)="","",INDEX(tblBilling[Balance],$M102)))</f>
        <v/>
      </c>
      <c r="H102" s="65">
        <f>IF($M102="","",IF(INDEX(tblBilling[Payment Status],$M102)="","",INDEX(tblBilling[Payment Status],$M102)))</f>
        <v/>
      </c>
      <c r="I102" s="65">
        <f>IF($M102="","",IF(INDEX(tblBilling[Collector Name],$M102)="","",INDEX(tblBilling[Collector Name],$M102)))</f>
        <v/>
      </c>
      <c r="J102" s="68">
        <f>IF($M102="","",IF(INDEX(tblBilling[Payments Count],$M102)="","",INDEX(tblBilling[Payments Count],$M102)))</f>
        <v/>
      </c>
      <c r="M102">
        <f>IF(M101="","",IFERROR(M101+MATCH(CH_CustomerID,INDEX(tblBilling[Customer ID],M101+1):INDEX(tblBilling[Customer ID],ROWS(tblBilling[Customer ID])),0),""))</f>
        <v/>
      </c>
    </row>
    <row r="103">
      <c r="B103" s="64">
        <f>IF($M103="","",IF(INDEX(tblBilling[Month],$M103)="","",INDEX(tblBilling[Month],$M103)))</f>
        <v/>
      </c>
      <c r="C103" s="65">
        <f>IF($M103="","",IF(INDEX(tblBilling[Month Name],$M103)="","",INDEX(tblBilling[Month Name],$M103)))</f>
        <v/>
      </c>
      <c r="D103" s="66">
        <f>IF($M103="","",IF(INDEX(tblBilling[Monthly Fee],$M103)="","",INDEX(tblBilling[Monthly Fee],$M103)))</f>
        <v/>
      </c>
      <c r="E103" s="66">
        <f>IF($M103="","",IF(INDEX(tblBilling[Amount Paid],$M103)="","",INDEX(tblBilling[Amount Paid],$M103)))</f>
        <v/>
      </c>
      <c r="F103" s="67">
        <f>IF($M103="","",IF(INDEX(tblBilling[Last Payment Date],$M103)="","",INDEX(tblBilling[Last Payment Date],$M103)))</f>
        <v/>
      </c>
      <c r="G103" s="66">
        <f>IF($M103="","",IF(INDEX(tblBilling[Balance],$M103)="","",INDEX(tblBilling[Balance],$M103)))</f>
        <v/>
      </c>
      <c r="H103" s="65">
        <f>IF($M103="","",IF(INDEX(tblBilling[Payment Status],$M103)="","",INDEX(tblBilling[Payment Status],$M103)))</f>
        <v/>
      </c>
      <c r="I103" s="65">
        <f>IF($M103="","",IF(INDEX(tblBilling[Collector Name],$M103)="","",INDEX(tblBilling[Collector Name],$M103)))</f>
        <v/>
      </c>
      <c r="J103" s="68">
        <f>IF($M103="","",IF(INDEX(tblBilling[Payments Count],$M103)="","",INDEX(tblBilling[Payments Count],$M103)))</f>
        <v/>
      </c>
      <c r="M103">
        <f>IF(M102="","",IFERROR(M102+MATCH(CH_CustomerID,INDEX(tblBilling[Customer ID],M102+1):INDEX(tblBilling[Customer ID],ROWS(tblBilling[Customer ID])),0),""))</f>
        <v/>
      </c>
    </row>
    <row r="104">
      <c r="B104" s="64">
        <f>IF($M104="","",IF(INDEX(tblBilling[Month],$M104)="","",INDEX(tblBilling[Month],$M104)))</f>
        <v/>
      </c>
      <c r="C104" s="65">
        <f>IF($M104="","",IF(INDEX(tblBilling[Month Name],$M104)="","",INDEX(tblBilling[Month Name],$M104)))</f>
        <v/>
      </c>
      <c r="D104" s="66">
        <f>IF($M104="","",IF(INDEX(tblBilling[Monthly Fee],$M104)="","",INDEX(tblBilling[Monthly Fee],$M104)))</f>
        <v/>
      </c>
      <c r="E104" s="66">
        <f>IF($M104="","",IF(INDEX(tblBilling[Amount Paid],$M104)="","",INDEX(tblBilling[Amount Paid],$M104)))</f>
        <v/>
      </c>
      <c r="F104" s="67">
        <f>IF($M104="","",IF(INDEX(tblBilling[Last Payment Date],$M104)="","",INDEX(tblBilling[Last Payment Date],$M104)))</f>
        <v/>
      </c>
      <c r="G104" s="66">
        <f>IF($M104="","",IF(INDEX(tblBilling[Balance],$M104)="","",INDEX(tblBilling[Balance],$M104)))</f>
        <v/>
      </c>
      <c r="H104" s="65">
        <f>IF($M104="","",IF(INDEX(tblBilling[Payment Status],$M104)="","",INDEX(tblBilling[Payment Status],$M104)))</f>
        <v/>
      </c>
      <c r="I104" s="65">
        <f>IF($M104="","",IF(INDEX(tblBilling[Collector Name],$M104)="","",INDEX(tblBilling[Collector Name],$M104)))</f>
        <v/>
      </c>
      <c r="J104" s="68">
        <f>IF($M104="","",IF(INDEX(tblBilling[Payments Count],$M104)="","",INDEX(tblBilling[Payments Count],$M104)))</f>
        <v/>
      </c>
      <c r="M104">
        <f>IF(M103="","",IFERROR(M103+MATCH(CH_CustomerID,INDEX(tblBilling[Customer ID],M103+1):INDEX(tblBilling[Customer ID],ROWS(tblBilling[Customer ID])),0),""))</f>
        <v/>
      </c>
    </row>
    <row r="105">
      <c r="B105" s="64">
        <f>IF($M105="","",IF(INDEX(tblBilling[Month],$M105)="","",INDEX(tblBilling[Month],$M105)))</f>
        <v/>
      </c>
      <c r="C105" s="65">
        <f>IF($M105="","",IF(INDEX(tblBilling[Month Name],$M105)="","",INDEX(tblBilling[Month Name],$M105)))</f>
        <v/>
      </c>
      <c r="D105" s="66">
        <f>IF($M105="","",IF(INDEX(tblBilling[Monthly Fee],$M105)="","",INDEX(tblBilling[Monthly Fee],$M105)))</f>
        <v/>
      </c>
      <c r="E105" s="66">
        <f>IF($M105="","",IF(INDEX(tblBilling[Amount Paid],$M105)="","",INDEX(tblBilling[Amount Paid],$M105)))</f>
        <v/>
      </c>
      <c r="F105" s="67">
        <f>IF($M105="","",IF(INDEX(tblBilling[Last Payment Date],$M105)="","",INDEX(tblBilling[Last Payment Date],$M105)))</f>
        <v/>
      </c>
      <c r="G105" s="66">
        <f>IF($M105="","",IF(INDEX(tblBilling[Balance],$M105)="","",INDEX(tblBilling[Balance],$M105)))</f>
        <v/>
      </c>
      <c r="H105" s="65">
        <f>IF($M105="","",IF(INDEX(tblBilling[Payment Status],$M105)="","",INDEX(tblBilling[Payment Status],$M105)))</f>
        <v/>
      </c>
      <c r="I105" s="65">
        <f>IF($M105="","",IF(INDEX(tblBilling[Collector Name],$M105)="","",INDEX(tblBilling[Collector Name],$M105)))</f>
        <v/>
      </c>
      <c r="J105" s="68">
        <f>IF($M105="","",IF(INDEX(tblBilling[Payments Count],$M105)="","",INDEX(tblBilling[Payments Count],$M105)))</f>
        <v/>
      </c>
      <c r="M105">
        <f>IF(M104="","",IFERROR(M104+MATCH(CH_CustomerID,INDEX(tblBilling[Customer ID],M104+1):INDEX(tblBilling[Customer ID],ROWS(tblBilling[Customer ID])),0),""))</f>
        <v/>
      </c>
    </row>
    <row r="106">
      <c r="B106" s="64">
        <f>IF($M106="","",IF(INDEX(tblBilling[Month],$M106)="","",INDEX(tblBilling[Month],$M106)))</f>
        <v/>
      </c>
      <c r="C106" s="65">
        <f>IF($M106="","",IF(INDEX(tblBilling[Month Name],$M106)="","",INDEX(tblBilling[Month Name],$M106)))</f>
        <v/>
      </c>
      <c r="D106" s="66">
        <f>IF($M106="","",IF(INDEX(tblBilling[Monthly Fee],$M106)="","",INDEX(tblBilling[Monthly Fee],$M106)))</f>
        <v/>
      </c>
      <c r="E106" s="66">
        <f>IF($M106="","",IF(INDEX(tblBilling[Amount Paid],$M106)="","",INDEX(tblBilling[Amount Paid],$M106)))</f>
        <v/>
      </c>
      <c r="F106" s="67">
        <f>IF($M106="","",IF(INDEX(tblBilling[Last Payment Date],$M106)="","",INDEX(tblBilling[Last Payment Date],$M106)))</f>
        <v/>
      </c>
      <c r="G106" s="66">
        <f>IF($M106="","",IF(INDEX(tblBilling[Balance],$M106)="","",INDEX(tblBilling[Balance],$M106)))</f>
        <v/>
      </c>
      <c r="H106" s="65">
        <f>IF($M106="","",IF(INDEX(tblBilling[Payment Status],$M106)="","",INDEX(tblBilling[Payment Status],$M106)))</f>
        <v/>
      </c>
      <c r="I106" s="65">
        <f>IF($M106="","",IF(INDEX(tblBilling[Collector Name],$M106)="","",INDEX(tblBilling[Collector Name],$M106)))</f>
        <v/>
      </c>
      <c r="J106" s="68">
        <f>IF($M106="","",IF(INDEX(tblBilling[Payments Count],$M106)="","",INDEX(tblBilling[Payments Count],$M106)))</f>
        <v/>
      </c>
      <c r="M106">
        <f>IF(M105="","",IFERROR(M105+MATCH(CH_CustomerID,INDEX(tblBilling[Customer ID],M105+1):INDEX(tblBilling[Customer ID],ROWS(tblBilling[Customer ID])),0),""))</f>
        <v/>
      </c>
    </row>
    <row r="107">
      <c r="B107" s="64">
        <f>IF($M107="","",IF(INDEX(tblBilling[Month],$M107)="","",INDEX(tblBilling[Month],$M107)))</f>
        <v/>
      </c>
      <c r="C107" s="65">
        <f>IF($M107="","",IF(INDEX(tblBilling[Month Name],$M107)="","",INDEX(tblBilling[Month Name],$M107)))</f>
        <v/>
      </c>
      <c r="D107" s="66">
        <f>IF($M107="","",IF(INDEX(tblBilling[Monthly Fee],$M107)="","",INDEX(tblBilling[Monthly Fee],$M107)))</f>
        <v/>
      </c>
      <c r="E107" s="66">
        <f>IF($M107="","",IF(INDEX(tblBilling[Amount Paid],$M107)="","",INDEX(tblBilling[Amount Paid],$M107)))</f>
        <v/>
      </c>
      <c r="F107" s="67">
        <f>IF($M107="","",IF(INDEX(tblBilling[Last Payment Date],$M107)="","",INDEX(tblBilling[Last Payment Date],$M107)))</f>
        <v/>
      </c>
      <c r="G107" s="66">
        <f>IF($M107="","",IF(INDEX(tblBilling[Balance],$M107)="","",INDEX(tblBilling[Balance],$M107)))</f>
        <v/>
      </c>
      <c r="H107" s="65">
        <f>IF($M107="","",IF(INDEX(tblBilling[Payment Status],$M107)="","",INDEX(tblBilling[Payment Status],$M107)))</f>
        <v/>
      </c>
      <c r="I107" s="65">
        <f>IF($M107="","",IF(INDEX(tblBilling[Collector Name],$M107)="","",INDEX(tblBilling[Collector Name],$M107)))</f>
        <v/>
      </c>
      <c r="J107" s="68">
        <f>IF($M107="","",IF(INDEX(tblBilling[Payments Count],$M107)="","",INDEX(tblBilling[Payments Count],$M107)))</f>
        <v/>
      </c>
      <c r="M107">
        <f>IF(M106="","",IFERROR(M106+MATCH(CH_CustomerID,INDEX(tblBilling[Customer ID],M106+1):INDEX(tblBilling[Customer ID],ROWS(tblBilling[Customer ID])),0),""))</f>
        <v/>
      </c>
    </row>
    <row r="108">
      <c r="B108" s="64">
        <f>IF($M108="","",IF(INDEX(tblBilling[Month],$M108)="","",INDEX(tblBilling[Month],$M108)))</f>
        <v/>
      </c>
      <c r="C108" s="65">
        <f>IF($M108="","",IF(INDEX(tblBilling[Month Name],$M108)="","",INDEX(tblBilling[Month Name],$M108)))</f>
        <v/>
      </c>
      <c r="D108" s="66">
        <f>IF($M108="","",IF(INDEX(tblBilling[Monthly Fee],$M108)="","",INDEX(tblBilling[Monthly Fee],$M108)))</f>
        <v/>
      </c>
      <c r="E108" s="66">
        <f>IF($M108="","",IF(INDEX(tblBilling[Amount Paid],$M108)="","",INDEX(tblBilling[Amount Paid],$M108)))</f>
        <v/>
      </c>
      <c r="F108" s="67">
        <f>IF($M108="","",IF(INDEX(tblBilling[Last Payment Date],$M108)="","",INDEX(tblBilling[Last Payment Date],$M108)))</f>
        <v/>
      </c>
      <c r="G108" s="66">
        <f>IF($M108="","",IF(INDEX(tblBilling[Balance],$M108)="","",INDEX(tblBilling[Balance],$M108)))</f>
        <v/>
      </c>
      <c r="H108" s="65">
        <f>IF($M108="","",IF(INDEX(tblBilling[Payment Status],$M108)="","",INDEX(tblBilling[Payment Status],$M108)))</f>
        <v/>
      </c>
      <c r="I108" s="65">
        <f>IF($M108="","",IF(INDEX(tblBilling[Collector Name],$M108)="","",INDEX(tblBilling[Collector Name],$M108)))</f>
        <v/>
      </c>
      <c r="J108" s="68">
        <f>IF($M108="","",IF(INDEX(tblBilling[Payments Count],$M108)="","",INDEX(tblBilling[Payments Count],$M108)))</f>
        <v/>
      </c>
      <c r="M108">
        <f>IF(M107="","",IFERROR(M107+MATCH(CH_CustomerID,INDEX(tblBilling[Customer ID],M107+1):INDEX(tblBilling[Customer ID],ROWS(tblBilling[Customer ID])),0),""))</f>
        <v/>
      </c>
    </row>
    <row r="109">
      <c r="B109" s="64">
        <f>IF($M109="","",IF(INDEX(tblBilling[Month],$M109)="","",INDEX(tblBilling[Month],$M109)))</f>
        <v/>
      </c>
      <c r="C109" s="65">
        <f>IF($M109="","",IF(INDEX(tblBilling[Month Name],$M109)="","",INDEX(tblBilling[Month Name],$M109)))</f>
        <v/>
      </c>
      <c r="D109" s="66">
        <f>IF($M109="","",IF(INDEX(tblBilling[Monthly Fee],$M109)="","",INDEX(tblBilling[Monthly Fee],$M109)))</f>
        <v/>
      </c>
      <c r="E109" s="66">
        <f>IF($M109="","",IF(INDEX(tblBilling[Amount Paid],$M109)="","",INDEX(tblBilling[Amount Paid],$M109)))</f>
        <v/>
      </c>
      <c r="F109" s="67">
        <f>IF($M109="","",IF(INDEX(tblBilling[Last Payment Date],$M109)="","",INDEX(tblBilling[Last Payment Date],$M109)))</f>
        <v/>
      </c>
      <c r="G109" s="66">
        <f>IF($M109="","",IF(INDEX(tblBilling[Balance],$M109)="","",INDEX(tblBilling[Balance],$M109)))</f>
        <v/>
      </c>
      <c r="H109" s="65">
        <f>IF($M109="","",IF(INDEX(tblBilling[Payment Status],$M109)="","",INDEX(tblBilling[Payment Status],$M109)))</f>
        <v/>
      </c>
      <c r="I109" s="65">
        <f>IF($M109="","",IF(INDEX(tblBilling[Collector Name],$M109)="","",INDEX(tblBilling[Collector Name],$M109)))</f>
        <v/>
      </c>
      <c r="J109" s="68">
        <f>IF($M109="","",IF(INDEX(tblBilling[Payments Count],$M109)="","",INDEX(tblBilling[Payments Count],$M109)))</f>
        <v/>
      </c>
      <c r="M109">
        <f>IF(M108="","",IFERROR(M108+MATCH(CH_CustomerID,INDEX(tblBilling[Customer ID],M108+1):INDEX(tblBilling[Customer ID],ROWS(tblBilling[Customer ID])),0),""))</f>
        <v/>
      </c>
    </row>
    <row r="110">
      <c r="B110" s="64">
        <f>IF($M110="","",IF(INDEX(tblBilling[Month],$M110)="","",INDEX(tblBilling[Month],$M110)))</f>
        <v/>
      </c>
      <c r="C110" s="65">
        <f>IF($M110="","",IF(INDEX(tblBilling[Month Name],$M110)="","",INDEX(tblBilling[Month Name],$M110)))</f>
        <v/>
      </c>
      <c r="D110" s="66">
        <f>IF($M110="","",IF(INDEX(tblBilling[Monthly Fee],$M110)="","",INDEX(tblBilling[Monthly Fee],$M110)))</f>
        <v/>
      </c>
      <c r="E110" s="66">
        <f>IF($M110="","",IF(INDEX(tblBilling[Amount Paid],$M110)="","",INDEX(tblBilling[Amount Paid],$M110)))</f>
        <v/>
      </c>
      <c r="F110" s="67">
        <f>IF($M110="","",IF(INDEX(tblBilling[Last Payment Date],$M110)="","",INDEX(tblBilling[Last Payment Date],$M110)))</f>
        <v/>
      </c>
      <c r="G110" s="66">
        <f>IF($M110="","",IF(INDEX(tblBilling[Balance],$M110)="","",INDEX(tblBilling[Balance],$M110)))</f>
        <v/>
      </c>
      <c r="H110" s="65">
        <f>IF($M110="","",IF(INDEX(tblBilling[Payment Status],$M110)="","",INDEX(tblBilling[Payment Status],$M110)))</f>
        <v/>
      </c>
      <c r="I110" s="65">
        <f>IF($M110="","",IF(INDEX(tblBilling[Collector Name],$M110)="","",INDEX(tblBilling[Collector Name],$M110)))</f>
        <v/>
      </c>
      <c r="J110" s="68">
        <f>IF($M110="","",IF(INDEX(tblBilling[Payments Count],$M110)="","",INDEX(tblBilling[Payments Count],$M110)))</f>
        <v/>
      </c>
      <c r="M110">
        <f>IF(M109="","",IFERROR(M109+MATCH(CH_CustomerID,INDEX(tblBilling[Customer ID],M109+1):INDEX(tblBilling[Customer ID],ROWS(tblBilling[Customer ID])),0),""))</f>
        <v/>
      </c>
    </row>
    <row r="111">
      <c r="B111" s="64">
        <f>IF($M111="","",IF(INDEX(tblBilling[Month],$M111)="","",INDEX(tblBilling[Month],$M111)))</f>
        <v/>
      </c>
      <c r="C111" s="65">
        <f>IF($M111="","",IF(INDEX(tblBilling[Month Name],$M111)="","",INDEX(tblBilling[Month Name],$M111)))</f>
        <v/>
      </c>
      <c r="D111" s="66">
        <f>IF($M111="","",IF(INDEX(tblBilling[Monthly Fee],$M111)="","",INDEX(tblBilling[Monthly Fee],$M111)))</f>
        <v/>
      </c>
      <c r="E111" s="66">
        <f>IF($M111="","",IF(INDEX(tblBilling[Amount Paid],$M111)="","",INDEX(tblBilling[Amount Paid],$M111)))</f>
        <v/>
      </c>
      <c r="F111" s="67">
        <f>IF($M111="","",IF(INDEX(tblBilling[Last Payment Date],$M111)="","",INDEX(tblBilling[Last Payment Date],$M111)))</f>
        <v/>
      </c>
      <c r="G111" s="66">
        <f>IF($M111="","",IF(INDEX(tblBilling[Balance],$M111)="","",INDEX(tblBilling[Balance],$M111)))</f>
        <v/>
      </c>
      <c r="H111" s="65">
        <f>IF($M111="","",IF(INDEX(tblBilling[Payment Status],$M111)="","",INDEX(tblBilling[Payment Status],$M111)))</f>
        <v/>
      </c>
      <c r="I111" s="65">
        <f>IF($M111="","",IF(INDEX(tblBilling[Collector Name],$M111)="","",INDEX(tblBilling[Collector Name],$M111)))</f>
        <v/>
      </c>
      <c r="J111" s="68">
        <f>IF($M111="","",IF(INDEX(tblBilling[Payments Count],$M111)="","",INDEX(tblBilling[Payments Count],$M111)))</f>
        <v/>
      </c>
      <c r="M111">
        <f>IF(M110="","",IFERROR(M110+MATCH(CH_CustomerID,INDEX(tblBilling[Customer ID],M110+1):INDEX(tblBilling[Customer ID],ROWS(tblBilling[Customer ID])),0),""))</f>
        <v/>
      </c>
    </row>
    <row r="112">
      <c r="B112" s="64">
        <f>IF($M112="","",IF(INDEX(tblBilling[Month],$M112)="","",INDEX(tblBilling[Month],$M112)))</f>
        <v/>
      </c>
      <c r="C112" s="65">
        <f>IF($M112="","",IF(INDEX(tblBilling[Month Name],$M112)="","",INDEX(tblBilling[Month Name],$M112)))</f>
        <v/>
      </c>
      <c r="D112" s="66">
        <f>IF($M112="","",IF(INDEX(tblBilling[Monthly Fee],$M112)="","",INDEX(tblBilling[Monthly Fee],$M112)))</f>
        <v/>
      </c>
      <c r="E112" s="66">
        <f>IF($M112="","",IF(INDEX(tblBilling[Amount Paid],$M112)="","",INDEX(tblBilling[Amount Paid],$M112)))</f>
        <v/>
      </c>
      <c r="F112" s="67">
        <f>IF($M112="","",IF(INDEX(tblBilling[Last Payment Date],$M112)="","",INDEX(tblBilling[Last Payment Date],$M112)))</f>
        <v/>
      </c>
      <c r="G112" s="66">
        <f>IF($M112="","",IF(INDEX(tblBilling[Balance],$M112)="","",INDEX(tblBilling[Balance],$M112)))</f>
        <v/>
      </c>
      <c r="H112" s="65">
        <f>IF($M112="","",IF(INDEX(tblBilling[Payment Status],$M112)="","",INDEX(tblBilling[Payment Status],$M112)))</f>
        <v/>
      </c>
      <c r="I112" s="65">
        <f>IF($M112="","",IF(INDEX(tblBilling[Collector Name],$M112)="","",INDEX(tblBilling[Collector Name],$M112)))</f>
        <v/>
      </c>
      <c r="J112" s="68">
        <f>IF($M112="","",IF(INDEX(tblBilling[Payments Count],$M112)="","",INDEX(tblBilling[Payments Count],$M112)))</f>
        <v/>
      </c>
      <c r="M112">
        <f>IF(M111="","",IFERROR(M111+MATCH(CH_CustomerID,INDEX(tblBilling[Customer ID],M111+1):INDEX(tblBilling[Customer ID],ROWS(tblBilling[Customer ID])),0),""))</f>
        <v/>
      </c>
    </row>
    <row r="113">
      <c r="B113" s="64">
        <f>IF($M113="","",IF(INDEX(tblBilling[Month],$M113)="","",INDEX(tblBilling[Month],$M113)))</f>
        <v/>
      </c>
      <c r="C113" s="65">
        <f>IF($M113="","",IF(INDEX(tblBilling[Month Name],$M113)="","",INDEX(tblBilling[Month Name],$M113)))</f>
        <v/>
      </c>
      <c r="D113" s="66">
        <f>IF($M113="","",IF(INDEX(tblBilling[Monthly Fee],$M113)="","",INDEX(tblBilling[Monthly Fee],$M113)))</f>
        <v/>
      </c>
      <c r="E113" s="66">
        <f>IF($M113="","",IF(INDEX(tblBilling[Amount Paid],$M113)="","",INDEX(tblBilling[Amount Paid],$M113)))</f>
        <v/>
      </c>
      <c r="F113" s="67">
        <f>IF($M113="","",IF(INDEX(tblBilling[Last Payment Date],$M113)="","",INDEX(tblBilling[Last Payment Date],$M113)))</f>
        <v/>
      </c>
      <c r="G113" s="66">
        <f>IF($M113="","",IF(INDEX(tblBilling[Balance],$M113)="","",INDEX(tblBilling[Balance],$M113)))</f>
        <v/>
      </c>
      <c r="H113" s="65">
        <f>IF($M113="","",IF(INDEX(tblBilling[Payment Status],$M113)="","",INDEX(tblBilling[Payment Status],$M113)))</f>
        <v/>
      </c>
      <c r="I113" s="65">
        <f>IF($M113="","",IF(INDEX(tblBilling[Collector Name],$M113)="","",INDEX(tblBilling[Collector Name],$M113)))</f>
        <v/>
      </c>
      <c r="J113" s="68">
        <f>IF($M113="","",IF(INDEX(tblBilling[Payments Count],$M113)="","",INDEX(tblBilling[Payments Count],$M113)))</f>
        <v/>
      </c>
      <c r="M113">
        <f>IF(M112="","",IFERROR(M112+MATCH(CH_CustomerID,INDEX(tblBilling[Customer ID],M112+1):INDEX(tblBilling[Customer ID],ROWS(tblBilling[Customer ID])),0),""))</f>
        <v/>
      </c>
    </row>
    <row r="114">
      <c r="B114" s="64">
        <f>IF($M114="","",IF(INDEX(tblBilling[Month],$M114)="","",INDEX(tblBilling[Month],$M114)))</f>
        <v/>
      </c>
      <c r="C114" s="65">
        <f>IF($M114="","",IF(INDEX(tblBilling[Month Name],$M114)="","",INDEX(tblBilling[Month Name],$M114)))</f>
        <v/>
      </c>
      <c r="D114" s="66">
        <f>IF($M114="","",IF(INDEX(tblBilling[Monthly Fee],$M114)="","",INDEX(tblBilling[Monthly Fee],$M114)))</f>
        <v/>
      </c>
      <c r="E114" s="66">
        <f>IF($M114="","",IF(INDEX(tblBilling[Amount Paid],$M114)="","",INDEX(tblBilling[Amount Paid],$M114)))</f>
        <v/>
      </c>
      <c r="F114" s="67">
        <f>IF($M114="","",IF(INDEX(tblBilling[Last Payment Date],$M114)="","",INDEX(tblBilling[Last Payment Date],$M114)))</f>
        <v/>
      </c>
      <c r="G114" s="66">
        <f>IF($M114="","",IF(INDEX(tblBilling[Balance],$M114)="","",INDEX(tblBilling[Balance],$M114)))</f>
        <v/>
      </c>
      <c r="H114" s="65">
        <f>IF($M114="","",IF(INDEX(tblBilling[Payment Status],$M114)="","",INDEX(tblBilling[Payment Status],$M114)))</f>
        <v/>
      </c>
      <c r="I114" s="65">
        <f>IF($M114="","",IF(INDEX(tblBilling[Collector Name],$M114)="","",INDEX(tblBilling[Collector Name],$M114)))</f>
        <v/>
      </c>
      <c r="J114" s="68">
        <f>IF($M114="","",IF(INDEX(tblBilling[Payments Count],$M114)="","",INDEX(tblBilling[Payments Count],$M114)))</f>
        <v/>
      </c>
      <c r="M114">
        <f>IF(M113="","",IFERROR(M113+MATCH(CH_CustomerID,INDEX(tblBilling[Customer ID],M113+1):INDEX(tblBilling[Customer ID],ROWS(tblBilling[Customer ID])),0),""))</f>
        <v/>
      </c>
    </row>
    <row r="115">
      <c r="B115" s="64">
        <f>IF($M115="","",IF(INDEX(tblBilling[Month],$M115)="","",INDEX(tblBilling[Month],$M115)))</f>
        <v/>
      </c>
      <c r="C115" s="65">
        <f>IF($M115="","",IF(INDEX(tblBilling[Month Name],$M115)="","",INDEX(tblBilling[Month Name],$M115)))</f>
        <v/>
      </c>
      <c r="D115" s="66">
        <f>IF($M115="","",IF(INDEX(tblBilling[Monthly Fee],$M115)="","",INDEX(tblBilling[Monthly Fee],$M115)))</f>
        <v/>
      </c>
      <c r="E115" s="66">
        <f>IF($M115="","",IF(INDEX(tblBilling[Amount Paid],$M115)="","",INDEX(tblBilling[Amount Paid],$M115)))</f>
        <v/>
      </c>
      <c r="F115" s="67">
        <f>IF($M115="","",IF(INDEX(tblBilling[Last Payment Date],$M115)="","",INDEX(tblBilling[Last Payment Date],$M115)))</f>
        <v/>
      </c>
      <c r="G115" s="66">
        <f>IF($M115="","",IF(INDEX(tblBilling[Balance],$M115)="","",INDEX(tblBilling[Balance],$M115)))</f>
        <v/>
      </c>
      <c r="H115" s="65">
        <f>IF($M115="","",IF(INDEX(tblBilling[Payment Status],$M115)="","",INDEX(tblBilling[Payment Status],$M115)))</f>
        <v/>
      </c>
      <c r="I115" s="65">
        <f>IF($M115="","",IF(INDEX(tblBilling[Collector Name],$M115)="","",INDEX(tblBilling[Collector Name],$M115)))</f>
        <v/>
      </c>
      <c r="J115" s="68">
        <f>IF($M115="","",IF(INDEX(tblBilling[Payments Count],$M115)="","",INDEX(tblBilling[Payments Count],$M115)))</f>
        <v/>
      </c>
      <c r="M115">
        <f>IF(M114="","",IFERROR(M114+MATCH(CH_CustomerID,INDEX(tblBilling[Customer ID],M114+1):INDEX(tblBilling[Customer ID],ROWS(tblBilling[Customer ID])),0),""))</f>
        <v/>
      </c>
    </row>
    <row r="116">
      <c r="B116" s="64">
        <f>IF($M116="","",IF(INDEX(tblBilling[Month],$M116)="","",INDEX(tblBilling[Month],$M116)))</f>
        <v/>
      </c>
      <c r="C116" s="65">
        <f>IF($M116="","",IF(INDEX(tblBilling[Month Name],$M116)="","",INDEX(tblBilling[Month Name],$M116)))</f>
        <v/>
      </c>
      <c r="D116" s="66">
        <f>IF($M116="","",IF(INDEX(tblBilling[Monthly Fee],$M116)="","",INDEX(tblBilling[Monthly Fee],$M116)))</f>
        <v/>
      </c>
      <c r="E116" s="66">
        <f>IF($M116="","",IF(INDEX(tblBilling[Amount Paid],$M116)="","",INDEX(tblBilling[Amount Paid],$M116)))</f>
        <v/>
      </c>
      <c r="F116" s="67">
        <f>IF($M116="","",IF(INDEX(tblBilling[Last Payment Date],$M116)="","",INDEX(tblBilling[Last Payment Date],$M116)))</f>
        <v/>
      </c>
      <c r="G116" s="66">
        <f>IF($M116="","",IF(INDEX(tblBilling[Balance],$M116)="","",INDEX(tblBilling[Balance],$M116)))</f>
        <v/>
      </c>
      <c r="H116" s="65">
        <f>IF($M116="","",IF(INDEX(tblBilling[Payment Status],$M116)="","",INDEX(tblBilling[Payment Status],$M116)))</f>
        <v/>
      </c>
      <c r="I116" s="65">
        <f>IF($M116="","",IF(INDEX(tblBilling[Collector Name],$M116)="","",INDEX(tblBilling[Collector Name],$M116)))</f>
        <v/>
      </c>
      <c r="J116" s="68">
        <f>IF($M116="","",IF(INDEX(tblBilling[Payments Count],$M116)="","",INDEX(tblBilling[Payments Count],$M116)))</f>
        <v/>
      </c>
      <c r="M116">
        <f>IF(M115="","",IFERROR(M115+MATCH(CH_CustomerID,INDEX(tblBilling[Customer ID],M115+1):INDEX(tblBilling[Customer ID],ROWS(tblBilling[Customer ID])),0),""))</f>
        <v/>
      </c>
    </row>
    <row r="117">
      <c r="B117" s="64">
        <f>IF($M117="","",IF(INDEX(tblBilling[Month],$M117)="","",INDEX(tblBilling[Month],$M117)))</f>
        <v/>
      </c>
      <c r="C117" s="65">
        <f>IF($M117="","",IF(INDEX(tblBilling[Month Name],$M117)="","",INDEX(tblBilling[Month Name],$M117)))</f>
        <v/>
      </c>
      <c r="D117" s="66">
        <f>IF($M117="","",IF(INDEX(tblBilling[Monthly Fee],$M117)="","",INDEX(tblBilling[Monthly Fee],$M117)))</f>
        <v/>
      </c>
      <c r="E117" s="66">
        <f>IF($M117="","",IF(INDEX(tblBilling[Amount Paid],$M117)="","",INDEX(tblBilling[Amount Paid],$M117)))</f>
        <v/>
      </c>
      <c r="F117" s="67">
        <f>IF($M117="","",IF(INDEX(tblBilling[Last Payment Date],$M117)="","",INDEX(tblBilling[Last Payment Date],$M117)))</f>
        <v/>
      </c>
      <c r="G117" s="66">
        <f>IF($M117="","",IF(INDEX(tblBilling[Balance],$M117)="","",INDEX(tblBilling[Balance],$M117)))</f>
        <v/>
      </c>
      <c r="H117" s="65">
        <f>IF($M117="","",IF(INDEX(tblBilling[Payment Status],$M117)="","",INDEX(tblBilling[Payment Status],$M117)))</f>
        <v/>
      </c>
      <c r="I117" s="65">
        <f>IF($M117="","",IF(INDEX(tblBilling[Collector Name],$M117)="","",INDEX(tblBilling[Collector Name],$M117)))</f>
        <v/>
      </c>
      <c r="J117" s="68">
        <f>IF($M117="","",IF(INDEX(tblBilling[Payments Count],$M117)="","",INDEX(tblBilling[Payments Count],$M117)))</f>
        <v/>
      </c>
      <c r="M117">
        <f>IF(M116="","",IFERROR(M116+MATCH(CH_CustomerID,INDEX(tblBilling[Customer ID],M116+1):INDEX(tblBilling[Customer ID],ROWS(tblBilling[Customer ID])),0),""))</f>
        <v/>
      </c>
    </row>
    <row r="118">
      <c r="B118" s="64">
        <f>IF($M118="","",IF(INDEX(tblBilling[Month],$M118)="","",INDEX(tblBilling[Month],$M118)))</f>
        <v/>
      </c>
      <c r="C118" s="65">
        <f>IF($M118="","",IF(INDEX(tblBilling[Month Name],$M118)="","",INDEX(tblBilling[Month Name],$M118)))</f>
        <v/>
      </c>
      <c r="D118" s="66">
        <f>IF($M118="","",IF(INDEX(tblBilling[Monthly Fee],$M118)="","",INDEX(tblBilling[Monthly Fee],$M118)))</f>
        <v/>
      </c>
      <c r="E118" s="66">
        <f>IF($M118="","",IF(INDEX(tblBilling[Amount Paid],$M118)="","",INDEX(tblBilling[Amount Paid],$M118)))</f>
        <v/>
      </c>
      <c r="F118" s="67">
        <f>IF($M118="","",IF(INDEX(tblBilling[Last Payment Date],$M118)="","",INDEX(tblBilling[Last Payment Date],$M118)))</f>
        <v/>
      </c>
      <c r="G118" s="66">
        <f>IF($M118="","",IF(INDEX(tblBilling[Balance],$M118)="","",INDEX(tblBilling[Balance],$M118)))</f>
        <v/>
      </c>
      <c r="H118" s="65">
        <f>IF($M118="","",IF(INDEX(tblBilling[Payment Status],$M118)="","",INDEX(tblBilling[Payment Status],$M118)))</f>
        <v/>
      </c>
      <c r="I118" s="65">
        <f>IF($M118="","",IF(INDEX(tblBilling[Collector Name],$M118)="","",INDEX(tblBilling[Collector Name],$M118)))</f>
        <v/>
      </c>
      <c r="J118" s="68">
        <f>IF($M118="","",IF(INDEX(tblBilling[Payments Count],$M118)="","",INDEX(tblBilling[Payments Count],$M118)))</f>
        <v/>
      </c>
      <c r="M118">
        <f>IF(M117="","",IFERROR(M117+MATCH(CH_CustomerID,INDEX(tblBilling[Customer ID],M117+1):INDEX(tblBilling[Customer ID],ROWS(tblBilling[Customer ID])),0),""))</f>
        <v/>
      </c>
    </row>
    <row r="119">
      <c r="B119" s="64">
        <f>IF($M119="","",IF(INDEX(tblBilling[Month],$M119)="","",INDEX(tblBilling[Month],$M119)))</f>
        <v/>
      </c>
      <c r="C119" s="65">
        <f>IF($M119="","",IF(INDEX(tblBilling[Month Name],$M119)="","",INDEX(tblBilling[Month Name],$M119)))</f>
        <v/>
      </c>
      <c r="D119" s="66">
        <f>IF($M119="","",IF(INDEX(tblBilling[Monthly Fee],$M119)="","",INDEX(tblBilling[Monthly Fee],$M119)))</f>
        <v/>
      </c>
      <c r="E119" s="66">
        <f>IF($M119="","",IF(INDEX(tblBilling[Amount Paid],$M119)="","",INDEX(tblBilling[Amount Paid],$M119)))</f>
        <v/>
      </c>
      <c r="F119" s="67">
        <f>IF($M119="","",IF(INDEX(tblBilling[Last Payment Date],$M119)="","",INDEX(tblBilling[Last Payment Date],$M119)))</f>
        <v/>
      </c>
      <c r="G119" s="66">
        <f>IF($M119="","",IF(INDEX(tblBilling[Balance],$M119)="","",INDEX(tblBilling[Balance],$M119)))</f>
        <v/>
      </c>
      <c r="H119" s="65">
        <f>IF($M119="","",IF(INDEX(tblBilling[Payment Status],$M119)="","",INDEX(tblBilling[Payment Status],$M119)))</f>
        <v/>
      </c>
      <c r="I119" s="65">
        <f>IF($M119="","",IF(INDEX(tblBilling[Collector Name],$M119)="","",INDEX(tblBilling[Collector Name],$M119)))</f>
        <v/>
      </c>
      <c r="J119" s="68">
        <f>IF($M119="","",IF(INDEX(tblBilling[Payments Count],$M119)="","",INDEX(tblBilling[Payments Count],$M119)))</f>
        <v/>
      </c>
      <c r="M119">
        <f>IF(M118="","",IFERROR(M118+MATCH(CH_CustomerID,INDEX(tblBilling[Customer ID],M118+1):INDEX(tblBilling[Customer ID],ROWS(tblBilling[Customer ID])),0),""))</f>
        <v/>
      </c>
    </row>
    <row r="120">
      <c r="B120" s="64">
        <f>IF($M120="","",IF(INDEX(tblBilling[Month],$M120)="","",INDEX(tblBilling[Month],$M120)))</f>
        <v/>
      </c>
      <c r="C120" s="65">
        <f>IF($M120="","",IF(INDEX(tblBilling[Month Name],$M120)="","",INDEX(tblBilling[Month Name],$M120)))</f>
        <v/>
      </c>
      <c r="D120" s="66">
        <f>IF($M120="","",IF(INDEX(tblBilling[Monthly Fee],$M120)="","",INDEX(tblBilling[Monthly Fee],$M120)))</f>
        <v/>
      </c>
      <c r="E120" s="66">
        <f>IF($M120="","",IF(INDEX(tblBilling[Amount Paid],$M120)="","",INDEX(tblBilling[Amount Paid],$M120)))</f>
        <v/>
      </c>
      <c r="F120" s="67">
        <f>IF($M120="","",IF(INDEX(tblBilling[Last Payment Date],$M120)="","",INDEX(tblBilling[Last Payment Date],$M120)))</f>
        <v/>
      </c>
      <c r="G120" s="66">
        <f>IF($M120="","",IF(INDEX(tblBilling[Balance],$M120)="","",INDEX(tblBilling[Balance],$M120)))</f>
        <v/>
      </c>
      <c r="H120" s="65">
        <f>IF($M120="","",IF(INDEX(tblBilling[Payment Status],$M120)="","",INDEX(tblBilling[Payment Status],$M120)))</f>
        <v/>
      </c>
      <c r="I120" s="65">
        <f>IF($M120="","",IF(INDEX(tblBilling[Collector Name],$M120)="","",INDEX(tblBilling[Collector Name],$M120)))</f>
        <v/>
      </c>
      <c r="J120" s="68">
        <f>IF($M120="","",IF(INDEX(tblBilling[Payments Count],$M120)="","",INDEX(tblBilling[Payments Count],$M120)))</f>
        <v/>
      </c>
      <c r="M120">
        <f>IF(M119="","",IFERROR(M119+MATCH(CH_CustomerID,INDEX(tblBilling[Customer ID],M119+1):INDEX(tblBilling[Customer ID],ROWS(tblBilling[Customer ID])),0),""))</f>
        <v/>
      </c>
    </row>
    <row r="121">
      <c r="B121" s="64">
        <f>IF($M121="","",IF(INDEX(tblBilling[Month],$M121)="","",INDEX(tblBilling[Month],$M121)))</f>
        <v/>
      </c>
      <c r="C121" s="65">
        <f>IF($M121="","",IF(INDEX(tblBilling[Month Name],$M121)="","",INDEX(tblBilling[Month Name],$M121)))</f>
        <v/>
      </c>
      <c r="D121" s="66">
        <f>IF($M121="","",IF(INDEX(tblBilling[Monthly Fee],$M121)="","",INDEX(tblBilling[Monthly Fee],$M121)))</f>
        <v/>
      </c>
      <c r="E121" s="66">
        <f>IF($M121="","",IF(INDEX(tblBilling[Amount Paid],$M121)="","",INDEX(tblBilling[Amount Paid],$M121)))</f>
        <v/>
      </c>
      <c r="F121" s="67">
        <f>IF($M121="","",IF(INDEX(tblBilling[Last Payment Date],$M121)="","",INDEX(tblBilling[Last Payment Date],$M121)))</f>
        <v/>
      </c>
      <c r="G121" s="66">
        <f>IF($M121="","",IF(INDEX(tblBilling[Balance],$M121)="","",INDEX(tblBilling[Balance],$M121)))</f>
        <v/>
      </c>
      <c r="H121" s="65">
        <f>IF($M121="","",IF(INDEX(tblBilling[Payment Status],$M121)="","",INDEX(tblBilling[Payment Status],$M121)))</f>
        <v/>
      </c>
      <c r="I121" s="65">
        <f>IF($M121="","",IF(INDEX(tblBilling[Collector Name],$M121)="","",INDEX(tblBilling[Collector Name],$M121)))</f>
        <v/>
      </c>
      <c r="J121" s="68">
        <f>IF($M121="","",IF(INDEX(tblBilling[Payments Count],$M121)="","",INDEX(tblBilling[Payments Count],$M121)))</f>
        <v/>
      </c>
      <c r="M121">
        <f>IF(M120="","",IFERROR(M120+MATCH(CH_CustomerID,INDEX(tblBilling[Customer ID],M120+1):INDEX(tblBilling[Customer ID],ROWS(tblBilling[Customer ID])),0),""))</f>
        <v/>
      </c>
    </row>
    <row r="122">
      <c r="B122" s="64">
        <f>IF($M122="","",IF(INDEX(tblBilling[Month],$M122)="","",INDEX(tblBilling[Month],$M122)))</f>
        <v/>
      </c>
      <c r="C122" s="65">
        <f>IF($M122="","",IF(INDEX(tblBilling[Month Name],$M122)="","",INDEX(tblBilling[Month Name],$M122)))</f>
        <v/>
      </c>
      <c r="D122" s="66">
        <f>IF($M122="","",IF(INDEX(tblBilling[Monthly Fee],$M122)="","",INDEX(tblBilling[Monthly Fee],$M122)))</f>
        <v/>
      </c>
      <c r="E122" s="66">
        <f>IF($M122="","",IF(INDEX(tblBilling[Amount Paid],$M122)="","",INDEX(tblBilling[Amount Paid],$M122)))</f>
        <v/>
      </c>
      <c r="F122" s="67">
        <f>IF($M122="","",IF(INDEX(tblBilling[Last Payment Date],$M122)="","",INDEX(tblBilling[Last Payment Date],$M122)))</f>
        <v/>
      </c>
      <c r="G122" s="66">
        <f>IF($M122="","",IF(INDEX(tblBilling[Balance],$M122)="","",INDEX(tblBilling[Balance],$M122)))</f>
        <v/>
      </c>
      <c r="H122" s="65">
        <f>IF($M122="","",IF(INDEX(tblBilling[Payment Status],$M122)="","",INDEX(tblBilling[Payment Status],$M122)))</f>
        <v/>
      </c>
      <c r="I122" s="65">
        <f>IF($M122="","",IF(INDEX(tblBilling[Collector Name],$M122)="","",INDEX(tblBilling[Collector Name],$M122)))</f>
        <v/>
      </c>
      <c r="J122" s="68">
        <f>IF($M122="","",IF(INDEX(tblBilling[Payments Count],$M122)="","",INDEX(tblBilling[Payments Count],$M122)))</f>
        <v/>
      </c>
      <c r="M122">
        <f>IF(M121="","",IFERROR(M121+MATCH(CH_CustomerID,INDEX(tblBilling[Customer ID],M121+1):INDEX(tblBilling[Customer ID],ROWS(tblBilling[Customer ID])),0),""))</f>
        <v/>
      </c>
    </row>
    <row r="123">
      <c r="B123" s="64">
        <f>IF($M123="","",IF(INDEX(tblBilling[Month],$M123)="","",INDEX(tblBilling[Month],$M123)))</f>
        <v/>
      </c>
      <c r="C123" s="65">
        <f>IF($M123="","",IF(INDEX(tblBilling[Month Name],$M123)="","",INDEX(tblBilling[Month Name],$M123)))</f>
        <v/>
      </c>
      <c r="D123" s="66">
        <f>IF($M123="","",IF(INDEX(tblBilling[Monthly Fee],$M123)="","",INDEX(tblBilling[Monthly Fee],$M123)))</f>
        <v/>
      </c>
      <c r="E123" s="66">
        <f>IF($M123="","",IF(INDEX(tblBilling[Amount Paid],$M123)="","",INDEX(tblBilling[Amount Paid],$M123)))</f>
        <v/>
      </c>
      <c r="F123" s="67">
        <f>IF($M123="","",IF(INDEX(tblBilling[Last Payment Date],$M123)="","",INDEX(tblBilling[Last Payment Date],$M123)))</f>
        <v/>
      </c>
      <c r="G123" s="66">
        <f>IF($M123="","",IF(INDEX(tblBilling[Balance],$M123)="","",INDEX(tblBilling[Balance],$M123)))</f>
        <v/>
      </c>
      <c r="H123" s="65">
        <f>IF($M123="","",IF(INDEX(tblBilling[Payment Status],$M123)="","",INDEX(tblBilling[Payment Status],$M123)))</f>
        <v/>
      </c>
      <c r="I123" s="65">
        <f>IF($M123="","",IF(INDEX(tblBilling[Collector Name],$M123)="","",INDEX(tblBilling[Collector Name],$M123)))</f>
        <v/>
      </c>
      <c r="J123" s="68">
        <f>IF($M123="","",IF(INDEX(tblBilling[Payments Count],$M123)="","",INDEX(tblBilling[Payments Count],$M123)))</f>
        <v/>
      </c>
      <c r="M123">
        <f>IF(M122="","",IFERROR(M122+MATCH(CH_CustomerID,INDEX(tblBilling[Customer ID],M122+1):INDEX(tblBilling[Customer ID],ROWS(tblBilling[Customer ID])),0),""))</f>
        <v/>
      </c>
    </row>
    <row r="124">
      <c r="B124" s="64">
        <f>IF($M124="","",IF(INDEX(tblBilling[Month],$M124)="","",INDEX(tblBilling[Month],$M124)))</f>
        <v/>
      </c>
      <c r="C124" s="65">
        <f>IF($M124="","",IF(INDEX(tblBilling[Month Name],$M124)="","",INDEX(tblBilling[Month Name],$M124)))</f>
        <v/>
      </c>
      <c r="D124" s="66">
        <f>IF($M124="","",IF(INDEX(tblBilling[Monthly Fee],$M124)="","",INDEX(tblBilling[Monthly Fee],$M124)))</f>
        <v/>
      </c>
      <c r="E124" s="66">
        <f>IF($M124="","",IF(INDEX(tblBilling[Amount Paid],$M124)="","",INDEX(tblBilling[Amount Paid],$M124)))</f>
        <v/>
      </c>
      <c r="F124" s="67">
        <f>IF($M124="","",IF(INDEX(tblBilling[Last Payment Date],$M124)="","",INDEX(tblBilling[Last Payment Date],$M124)))</f>
        <v/>
      </c>
      <c r="G124" s="66">
        <f>IF($M124="","",IF(INDEX(tblBilling[Balance],$M124)="","",INDEX(tblBilling[Balance],$M124)))</f>
        <v/>
      </c>
      <c r="H124" s="65">
        <f>IF($M124="","",IF(INDEX(tblBilling[Payment Status],$M124)="","",INDEX(tblBilling[Payment Status],$M124)))</f>
        <v/>
      </c>
      <c r="I124" s="65">
        <f>IF($M124="","",IF(INDEX(tblBilling[Collector Name],$M124)="","",INDEX(tblBilling[Collector Name],$M124)))</f>
        <v/>
      </c>
      <c r="J124" s="68">
        <f>IF($M124="","",IF(INDEX(tblBilling[Payments Count],$M124)="","",INDEX(tblBilling[Payments Count],$M124)))</f>
        <v/>
      </c>
      <c r="M124">
        <f>IF(M123="","",IFERROR(M123+MATCH(CH_CustomerID,INDEX(tblBilling[Customer ID],M123+1):INDEX(tblBilling[Customer ID],ROWS(tblBilling[Customer ID])),0),""))</f>
        <v/>
      </c>
    </row>
    <row r="125">
      <c r="B125" s="64">
        <f>IF($M125="","",IF(INDEX(tblBilling[Month],$M125)="","",INDEX(tblBilling[Month],$M125)))</f>
        <v/>
      </c>
      <c r="C125" s="65">
        <f>IF($M125="","",IF(INDEX(tblBilling[Month Name],$M125)="","",INDEX(tblBilling[Month Name],$M125)))</f>
        <v/>
      </c>
      <c r="D125" s="66">
        <f>IF($M125="","",IF(INDEX(tblBilling[Monthly Fee],$M125)="","",INDEX(tblBilling[Monthly Fee],$M125)))</f>
        <v/>
      </c>
      <c r="E125" s="66">
        <f>IF($M125="","",IF(INDEX(tblBilling[Amount Paid],$M125)="","",INDEX(tblBilling[Amount Paid],$M125)))</f>
        <v/>
      </c>
      <c r="F125" s="67">
        <f>IF($M125="","",IF(INDEX(tblBilling[Last Payment Date],$M125)="","",INDEX(tblBilling[Last Payment Date],$M125)))</f>
        <v/>
      </c>
      <c r="G125" s="66">
        <f>IF($M125="","",IF(INDEX(tblBilling[Balance],$M125)="","",INDEX(tblBilling[Balance],$M125)))</f>
        <v/>
      </c>
      <c r="H125" s="65">
        <f>IF($M125="","",IF(INDEX(tblBilling[Payment Status],$M125)="","",INDEX(tblBilling[Payment Status],$M125)))</f>
        <v/>
      </c>
      <c r="I125" s="65">
        <f>IF($M125="","",IF(INDEX(tblBilling[Collector Name],$M125)="","",INDEX(tblBilling[Collector Name],$M125)))</f>
        <v/>
      </c>
      <c r="J125" s="68">
        <f>IF($M125="","",IF(INDEX(tblBilling[Payments Count],$M125)="","",INDEX(tblBilling[Payments Count],$M125)))</f>
        <v/>
      </c>
      <c r="M125">
        <f>IF(M124="","",IFERROR(M124+MATCH(CH_CustomerID,INDEX(tblBilling[Customer ID],M124+1):INDEX(tblBilling[Customer ID],ROWS(tblBilling[Customer ID])),0),""))</f>
        <v/>
      </c>
    </row>
    <row r="126">
      <c r="B126" s="64">
        <f>IF($M126="","",IF(INDEX(tblBilling[Month],$M126)="","",INDEX(tblBilling[Month],$M126)))</f>
        <v/>
      </c>
      <c r="C126" s="65">
        <f>IF($M126="","",IF(INDEX(tblBilling[Month Name],$M126)="","",INDEX(tblBilling[Month Name],$M126)))</f>
        <v/>
      </c>
      <c r="D126" s="66">
        <f>IF($M126="","",IF(INDEX(tblBilling[Monthly Fee],$M126)="","",INDEX(tblBilling[Monthly Fee],$M126)))</f>
        <v/>
      </c>
      <c r="E126" s="66">
        <f>IF($M126="","",IF(INDEX(tblBilling[Amount Paid],$M126)="","",INDEX(tblBilling[Amount Paid],$M126)))</f>
        <v/>
      </c>
      <c r="F126" s="67">
        <f>IF($M126="","",IF(INDEX(tblBilling[Last Payment Date],$M126)="","",INDEX(tblBilling[Last Payment Date],$M126)))</f>
        <v/>
      </c>
      <c r="G126" s="66">
        <f>IF($M126="","",IF(INDEX(tblBilling[Balance],$M126)="","",INDEX(tblBilling[Balance],$M126)))</f>
        <v/>
      </c>
      <c r="H126" s="65">
        <f>IF($M126="","",IF(INDEX(tblBilling[Payment Status],$M126)="","",INDEX(tblBilling[Payment Status],$M126)))</f>
        <v/>
      </c>
      <c r="I126" s="65">
        <f>IF($M126="","",IF(INDEX(tblBilling[Collector Name],$M126)="","",INDEX(tblBilling[Collector Name],$M126)))</f>
        <v/>
      </c>
      <c r="J126" s="68">
        <f>IF($M126="","",IF(INDEX(tblBilling[Payments Count],$M126)="","",INDEX(tblBilling[Payments Count],$M126)))</f>
        <v/>
      </c>
      <c r="M126">
        <f>IF(M125="","",IFERROR(M125+MATCH(CH_CustomerID,INDEX(tblBilling[Customer ID],M125+1):INDEX(tblBilling[Customer ID],ROWS(tblBilling[Customer ID])),0),""))</f>
        <v/>
      </c>
    </row>
    <row r="127">
      <c r="B127" s="64">
        <f>IF($M127="","",IF(INDEX(tblBilling[Month],$M127)="","",INDEX(tblBilling[Month],$M127)))</f>
        <v/>
      </c>
      <c r="C127" s="65">
        <f>IF($M127="","",IF(INDEX(tblBilling[Month Name],$M127)="","",INDEX(tblBilling[Month Name],$M127)))</f>
        <v/>
      </c>
      <c r="D127" s="66">
        <f>IF($M127="","",IF(INDEX(tblBilling[Monthly Fee],$M127)="","",INDEX(tblBilling[Monthly Fee],$M127)))</f>
        <v/>
      </c>
      <c r="E127" s="66">
        <f>IF($M127="","",IF(INDEX(tblBilling[Amount Paid],$M127)="","",INDEX(tblBilling[Amount Paid],$M127)))</f>
        <v/>
      </c>
      <c r="F127" s="67">
        <f>IF($M127="","",IF(INDEX(tblBilling[Last Payment Date],$M127)="","",INDEX(tblBilling[Last Payment Date],$M127)))</f>
        <v/>
      </c>
      <c r="G127" s="66">
        <f>IF($M127="","",IF(INDEX(tblBilling[Balance],$M127)="","",INDEX(tblBilling[Balance],$M127)))</f>
        <v/>
      </c>
      <c r="H127" s="65">
        <f>IF($M127="","",IF(INDEX(tblBilling[Payment Status],$M127)="","",INDEX(tblBilling[Payment Status],$M127)))</f>
        <v/>
      </c>
      <c r="I127" s="65">
        <f>IF($M127="","",IF(INDEX(tblBilling[Collector Name],$M127)="","",INDEX(tblBilling[Collector Name],$M127)))</f>
        <v/>
      </c>
      <c r="J127" s="68">
        <f>IF($M127="","",IF(INDEX(tblBilling[Payments Count],$M127)="","",INDEX(tblBilling[Payments Count],$M127)))</f>
        <v/>
      </c>
      <c r="M127">
        <f>IF(M126="","",IFERROR(M126+MATCH(CH_CustomerID,INDEX(tblBilling[Customer ID],M126+1):INDEX(tblBilling[Customer ID],ROWS(tblBilling[Customer ID])),0),""))</f>
        <v/>
      </c>
    </row>
    <row r="128">
      <c r="B128" s="64">
        <f>IF($M128="","",IF(INDEX(tblBilling[Month],$M128)="","",INDEX(tblBilling[Month],$M128)))</f>
        <v/>
      </c>
      <c r="C128" s="65">
        <f>IF($M128="","",IF(INDEX(tblBilling[Month Name],$M128)="","",INDEX(tblBilling[Month Name],$M128)))</f>
        <v/>
      </c>
      <c r="D128" s="66">
        <f>IF($M128="","",IF(INDEX(tblBilling[Monthly Fee],$M128)="","",INDEX(tblBilling[Monthly Fee],$M128)))</f>
        <v/>
      </c>
      <c r="E128" s="66">
        <f>IF($M128="","",IF(INDEX(tblBilling[Amount Paid],$M128)="","",INDEX(tblBilling[Amount Paid],$M128)))</f>
        <v/>
      </c>
      <c r="F128" s="67">
        <f>IF($M128="","",IF(INDEX(tblBilling[Last Payment Date],$M128)="","",INDEX(tblBilling[Last Payment Date],$M128)))</f>
        <v/>
      </c>
      <c r="G128" s="66">
        <f>IF($M128="","",IF(INDEX(tblBilling[Balance],$M128)="","",INDEX(tblBilling[Balance],$M128)))</f>
        <v/>
      </c>
      <c r="H128" s="65">
        <f>IF($M128="","",IF(INDEX(tblBilling[Payment Status],$M128)="","",INDEX(tblBilling[Payment Status],$M128)))</f>
        <v/>
      </c>
      <c r="I128" s="65">
        <f>IF($M128="","",IF(INDEX(tblBilling[Collector Name],$M128)="","",INDEX(tblBilling[Collector Name],$M128)))</f>
        <v/>
      </c>
      <c r="J128" s="68">
        <f>IF($M128="","",IF(INDEX(tblBilling[Payments Count],$M128)="","",INDEX(tblBilling[Payments Count],$M128)))</f>
        <v/>
      </c>
      <c r="M128">
        <f>IF(M127="","",IFERROR(M127+MATCH(CH_CustomerID,INDEX(tblBilling[Customer ID],M127+1):INDEX(tblBilling[Customer ID],ROWS(tblBilling[Customer ID])),0),""))</f>
        <v/>
      </c>
    </row>
    <row r="129">
      <c r="B129" s="64">
        <f>IF($M129="","",IF(INDEX(tblBilling[Month],$M129)="","",INDEX(tblBilling[Month],$M129)))</f>
        <v/>
      </c>
      <c r="C129" s="65">
        <f>IF($M129="","",IF(INDEX(tblBilling[Month Name],$M129)="","",INDEX(tblBilling[Month Name],$M129)))</f>
        <v/>
      </c>
      <c r="D129" s="66">
        <f>IF($M129="","",IF(INDEX(tblBilling[Monthly Fee],$M129)="","",INDEX(tblBilling[Monthly Fee],$M129)))</f>
        <v/>
      </c>
      <c r="E129" s="66">
        <f>IF($M129="","",IF(INDEX(tblBilling[Amount Paid],$M129)="","",INDEX(tblBilling[Amount Paid],$M129)))</f>
        <v/>
      </c>
      <c r="F129" s="67">
        <f>IF($M129="","",IF(INDEX(tblBilling[Last Payment Date],$M129)="","",INDEX(tblBilling[Last Payment Date],$M129)))</f>
        <v/>
      </c>
      <c r="G129" s="66">
        <f>IF($M129="","",IF(INDEX(tblBilling[Balance],$M129)="","",INDEX(tblBilling[Balance],$M129)))</f>
        <v/>
      </c>
      <c r="H129" s="65">
        <f>IF($M129="","",IF(INDEX(tblBilling[Payment Status],$M129)="","",INDEX(tblBilling[Payment Status],$M129)))</f>
        <v/>
      </c>
      <c r="I129" s="65">
        <f>IF($M129="","",IF(INDEX(tblBilling[Collector Name],$M129)="","",INDEX(tblBilling[Collector Name],$M129)))</f>
        <v/>
      </c>
      <c r="J129" s="68">
        <f>IF($M129="","",IF(INDEX(tblBilling[Payments Count],$M129)="","",INDEX(tblBilling[Payments Count],$M129)))</f>
        <v/>
      </c>
      <c r="M129">
        <f>IF(M128="","",IFERROR(M128+MATCH(CH_CustomerID,INDEX(tblBilling[Customer ID],M128+1):INDEX(tblBilling[Customer ID],ROWS(tblBilling[Customer ID])),0),""))</f>
        <v/>
      </c>
    </row>
    <row r="130">
      <c r="B130" s="64">
        <f>IF($M130="","",IF(INDEX(tblBilling[Month],$M130)="","",INDEX(tblBilling[Month],$M130)))</f>
        <v/>
      </c>
      <c r="C130" s="65">
        <f>IF($M130="","",IF(INDEX(tblBilling[Month Name],$M130)="","",INDEX(tblBilling[Month Name],$M130)))</f>
        <v/>
      </c>
      <c r="D130" s="66">
        <f>IF($M130="","",IF(INDEX(tblBilling[Monthly Fee],$M130)="","",INDEX(tblBilling[Monthly Fee],$M130)))</f>
        <v/>
      </c>
      <c r="E130" s="66">
        <f>IF($M130="","",IF(INDEX(tblBilling[Amount Paid],$M130)="","",INDEX(tblBilling[Amount Paid],$M130)))</f>
        <v/>
      </c>
      <c r="F130" s="67">
        <f>IF($M130="","",IF(INDEX(tblBilling[Last Payment Date],$M130)="","",INDEX(tblBilling[Last Payment Date],$M130)))</f>
        <v/>
      </c>
      <c r="G130" s="66">
        <f>IF($M130="","",IF(INDEX(tblBilling[Balance],$M130)="","",INDEX(tblBilling[Balance],$M130)))</f>
        <v/>
      </c>
      <c r="H130" s="65">
        <f>IF($M130="","",IF(INDEX(tblBilling[Payment Status],$M130)="","",INDEX(tblBilling[Payment Status],$M130)))</f>
        <v/>
      </c>
      <c r="I130" s="65">
        <f>IF($M130="","",IF(INDEX(tblBilling[Collector Name],$M130)="","",INDEX(tblBilling[Collector Name],$M130)))</f>
        <v/>
      </c>
      <c r="J130" s="68">
        <f>IF($M130="","",IF(INDEX(tblBilling[Payments Count],$M130)="","",INDEX(tblBilling[Payments Count],$M130)))</f>
        <v/>
      </c>
      <c r="M130">
        <f>IF(M129="","",IFERROR(M129+MATCH(CH_CustomerID,INDEX(tblBilling[Customer ID],M129+1):INDEX(tblBilling[Customer ID],ROWS(tblBilling[Customer ID])),0),""))</f>
        <v/>
      </c>
    </row>
    <row r="131">
      <c r="B131" s="64">
        <f>IF($M131="","",IF(INDEX(tblBilling[Month],$M131)="","",INDEX(tblBilling[Month],$M131)))</f>
        <v/>
      </c>
      <c r="C131" s="65">
        <f>IF($M131="","",IF(INDEX(tblBilling[Month Name],$M131)="","",INDEX(tblBilling[Month Name],$M131)))</f>
        <v/>
      </c>
      <c r="D131" s="66">
        <f>IF($M131="","",IF(INDEX(tblBilling[Monthly Fee],$M131)="","",INDEX(tblBilling[Monthly Fee],$M131)))</f>
        <v/>
      </c>
      <c r="E131" s="66">
        <f>IF($M131="","",IF(INDEX(tblBilling[Amount Paid],$M131)="","",INDEX(tblBilling[Amount Paid],$M131)))</f>
        <v/>
      </c>
      <c r="F131" s="67">
        <f>IF($M131="","",IF(INDEX(tblBilling[Last Payment Date],$M131)="","",INDEX(tblBilling[Last Payment Date],$M131)))</f>
        <v/>
      </c>
      <c r="G131" s="66">
        <f>IF($M131="","",IF(INDEX(tblBilling[Balance],$M131)="","",INDEX(tblBilling[Balance],$M131)))</f>
        <v/>
      </c>
      <c r="H131" s="65">
        <f>IF($M131="","",IF(INDEX(tblBilling[Payment Status],$M131)="","",INDEX(tblBilling[Payment Status],$M131)))</f>
        <v/>
      </c>
      <c r="I131" s="65">
        <f>IF($M131="","",IF(INDEX(tblBilling[Collector Name],$M131)="","",INDEX(tblBilling[Collector Name],$M131)))</f>
        <v/>
      </c>
      <c r="J131" s="68">
        <f>IF($M131="","",IF(INDEX(tblBilling[Payments Count],$M131)="","",INDEX(tblBilling[Payments Count],$M131)))</f>
        <v/>
      </c>
      <c r="M131">
        <f>IF(M130="","",IFERROR(M130+MATCH(CH_CustomerID,INDEX(tblBilling[Customer ID],M130+1):INDEX(tblBilling[Customer ID],ROWS(tblBilling[Customer ID])),0),""))</f>
        <v/>
      </c>
    </row>
    <row r="132">
      <c r="B132" s="64">
        <f>IF($M132="","",IF(INDEX(tblBilling[Month],$M132)="","",INDEX(tblBilling[Month],$M132)))</f>
        <v/>
      </c>
      <c r="C132" s="65">
        <f>IF($M132="","",IF(INDEX(tblBilling[Month Name],$M132)="","",INDEX(tblBilling[Month Name],$M132)))</f>
        <v/>
      </c>
      <c r="D132" s="66">
        <f>IF($M132="","",IF(INDEX(tblBilling[Monthly Fee],$M132)="","",INDEX(tblBilling[Monthly Fee],$M132)))</f>
        <v/>
      </c>
      <c r="E132" s="66">
        <f>IF($M132="","",IF(INDEX(tblBilling[Amount Paid],$M132)="","",INDEX(tblBilling[Amount Paid],$M132)))</f>
        <v/>
      </c>
      <c r="F132" s="67">
        <f>IF($M132="","",IF(INDEX(tblBilling[Last Payment Date],$M132)="","",INDEX(tblBilling[Last Payment Date],$M132)))</f>
        <v/>
      </c>
      <c r="G132" s="66">
        <f>IF($M132="","",IF(INDEX(tblBilling[Balance],$M132)="","",INDEX(tblBilling[Balance],$M132)))</f>
        <v/>
      </c>
      <c r="H132" s="65">
        <f>IF($M132="","",IF(INDEX(tblBilling[Payment Status],$M132)="","",INDEX(tblBilling[Payment Status],$M132)))</f>
        <v/>
      </c>
      <c r="I132" s="65">
        <f>IF($M132="","",IF(INDEX(tblBilling[Collector Name],$M132)="","",INDEX(tblBilling[Collector Name],$M132)))</f>
        <v/>
      </c>
      <c r="J132" s="68">
        <f>IF($M132="","",IF(INDEX(tblBilling[Payments Count],$M132)="","",INDEX(tblBilling[Payments Count],$M132)))</f>
        <v/>
      </c>
      <c r="M132">
        <f>IF(M131="","",IFERROR(M131+MATCH(CH_CustomerID,INDEX(tblBilling[Customer ID],M131+1):INDEX(tblBilling[Customer ID],ROWS(tblBilling[Customer ID])),0),""))</f>
        <v/>
      </c>
    </row>
    <row r="133">
      <c r="B133" s="64">
        <f>IF($M133="","",IF(INDEX(tblBilling[Month],$M133)="","",INDEX(tblBilling[Month],$M133)))</f>
        <v/>
      </c>
      <c r="C133" s="65">
        <f>IF($M133="","",IF(INDEX(tblBilling[Month Name],$M133)="","",INDEX(tblBilling[Month Name],$M133)))</f>
        <v/>
      </c>
      <c r="D133" s="66">
        <f>IF($M133="","",IF(INDEX(tblBilling[Monthly Fee],$M133)="","",INDEX(tblBilling[Monthly Fee],$M133)))</f>
        <v/>
      </c>
      <c r="E133" s="66">
        <f>IF($M133="","",IF(INDEX(tblBilling[Amount Paid],$M133)="","",INDEX(tblBilling[Amount Paid],$M133)))</f>
        <v/>
      </c>
      <c r="F133" s="67">
        <f>IF($M133="","",IF(INDEX(tblBilling[Last Payment Date],$M133)="","",INDEX(tblBilling[Last Payment Date],$M133)))</f>
        <v/>
      </c>
      <c r="G133" s="66">
        <f>IF($M133="","",IF(INDEX(tblBilling[Balance],$M133)="","",INDEX(tblBilling[Balance],$M133)))</f>
        <v/>
      </c>
      <c r="H133" s="65">
        <f>IF($M133="","",IF(INDEX(tblBilling[Payment Status],$M133)="","",INDEX(tblBilling[Payment Status],$M133)))</f>
        <v/>
      </c>
      <c r="I133" s="65">
        <f>IF($M133="","",IF(INDEX(tblBilling[Collector Name],$M133)="","",INDEX(tblBilling[Collector Name],$M133)))</f>
        <v/>
      </c>
      <c r="J133" s="68">
        <f>IF($M133="","",IF(INDEX(tblBilling[Payments Count],$M133)="","",INDEX(tblBilling[Payments Count],$M133)))</f>
        <v/>
      </c>
      <c r="M133">
        <f>IF(M132="","",IFERROR(M132+MATCH(CH_CustomerID,INDEX(tblBilling[Customer ID],M132+1):INDEX(tblBilling[Customer ID],ROWS(tblBilling[Customer ID])),0),""))</f>
        <v/>
      </c>
    </row>
    <row r="134">
      <c r="B134" s="64">
        <f>IF($M134="","",IF(INDEX(tblBilling[Month],$M134)="","",INDEX(tblBilling[Month],$M134)))</f>
        <v/>
      </c>
      <c r="C134" s="65">
        <f>IF($M134="","",IF(INDEX(tblBilling[Month Name],$M134)="","",INDEX(tblBilling[Month Name],$M134)))</f>
        <v/>
      </c>
      <c r="D134" s="66">
        <f>IF($M134="","",IF(INDEX(tblBilling[Monthly Fee],$M134)="","",INDEX(tblBilling[Monthly Fee],$M134)))</f>
        <v/>
      </c>
      <c r="E134" s="66">
        <f>IF($M134="","",IF(INDEX(tblBilling[Amount Paid],$M134)="","",INDEX(tblBilling[Amount Paid],$M134)))</f>
        <v/>
      </c>
      <c r="F134" s="67">
        <f>IF($M134="","",IF(INDEX(tblBilling[Last Payment Date],$M134)="","",INDEX(tblBilling[Last Payment Date],$M134)))</f>
        <v/>
      </c>
      <c r="G134" s="66">
        <f>IF($M134="","",IF(INDEX(tblBilling[Balance],$M134)="","",INDEX(tblBilling[Balance],$M134)))</f>
        <v/>
      </c>
      <c r="H134" s="65">
        <f>IF($M134="","",IF(INDEX(tblBilling[Payment Status],$M134)="","",INDEX(tblBilling[Payment Status],$M134)))</f>
        <v/>
      </c>
      <c r="I134" s="65">
        <f>IF($M134="","",IF(INDEX(tblBilling[Collector Name],$M134)="","",INDEX(tblBilling[Collector Name],$M134)))</f>
        <v/>
      </c>
      <c r="J134" s="68">
        <f>IF($M134="","",IF(INDEX(tblBilling[Payments Count],$M134)="","",INDEX(tblBilling[Payments Count],$M134)))</f>
        <v/>
      </c>
      <c r="M134">
        <f>IF(M133="","",IFERROR(M133+MATCH(CH_CustomerID,INDEX(tblBilling[Customer ID],M133+1):INDEX(tblBilling[Customer ID],ROWS(tblBilling[Customer ID])),0),""))</f>
        <v/>
      </c>
    </row>
    <row r="135">
      <c r="B135" s="64">
        <f>IF($M135="","",IF(INDEX(tblBilling[Month],$M135)="","",INDEX(tblBilling[Month],$M135)))</f>
        <v/>
      </c>
      <c r="C135" s="65">
        <f>IF($M135="","",IF(INDEX(tblBilling[Month Name],$M135)="","",INDEX(tblBilling[Month Name],$M135)))</f>
        <v/>
      </c>
      <c r="D135" s="66">
        <f>IF($M135="","",IF(INDEX(tblBilling[Monthly Fee],$M135)="","",INDEX(tblBilling[Monthly Fee],$M135)))</f>
        <v/>
      </c>
      <c r="E135" s="66">
        <f>IF($M135="","",IF(INDEX(tblBilling[Amount Paid],$M135)="","",INDEX(tblBilling[Amount Paid],$M135)))</f>
        <v/>
      </c>
      <c r="F135" s="67">
        <f>IF($M135="","",IF(INDEX(tblBilling[Last Payment Date],$M135)="","",INDEX(tblBilling[Last Payment Date],$M135)))</f>
        <v/>
      </c>
      <c r="G135" s="66">
        <f>IF($M135="","",IF(INDEX(tblBilling[Balance],$M135)="","",INDEX(tblBilling[Balance],$M135)))</f>
        <v/>
      </c>
      <c r="H135" s="65">
        <f>IF($M135="","",IF(INDEX(tblBilling[Payment Status],$M135)="","",INDEX(tblBilling[Payment Status],$M135)))</f>
        <v/>
      </c>
      <c r="I135" s="65">
        <f>IF($M135="","",IF(INDEX(tblBilling[Collector Name],$M135)="","",INDEX(tblBilling[Collector Name],$M135)))</f>
        <v/>
      </c>
      <c r="J135" s="68">
        <f>IF($M135="","",IF(INDEX(tblBilling[Payments Count],$M135)="","",INDEX(tblBilling[Payments Count],$M135)))</f>
        <v/>
      </c>
      <c r="M135">
        <f>IF(M134="","",IFERROR(M134+MATCH(CH_CustomerID,INDEX(tblBilling[Customer ID],M134+1):INDEX(tblBilling[Customer ID],ROWS(tblBilling[Customer ID])),0),""))</f>
        <v/>
      </c>
    </row>
    <row r="136">
      <c r="B136" s="64">
        <f>IF($M136="","",IF(INDEX(tblBilling[Month],$M136)="","",INDEX(tblBilling[Month],$M136)))</f>
        <v/>
      </c>
      <c r="C136" s="65">
        <f>IF($M136="","",IF(INDEX(tblBilling[Month Name],$M136)="","",INDEX(tblBilling[Month Name],$M136)))</f>
        <v/>
      </c>
      <c r="D136" s="66">
        <f>IF($M136="","",IF(INDEX(tblBilling[Monthly Fee],$M136)="","",INDEX(tblBilling[Monthly Fee],$M136)))</f>
        <v/>
      </c>
      <c r="E136" s="66">
        <f>IF($M136="","",IF(INDEX(tblBilling[Amount Paid],$M136)="","",INDEX(tblBilling[Amount Paid],$M136)))</f>
        <v/>
      </c>
      <c r="F136" s="67">
        <f>IF($M136="","",IF(INDEX(tblBilling[Last Payment Date],$M136)="","",INDEX(tblBilling[Last Payment Date],$M136)))</f>
        <v/>
      </c>
      <c r="G136" s="66">
        <f>IF($M136="","",IF(INDEX(tblBilling[Balance],$M136)="","",INDEX(tblBilling[Balance],$M136)))</f>
        <v/>
      </c>
      <c r="H136" s="65">
        <f>IF($M136="","",IF(INDEX(tblBilling[Payment Status],$M136)="","",INDEX(tblBilling[Payment Status],$M136)))</f>
        <v/>
      </c>
      <c r="I136" s="65">
        <f>IF($M136="","",IF(INDEX(tblBilling[Collector Name],$M136)="","",INDEX(tblBilling[Collector Name],$M136)))</f>
        <v/>
      </c>
      <c r="J136" s="68">
        <f>IF($M136="","",IF(INDEX(tblBilling[Payments Count],$M136)="","",INDEX(tblBilling[Payments Count],$M136)))</f>
        <v/>
      </c>
      <c r="M136">
        <f>IF(M135="","",IFERROR(M135+MATCH(CH_CustomerID,INDEX(tblBilling[Customer ID],M135+1):INDEX(tblBilling[Customer ID],ROWS(tblBilling[Customer ID])),0),""))</f>
        <v/>
      </c>
    </row>
    <row r="137">
      <c r="B137" s="64">
        <f>IF($M137="","",IF(INDEX(tblBilling[Month],$M137)="","",INDEX(tblBilling[Month],$M137)))</f>
        <v/>
      </c>
      <c r="C137" s="65">
        <f>IF($M137="","",IF(INDEX(tblBilling[Month Name],$M137)="","",INDEX(tblBilling[Month Name],$M137)))</f>
        <v/>
      </c>
      <c r="D137" s="66">
        <f>IF($M137="","",IF(INDEX(tblBilling[Monthly Fee],$M137)="","",INDEX(tblBilling[Monthly Fee],$M137)))</f>
        <v/>
      </c>
      <c r="E137" s="66">
        <f>IF($M137="","",IF(INDEX(tblBilling[Amount Paid],$M137)="","",INDEX(tblBilling[Amount Paid],$M137)))</f>
        <v/>
      </c>
      <c r="F137" s="67">
        <f>IF($M137="","",IF(INDEX(tblBilling[Last Payment Date],$M137)="","",INDEX(tblBilling[Last Payment Date],$M137)))</f>
        <v/>
      </c>
      <c r="G137" s="66">
        <f>IF($M137="","",IF(INDEX(tblBilling[Balance],$M137)="","",INDEX(tblBilling[Balance],$M137)))</f>
        <v/>
      </c>
      <c r="H137" s="65">
        <f>IF($M137="","",IF(INDEX(tblBilling[Payment Status],$M137)="","",INDEX(tblBilling[Payment Status],$M137)))</f>
        <v/>
      </c>
      <c r="I137" s="65">
        <f>IF($M137="","",IF(INDEX(tblBilling[Collector Name],$M137)="","",INDEX(tblBilling[Collector Name],$M137)))</f>
        <v/>
      </c>
      <c r="J137" s="68">
        <f>IF($M137="","",IF(INDEX(tblBilling[Payments Count],$M137)="","",INDEX(tblBilling[Payments Count],$M137)))</f>
        <v/>
      </c>
      <c r="M137">
        <f>IF(M136="","",IFERROR(M136+MATCH(CH_CustomerID,INDEX(tblBilling[Customer ID],M136+1):INDEX(tblBilling[Customer ID],ROWS(tblBilling[Customer ID])),0),""))</f>
        <v/>
      </c>
    </row>
    <row r="138">
      <c r="B138" s="64">
        <f>IF($M138="","",IF(INDEX(tblBilling[Month],$M138)="","",INDEX(tblBilling[Month],$M138)))</f>
        <v/>
      </c>
      <c r="C138" s="65">
        <f>IF($M138="","",IF(INDEX(tblBilling[Month Name],$M138)="","",INDEX(tblBilling[Month Name],$M138)))</f>
        <v/>
      </c>
      <c r="D138" s="66">
        <f>IF($M138="","",IF(INDEX(tblBilling[Monthly Fee],$M138)="","",INDEX(tblBilling[Monthly Fee],$M138)))</f>
        <v/>
      </c>
      <c r="E138" s="66">
        <f>IF($M138="","",IF(INDEX(tblBilling[Amount Paid],$M138)="","",INDEX(tblBilling[Amount Paid],$M138)))</f>
        <v/>
      </c>
      <c r="F138" s="67">
        <f>IF($M138="","",IF(INDEX(tblBilling[Last Payment Date],$M138)="","",INDEX(tblBilling[Last Payment Date],$M138)))</f>
        <v/>
      </c>
      <c r="G138" s="66">
        <f>IF($M138="","",IF(INDEX(tblBilling[Balance],$M138)="","",INDEX(tblBilling[Balance],$M138)))</f>
        <v/>
      </c>
      <c r="H138" s="65">
        <f>IF($M138="","",IF(INDEX(tblBilling[Payment Status],$M138)="","",INDEX(tblBilling[Payment Status],$M138)))</f>
        <v/>
      </c>
      <c r="I138" s="65">
        <f>IF($M138="","",IF(INDEX(tblBilling[Collector Name],$M138)="","",INDEX(tblBilling[Collector Name],$M138)))</f>
        <v/>
      </c>
      <c r="J138" s="68">
        <f>IF($M138="","",IF(INDEX(tblBilling[Payments Count],$M138)="","",INDEX(tblBilling[Payments Count],$M138)))</f>
        <v/>
      </c>
      <c r="M138">
        <f>IF(M137="","",IFERROR(M137+MATCH(CH_CustomerID,INDEX(tblBilling[Customer ID],M137+1):INDEX(tblBilling[Customer ID],ROWS(tblBilling[Customer ID])),0),""))</f>
        <v/>
      </c>
    </row>
    <row r="139">
      <c r="B139" s="64">
        <f>IF($M139="","",IF(INDEX(tblBilling[Month],$M139)="","",INDEX(tblBilling[Month],$M139)))</f>
        <v/>
      </c>
      <c r="C139" s="65">
        <f>IF($M139="","",IF(INDEX(tblBilling[Month Name],$M139)="","",INDEX(tblBilling[Month Name],$M139)))</f>
        <v/>
      </c>
      <c r="D139" s="66">
        <f>IF($M139="","",IF(INDEX(tblBilling[Monthly Fee],$M139)="","",INDEX(tblBilling[Monthly Fee],$M139)))</f>
        <v/>
      </c>
      <c r="E139" s="66">
        <f>IF($M139="","",IF(INDEX(tblBilling[Amount Paid],$M139)="","",INDEX(tblBilling[Amount Paid],$M139)))</f>
        <v/>
      </c>
      <c r="F139" s="67">
        <f>IF($M139="","",IF(INDEX(tblBilling[Last Payment Date],$M139)="","",INDEX(tblBilling[Last Payment Date],$M139)))</f>
        <v/>
      </c>
      <c r="G139" s="66">
        <f>IF($M139="","",IF(INDEX(tblBilling[Balance],$M139)="","",INDEX(tblBilling[Balance],$M139)))</f>
        <v/>
      </c>
      <c r="H139" s="65">
        <f>IF($M139="","",IF(INDEX(tblBilling[Payment Status],$M139)="","",INDEX(tblBilling[Payment Status],$M139)))</f>
        <v/>
      </c>
      <c r="I139" s="65">
        <f>IF($M139="","",IF(INDEX(tblBilling[Collector Name],$M139)="","",INDEX(tblBilling[Collector Name],$M139)))</f>
        <v/>
      </c>
      <c r="J139" s="68">
        <f>IF($M139="","",IF(INDEX(tblBilling[Payments Count],$M139)="","",INDEX(tblBilling[Payments Count],$M139)))</f>
        <v/>
      </c>
      <c r="M139">
        <f>IF(M138="","",IFERROR(M138+MATCH(CH_CustomerID,INDEX(tblBilling[Customer ID],M138+1):INDEX(tblBilling[Customer ID],ROWS(tblBilling[Customer ID])),0),""))</f>
        <v/>
      </c>
    </row>
    <row r="140">
      <c r="B140" s="64">
        <f>IF($M140="","",IF(INDEX(tblBilling[Month],$M140)="","",INDEX(tblBilling[Month],$M140)))</f>
        <v/>
      </c>
      <c r="C140" s="65">
        <f>IF($M140="","",IF(INDEX(tblBilling[Month Name],$M140)="","",INDEX(tblBilling[Month Name],$M140)))</f>
        <v/>
      </c>
      <c r="D140" s="66">
        <f>IF($M140="","",IF(INDEX(tblBilling[Monthly Fee],$M140)="","",INDEX(tblBilling[Monthly Fee],$M140)))</f>
        <v/>
      </c>
      <c r="E140" s="66">
        <f>IF($M140="","",IF(INDEX(tblBilling[Amount Paid],$M140)="","",INDEX(tblBilling[Amount Paid],$M140)))</f>
        <v/>
      </c>
      <c r="F140" s="67">
        <f>IF($M140="","",IF(INDEX(tblBilling[Last Payment Date],$M140)="","",INDEX(tblBilling[Last Payment Date],$M140)))</f>
        <v/>
      </c>
      <c r="G140" s="66">
        <f>IF($M140="","",IF(INDEX(tblBilling[Balance],$M140)="","",INDEX(tblBilling[Balance],$M140)))</f>
        <v/>
      </c>
      <c r="H140" s="65">
        <f>IF($M140="","",IF(INDEX(tblBilling[Payment Status],$M140)="","",INDEX(tblBilling[Payment Status],$M140)))</f>
        <v/>
      </c>
      <c r="I140" s="65">
        <f>IF($M140="","",IF(INDEX(tblBilling[Collector Name],$M140)="","",INDEX(tblBilling[Collector Name],$M140)))</f>
        <v/>
      </c>
      <c r="J140" s="68">
        <f>IF($M140="","",IF(INDEX(tblBilling[Payments Count],$M140)="","",INDEX(tblBilling[Payments Count],$M140)))</f>
        <v/>
      </c>
      <c r="M140">
        <f>IF(M139="","",IFERROR(M139+MATCH(CH_CustomerID,INDEX(tblBilling[Customer ID],M139+1):INDEX(tblBilling[Customer ID],ROWS(tblBilling[Customer ID])),0),""))</f>
        <v/>
      </c>
    </row>
    <row r="141">
      <c r="B141" s="64">
        <f>IF($M141="","",IF(INDEX(tblBilling[Month],$M141)="","",INDEX(tblBilling[Month],$M141)))</f>
        <v/>
      </c>
      <c r="C141" s="65">
        <f>IF($M141="","",IF(INDEX(tblBilling[Month Name],$M141)="","",INDEX(tblBilling[Month Name],$M141)))</f>
        <v/>
      </c>
      <c r="D141" s="66">
        <f>IF($M141="","",IF(INDEX(tblBilling[Monthly Fee],$M141)="","",INDEX(tblBilling[Monthly Fee],$M141)))</f>
        <v/>
      </c>
      <c r="E141" s="66">
        <f>IF($M141="","",IF(INDEX(tblBilling[Amount Paid],$M141)="","",INDEX(tblBilling[Amount Paid],$M141)))</f>
        <v/>
      </c>
      <c r="F141" s="67">
        <f>IF($M141="","",IF(INDEX(tblBilling[Last Payment Date],$M141)="","",INDEX(tblBilling[Last Payment Date],$M141)))</f>
        <v/>
      </c>
      <c r="G141" s="66">
        <f>IF($M141="","",IF(INDEX(tblBilling[Balance],$M141)="","",INDEX(tblBilling[Balance],$M141)))</f>
        <v/>
      </c>
      <c r="H141" s="65">
        <f>IF($M141="","",IF(INDEX(tblBilling[Payment Status],$M141)="","",INDEX(tblBilling[Payment Status],$M141)))</f>
        <v/>
      </c>
      <c r="I141" s="65">
        <f>IF($M141="","",IF(INDEX(tblBilling[Collector Name],$M141)="","",INDEX(tblBilling[Collector Name],$M141)))</f>
        <v/>
      </c>
      <c r="J141" s="68">
        <f>IF($M141="","",IF(INDEX(tblBilling[Payments Count],$M141)="","",INDEX(tblBilling[Payments Count],$M141)))</f>
        <v/>
      </c>
      <c r="M141">
        <f>IF(M140="","",IFERROR(M140+MATCH(CH_CustomerID,INDEX(tblBilling[Customer ID],M140+1):INDEX(tblBilling[Customer ID],ROWS(tblBilling[Customer ID])),0),""))</f>
        <v/>
      </c>
    </row>
    <row r="142">
      <c r="B142" s="64">
        <f>IF($M142="","",IF(INDEX(tblBilling[Month],$M142)="","",INDEX(tblBilling[Month],$M142)))</f>
        <v/>
      </c>
      <c r="C142" s="65">
        <f>IF($M142="","",IF(INDEX(tblBilling[Month Name],$M142)="","",INDEX(tblBilling[Month Name],$M142)))</f>
        <v/>
      </c>
      <c r="D142" s="66">
        <f>IF($M142="","",IF(INDEX(tblBilling[Monthly Fee],$M142)="","",INDEX(tblBilling[Monthly Fee],$M142)))</f>
        <v/>
      </c>
      <c r="E142" s="66">
        <f>IF($M142="","",IF(INDEX(tblBilling[Amount Paid],$M142)="","",INDEX(tblBilling[Amount Paid],$M142)))</f>
        <v/>
      </c>
      <c r="F142" s="67">
        <f>IF($M142="","",IF(INDEX(tblBilling[Last Payment Date],$M142)="","",INDEX(tblBilling[Last Payment Date],$M142)))</f>
        <v/>
      </c>
      <c r="G142" s="66">
        <f>IF($M142="","",IF(INDEX(tblBilling[Balance],$M142)="","",INDEX(tblBilling[Balance],$M142)))</f>
        <v/>
      </c>
      <c r="H142" s="65">
        <f>IF($M142="","",IF(INDEX(tblBilling[Payment Status],$M142)="","",INDEX(tblBilling[Payment Status],$M142)))</f>
        <v/>
      </c>
      <c r="I142" s="65">
        <f>IF($M142="","",IF(INDEX(tblBilling[Collector Name],$M142)="","",INDEX(tblBilling[Collector Name],$M142)))</f>
        <v/>
      </c>
      <c r="J142" s="68">
        <f>IF($M142="","",IF(INDEX(tblBilling[Payments Count],$M142)="","",INDEX(tblBilling[Payments Count],$M142)))</f>
        <v/>
      </c>
      <c r="M142">
        <f>IF(M141="","",IFERROR(M141+MATCH(CH_CustomerID,INDEX(tblBilling[Customer ID],M141+1):INDEX(tblBilling[Customer ID],ROWS(tblBilling[Customer ID])),0),""))</f>
        <v/>
      </c>
    </row>
    <row r="143">
      <c r="B143" s="64">
        <f>IF($M143="","",IF(INDEX(tblBilling[Month],$M143)="","",INDEX(tblBilling[Month],$M143)))</f>
        <v/>
      </c>
      <c r="C143" s="65">
        <f>IF($M143="","",IF(INDEX(tblBilling[Month Name],$M143)="","",INDEX(tblBilling[Month Name],$M143)))</f>
        <v/>
      </c>
      <c r="D143" s="66">
        <f>IF($M143="","",IF(INDEX(tblBilling[Monthly Fee],$M143)="","",INDEX(tblBilling[Monthly Fee],$M143)))</f>
        <v/>
      </c>
      <c r="E143" s="66">
        <f>IF($M143="","",IF(INDEX(tblBilling[Amount Paid],$M143)="","",INDEX(tblBilling[Amount Paid],$M143)))</f>
        <v/>
      </c>
      <c r="F143" s="67">
        <f>IF($M143="","",IF(INDEX(tblBilling[Last Payment Date],$M143)="","",INDEX(tblBilling[Last Payment Date],$M143)))</f>
        <v/>
      </c>
      <c r="G143" s="66">
        <f>IF($M143="","",IF(INDEX(tblBilling[Balance],$M143)="","",INDEX(tblBilling[Balance],$M143)))</f>
        <v/>
      </c>
      <c r="H143" s="65">
        <f>IF($M143="","",IF(INDEX(tblBilling[Payment Status],$M143)="","",INDEX(tblBilling[Payment Status],$M143)))</f>
        <v/>
      </c>
      <c r="I143" s="65">
        <f>IF($M143="","",IF(INDEX(tblBilling[Collector Name],$M143)="","",INDEX(tblBilling[Collector Name],$M143)))</f>
        <v/>
      </c>
      <c r="J143" s="68">
        <f>IF($M143="","",IF(INDEX(tblBilling[Payments Count],$M143)="","",INDEX(tblBilling[Payments Count],$M143)))</f>
        <v/>
      </c>
      <c r="M143">
        <f>IF(M142="","",IFERROR(M142+MATCH(CH_CustomerID,INDEX(tblBilling[Customer ID],M142+1):INDEX(tblBilling[Customer ID],ROWS(tblBilling[Customer ID])),0),""))</f>
        <v/>
      </c>
    </row>
    <row r="144">
      <c r="B144" s="64">
        <f>IF($M144="","",IF(INDEX(tblBilling[Month],$M144)="","",INDEX(tblBilling[Month],$M144)))</f>
        <v/>
      </c>
      <c r="C144" s="65">
        <f>IF($M144="","",IF(INDEX(tblBilling[Month Name],$M144)="","",INDEX(tblBilling[Month Name],$M144)))</f>
        <v/>
      </c>
      <c r="D144" s="66">
        <f>IF($M144="","",IF(INDEX(tblBilling[Monthly Fee],$M144)="","",INDEX(tblBilling[Monthly Fee],$M144)))</f>
        <v/>
      </c>
      <c r="E144" s="66">
        <f>IF($M144="","",IF(INDEX(tblBilling[Amount Paid],$M144)="","",INDEX(tblBilling[Amount Paid],$M144)))</f>
        <v/>
      </c>
      <c r="F144" s="67">
        <f>IF($M144="","",IF(INDEX(tblBilling[Last Payment Date],$M144)="","",INDEX(tblBilling[Last Payment Date],$M144)))</f>
        <v/>
      </c>
      <c r="G144" s="66">
        <f>IF($M144="","",IF(INDEX(tblBilling[Balance],$M144)="","",INDEX(tblBilling[Balance],$M144)))</f>
        <v/>
      </c>
      <c r="H144" s="65">
        <f>IF($M144="","",IF(INDEX(tblBilling[Payment Status],$M144)="","",INDEX(tblBilling[Payment Status],$M144)))</f>
        <v/>
      </c>
      <c r="I144" s="65">
        <f>IF($M144="","",IF(INDEX(tblBilling[Collector Name],$M144)="","",INDEX(tblBilling[Collector Name],$M144)))</f>
        <v/>
      </c>
      <c r="J144" s="68">
        <f>IF($M144="","",IF(INDEX(tblBilling[Payments Count],$M144)="","",INDEX(tblBilling[Payments Count],$M144)))</f>
        <v/>
      </c>
      <c r="M144">
        <f>IF(M143="","",IFERROR(M143+MATCH(CH_CustomerID,INDEX(tblBilling[Customer ID],M143+1):INDEX(tblBilling[Customer ID],ROWS(tblBilling[Customer ID])),0),""))</f>
        <v/>
      </c>
    </row>
    <row r="145">
      <c r="B145" s="64">
        <f>IF($M145="","",IF(INDEX(tblBilling[Month],$M145)="","",INDEX(tblBilling[Month],$M145)))</f>
        <v/>
      </c>
      <c r="C145" s="65">
        <f>IF($M145="","",IF(INDEX(tblBilling[Month Name],$M145)="","",INDEX(tblBilling[Month Name],$M145)))</f>
        <v/>
      </c>
      <c r="D145" s="66">
        <f>IF($M145="","",IF(INDEX(tblBilling[Monthly Fee],$M145)="","",INDEX(tblBilling[Monthly Fee],$M145)))</f>
        <v/>
      </c>
      <c r="E145" s="66">
        <f>IF($M145="","",IF(INDEX(tblBilling[Amount Paid],$M145)="","",INDEX(tblBilling[Amount Paid],$M145)))</f>
        <v/>
      </c>
      <c r="F145" s="67">
        <f>IF($M145="","",IF(INDEX(tblBilling[Last Payment Date],$M145)="","",INDEX(tblBilling[Last Payment Date],$M145)))</f>
        <v/>
      </c>
      <c r="G145" s="66">
        <f>IF($M145="","",IF(INDEX(tblBilling[Balance],$M145)="","",INDEX(tblBilling[Balance],$M145)))</f>
        <v/>
      </c>
      <c r="H145" s="65">
        <f>IF($M145="","",IF(INDEX(tblBilling[Payment Status],$M145)="","",INDEX(tblBilling[Payment Status],$M145)))</f>
        <v/>
      </c>
      <c r="I145" s="65">
        <f>IF($M145="","",IF(INDEX(tblBilling[Collector Name],$M145)="","",INDEX(tblBilling[Collector Name],$M145)))</f>
        <v/>
      </c>
      <c r="J145" s="68">
        <f>IF($M145="","",IF(INDEX(tblBilling[Payments Count],$M145)="","",INDEX(tblBilling[Payments Count],$M145)))</f>
        <v/>
      </c>
      <c r="M145">
        <f>IF(M144="","",IFERROR(M144+MATCH(CH_CustomerID,INDEX(tblBilling[Customer ID],M144+1):INDEX(tblBilling[Customer ID],ROWS(tblBilling[Customer ID])),0),""))</f>
        <v/>
      </c>
    </row>
    <row r="146">
      <c r="B146" s="64">
        <f>IF($M146="","",IF(INDEX(tblBilling[Month],$M146)="","",INDEX(tblBilling[Month],$M146)))</f>
        <v/>
      </c>
      <c r="C146" s="65">
        <f>IF($M146="","",IF(INDEX(tblBilling[Month Name],$M146)="","",INDEX(tblBilling[Month Name],$M146)))</f>
        <v/>
      </c>
      <c r="D146" s="66">
        <f>IF($M146="","",IF(INDEX(tblBilling[Monthly Fee],$M146)="","",INDEX(tblBilling[Monthly Fee],$M146)))</f>
        <v/>
      </c>
      <c r="E146" s="66">
        <f>IF($M146="","",IF(INDEX(tblBilling[Amount Paid],$M146)="","",INDEX(tblBilling[Amount Paid],$M146)))</f>
        <v/>
      </c>
      <c r="F146" s="67">
        <f>IF($M146="","",IF(INDEX(tblBilling[Last Payment Date],$M146)="","",INDEX(tblBilling[Last Payment Date],$M146)))</f>
        <v/>
      </c>
      <c r="G146" s="66">
        <f>IF($M146="","",IF(INDEX(tblBilling[Balance],$M146)="","",INDEX(tblBilling[Balance],$M146)))</f>
        <v/>
      </c>
      <c r="H146" s="65">
        <f>IF($M146="","",IF(INDEX(tblBilling[Payment Status],$M146)="","",INDEX(tblBilling[Payment Status],$M146)))</f>
        <v/>
      </c>
      <c r="I146" s="65">
        <f>IF($M146="","",IF(INDEX(tblBilling[Collector Name],$M146)="","",INDEX(tblBilling[Collector Name],$M146)))</f>
        <v/>
      </c>
      <c r="J146" s="68">
        <f>IF($M146="","",IF(INDEX(tblBilling[Payments Count],$M146)="","",INDEX(tblBilling[Payments Count],$M146)))</f>
        <v/>
      </c>
      <c r="M146">
        <f>IF(M145="","",IFERROR(M145+MATCH(CH_CustomerID,INDEX(tblBilling[Customer ID],M145+1):INDEX(tblBilling[Customer ID],ROWS(tblBilling[Customer ID])),0),""))</f>
        <v/>
      </c>
    </row>
    <row r="147">
      <c r="B147" s="64">
        <f>IF($M147="","",IF(INDEX(tblBilling[Month],$M147)="","",INDEX(tblBilling[Month],$M147)))</f>
        <v/>
      </c>
      <c r="C147" s="65">
        <f>IF($M147="","",IF(INDEX(tblBilling[Month Name],$M147)="","",INDEX(tblBilling[Month Name],$M147)))</f>
        <v/>
      </c>
      <c r="D147" s="66">
        <f>IF($M147="","",IF(INDEX(tblBilling[Monthly Fee],$M147)="","",INDEX(tblBilling[Monthly Fee],$M147)))</f>
        <v/>
      </c>
      <c r="E147" s="66">
        <f>IF($M147="","",IF(INDEX(tblBilling[Amount Paid],$M147)="","",INDEX(tblBilling[Amount Paid],$M147)))</f>
        <v/>
      </c>
      <c r="F147" s="67">
        <f>IF($M147="","",IF(INDEX(tblBilling[Last Payment Date],$M147)="","",INDEX(tblBilling[Last Payment Date],$M147)))</f>
        <v/>
      </c>
      <c r="G147" s="66">
        <f>IF($M147="","",IF(INDEX(tblBilling[Balance],$M147)="","",INDEX(tblBilling[Balance],$M147)))</f>
        <v/>
      </c>
      <c r="H147" s="65">
        <f>IF($M147="","",IF(INDEX(tblBilling[Payment Status],$M147)="","",INDEX(tblBilling[Payment Status],$M147)))</f>
        <v/>
      </c>
      <c r="I147" s="65">
        <f>IF($M147="","",IF(INDEX(tblBilling[Collector Name],$M147)="","",INDEX(tblBilling[Collector Name],$M147)))</f>
        <v/>
      </c>
      <c r="J147" s="68">
        <f>IF($M147="","",IF(INDEX(tblBilling[Payments Count],$M147)="","",INDEX(tblBilling[Payments Count],$M147)))</f>
        <v/>
      </c>
      <c r="M147">
        <f>IF(M146="","",IFERROR(M146+MATCH(CH_CustomerID,INDEX(tblBilling[Customer ID],M146+1):INDEX(tblBilling[Customer ID],ROWS(tblBilling[Customer ID])),0),""))</f>
        <v/>
      </c>
    </row>
    <row r="148">
      <c r="B148" s="64">
        <f>IF($M148="","",IF(INDEX(tblBilling[Month],$M148)="","",INDEX(tblBilling[Month],$M148)))</f>
        <v/>
      </c>
      <c r="C148" s="65">
        <f>IF($M148="","",IF(INDEX(tblBilling[Month Name],$M148)="","",INDEX(tblBilling[Month Name],$M148)))</f>
        <v/>
      </c>
      <c r="D148" s="66">
        <f>IF($M148="","",IF(INDEX(tblBilling[Monthly Fee],$M148)="","",INDEX(tblBilling[Monthly Fee],$M148)))</f>
        <v/>
      </c>
      <c r="E148" s="66">
        <f>IF($M148="","",IF(INDEX(tblBilling[Amount Paid],$M148)="","",INDEX(tblBilling[Amount Paid],$M148)))</f>
        <v/>
      </c>
      <c r="F148" s="67">
        <f>IF($M148="","",IF(INDEX(tblBilling[Last Payment Date],$M148)="","",INDEX(tblBilling[Last Payment Date],$M148)))</f>
        <v/>
      </c>
      <c r="G148" s="66">
        <f>IF($M148="","",IF(INDEX(tblBilling[Balance],$M148)="","",INDEX(tblBilling[Balance],$M148)))</f>
        <v/>
      </c>
      <c r="H148" s="65">
        <f>IF($M148="","",IF(INDEX(tblBilling[Payment Status],$M148)="","",INDEX(tblBilling[Payment Status],$M148)))</f>
        <v/>
      </c>
      <c r="I148" s="65">
        <f>IF($M148="","",IF(INDEX(tblBilling[Collector Name],$M148)="","",INDEX(tblBilling[Collector Name],$M148)))</f>
        <v/>
      </c>
      <c r="J148" s="68">
        <f>IF($M148="","",IF(INDEX(tblBilling[Payments Count],$M148)="","",INDEX(tblBilling[Payments Count],$M148)))</f>
        <v/>
      </c>
      <c r="M148">
        <f>IF(M147="","",IFERROR(M147+MATCH(CH_CustomerID,INDEX(tblBilling[Customer ID],M147+1):INDEX(tblBilling[Customer ID],ROWS(tblBilling[Customer ID])),0),""))</f>
        <v/>
      </c>
    </row>
    <row r="149">
      <c r="B149" s="64">
        <f>IF($M149="","",IF(INDEX(tblBilling[Month],$M149)="","",INDEX(tblBilling[Month],$M149)))</f>
        <v/>
      </c>
      <c r="C149" s="65">
        <f>IF($M149="","",IF(INDEX(tblBilling[Month Name],$M149)="","",INDEX(tblBilling[Month Name],$M149)))</f>
        <v/>
      </c>
      <c r="D149" s="66">
        <f>IF($M149="","",IF(INDEX(tblBilling[Monthly Fee],$M149)="","",INDEX(tblBilling[Monthly Fee],$M149)))</f>
        <v/>
      </c>
      <c r="E149" s="66">
        <f>IF($M149="","",IF(INDEX(tblBilling[Amount Paid],$M149)="","",INDEX(tblBilling[Amount Paid],$M149)))</f>
        <v/>
      </c>
      <c r="F149" s="67">
        <f>IF($M149="","",IF(INDEX(tblBilling[Last Payment Date],$M149)="","",INDEX(tblBilling[Last Payment Date],$M149)))</f>
        <v/>
      </c>
      <c r="G149" s="66">
        <f>IF($M149="","",IF(INDEX(tblBilling[Balance],$M149)="","",INDEX(tblBilling[Balance],$M149)))</f>
        <v/>
      </c>
      <c r="H149" s="65">
        <f>IF($M149="","",IF(INDEX(tblBilling[Payment Status],$M149)="","",INDEX(tblBilling[Payment Status],$M149)))</f>
        <v/>
      </c>
      <c r="I149" s="65">
        <f>IF($M149="","",IF(INDEX(tblBilling[Collector Name],$M149)="","",INDEX(tblBilling[Collector Name],$M149)))</f>
        <v/>
      </c>
      <c r="J149" s="68">
        <f>IF($M149="","",IF(INDEX(tblBilling[Payments Count],$M149)="","",INDEX(tblBilling[Payments Count],$M149)))</f>
        <v/>
      </c>
      <c r="M149">
        <f>IF(M148="","",IFERROR(M148+MATCH(CH_CustomerID,INDEX(tblBilling[Customer ID],M148+1):INDEX(tblBilling[Customer ID],ROWS(tblBilling[Customer ID])),0),""))</f>
        <v/>
      </c>
    </row>
    <row r="150">
      <c r="B150" s="64">
        <f>IF($M150="","",IF(INDEX(tblBilling[Month],$M150)="","",INDEX(tblBilling[Month],$M150)))</f>
        <v/>
      </c>
      <c r="C150" s="65">
        <f>IF($M150="","",IF(INDEX(tblBilling[Month Name],$M150)="","",INDEX(tblBilling[Month Name],$M150)))</f>
        <v/>
      </c>
      <c r="D150" s="66">
        <f>IF($M150="","",IF(INDEX(tblBilling[Monthly Fee],$M150)="","",INDEX(tblBilling[Monthly Fee],$M150)))</f>
        <v/>
      </c>
      <c r="E150" s="66">
        <f>IF($M150="","",IF(INDEX(tblBilling[Amount Paid],$M150)="","",INDEX(tblBilling[Amount Paid],$M150)))</f>
        <v/>
      </c>
      <c r="F150" s="67">
        <f>IF($M150="","",IF(INDEX(tblBilling[Last Payment Date],$M150)="","",INDEX(tblBilling[Last Payment Date],$M150)))</f>
        <v/>
      </c>
      <c r="G150" s="66">
        <f>IF($M150="","",IF(INDEX(tblBilling[Balance],$M150)="","",INDEX(tblBilling[Balance],$M150)))</f>
        <v/>
      </c>
      <c r="H150" s="65">
        <f>IF($M150="","",IF(INDEX(tblBilling[Payment Status],$M150)="","",INDEX(tblBilling[Payment Status],$M150)))</f>
        <v/>
      </c>
      <c r="I150" s="65">
        <f>IF($M150="","",IF(INDEX(tblBilling[Collector Name],$M150)="","",INDEX(tblBilling[Collector Name],$M150)))</f>
        <v/>
      </c>
      <c r="J150" s="68">
        <f>IF($M150="","",IF(INDEX(tblBilling[Payments Count],$M150)="","",INDEX(tblBilling[Payments Count],$M150)))</f>
        <v/>
      </c>
      <c r="M150">
        <f>IF(M149="","",IFERROR(M149+MATCH(CH_CustomerID,INDEX(tblBilling[Customer ID],M149+1):INDEX(tblBilling[Customer ID],ROWS(tblBilling[Customer ID])),0),""))</f>
        <v/>
      </c>
    </row>
    <row r="151">
      <c r="B151" s="64">
        <f>IF($M151="","",IF(INDEX(tblBilling[Month],$M151)="","",INDEX(tblBilling[Month],$M151)))</f>
        <v/>
      </c>
      <c r="C151" s="65">
        <f>IF($M151="","",IF(INDEX(tblBilling[Month Name],$M151)="","",INDEX(tblBilling[Month Name],$M151)))</f>
        <v/>
      </c>
      <c r="D151" s="66">
        <f>IF($M151="","",IF(INDEX(tblBilling[Monthly Fee],$M151)="","",INDEX(tblBilling[Monthly Fee],$M151)))</f>
        <v/>
      </c>
      <c r="E151" s="66">
        <f>IF($M151="","",IF(INDEX(tblBilling[Amount Paid],$M151)="","",INDEX(tblBilling[Amount Paid],$M151)))</f>
        <v/>
      </c>
      <c r="F151" s="67">
        <f>IF($M151="","",IF(INDEX(tblBilling[Last Payment Date],$M151)="","",INDEX(tblBilling[Last Payment Date],$M151)))</f>
        <v/>
      </c>
      <c r="G151" s="66">
        <f>IF($M151="","",IF(INDEX(tblBilling[Balance],$M151)="","",INDEX(tblBilling[Balance],$M151)))</f>
        <v/>
      </c>
      <c r="H151" s="65">
        <f>IF($M151="","",IF(INDEX(tblBilling[Payment Status],$M151)="","",INDEX(tblBilling[Payment Status],$M151)))</f>
        <v/>
      </c>
      <c r="I151" s="65">
        <f>IF($M151="","",IF(INDEX(tblBilling[Collector Name],$M151)="","",INDEX(tblBilling[Collector Name],$M151)))</f>
        <v/>
      </c>
      <c r="J151" s="68">
        <f>IF($M151="","",IF(INDEX(tblBilling[Payments Count],$M151)="","",INDEX(tblBilling[Payments Count],$M151)))</f>
        <v/>
      </c>
      <c r="M151">
        <f>IF(M150="","",IFERROR(M150+MATCH(CH_CustomerID,INDEX(tblBilling[Customer ID],M150+1):INDEX(tblBilling[Customer ID],ROWS(tblBilling[Customer ID])),0),""))</f>
        <v/>
      </c>
    </row>
    <row r="152">
      <c r="B152" s="64">
        <f>IF($M152="","",IF(INDEX(tblBilling[Month],$M152)="","",INDEX(tblBilling[Month],$M152)))</f>
        <v/>
      </c>
      <c r="C152" s="65">
        <f>IF($M152="","",IF(INDEX(tblBilling[Month Name],$M152)="","",INDEX(tblBilling[Month Name],$M152)))</f>
        <v/>
      </c>
      <c r="D152" s="66">
        <f>IF($M152="","",IF(INDEX(tblBilling[Monthly Fee],$M152)="","",INDEX(tblBilling[Monthly Fee],$M152)))</f>
        <v/>
      </c>
      <c r="E152" s="66">
        <f>IF($M152="","",IF(INDEX(tblBilling[Amount Paid],$M152)="","",INDEX(tblBilling[Amount Paid],$M152)))</f>
        <v/>
      </c>
      <c r="F152" s="67">
        <f>IF($M152="","",IF(INDEX(tblBilling[Last Payment Date],$M152)="","",INDEX(tblBilling[Last Payment Date],$M152)))</f>
        <v/>
      </c>
      <c r="G152" s="66">
        <f>IF($M152="","",IF(INDEX(tblBilling[Balance],$M152)="","",INDEX(tblBilling[Balance],$M152)))</f>
        <v/>
      </c>
      <c r="H152" s="65">
        <f>IF($M152="","",IF(INDEX(tblBilling[Payment Status],$M152)="","",INDEX(tblBilling[Payment Status],$M152)))</f>
        <v/>
      </c>
      <c r="I152" s="65">
        <f>IF($M152="","",IF(INDEX(tblBilling[Collector Name],$M152)="","",INDEX(tblBilling[Collector Name],$M152)))</f>
        <v/>
      </c>
      <c r="J152" s="68">
        <f>IF($M152="","",IF(INDEX(tblBilling[Payments Count],$M152)="","",INDEX(tblBilling[Payments Count],$M152)))</f>
        <v/>
      </c>
      <c r="M152">
        <f>IF(M151="","",IFERROR(M151+MATCH(CH_CustomerID,INDEX(tblBilling[Customer ID],M151+1):INDEX(tblBilling[Customer ID],ROWS(tblBilling[Customer ID])),0),""))</f>
        <v/>
      </c>
    </row>
    <row r="153">
      <c r="B153" s="64">
        <f>IF($M153="","",IF(INDEX(tblBilling[Month],$M153)="","",INDEX(tblBilling[Month],$M153)))</f>
        <v/>
      </c>
      <c r="C153" s="65">
        <f>IF($M153="","",IF(INDEX(tblBilling[Month Name],$M153)="","",INDEX(tblBilling[Month Name],$M153)))</f>
        <v/>
      </c>
      <c r="D153" s="66">
        <f>IF($M153="","",IF(INDEX(tblBilling[Monthly Fee],$M153)="","",INDEX(tblBilling[Monthly Fee],$M153)))</f>
        <v/>
      </c>
      <c r="E153" s="66">
        <f>IF($M153="","",IF(INDEX(tblBilling[Amount Paid],$M153)="","",INDEX(tblBilling[Amount Paid],$M153)))</f>
        <v/>
      </c>
      <c r="F153" s="67">
        <f>IF($M153="","",IF(INDEX(tblBilling[Last Payment Date],$M153)="","",INDEX(tblBilling[Last Payment Date],$M153)))</f>
        <v/>
      </c>
      <c r="G153" s="66">
        <f>IF($M153="","",IF(INDEX(tblBilling[Balance],$M153)="","",INDEX(tblBilling[Balance],$M153)))</f>
        <v/>
      </c>
      <c r="H153" s="65">
        <f>IF($M153="","",IF(INDEX(tblBilling[Payment Status],$M153)="","",INDEX(tblBilling[Payment Status],$M153)))</f>
        <v/>
      </c>
      <c r="I153" s="65">
        <f>IF($M153="","",IF(INDEX(tblBilling[Collector Name],$M153)="","",INDEX(tblBilling[Collector Name],$M153)))</f>
        <v/>
      </c>
      <c r="J153" s="68">
        <f>IF($M153="","",IF(INDEX(tblBilling[Payments Count],$M153)="","",INDEX(tblBilling[Payments Count],$M153)))</f>
        <v/>
      </c>
      <c r="M153">
        <f>IF(M152="","",IFERROR(M152+MATCH(CH_CustomerID,INDEX(tblBilling[Customer ID],M152+1):INDEX(tblBilling[Customer ID],ROWS(tblBilling[Customer ID])),0),""))</f>
        <v/>
      </c>
    </row>
    <row r="154">
      <c r="B154" s="64">
        <f>IF($M154="","",IF(INDEX(tblBilling[Month],$M154)="","",INDEX(tblBilling[Month],$M154)))</f>
        <v/>
      </c>
      <c r="C154" s="65">
        <f>IF($M154="","",IF(INDEX(tblBilling[Month Name],$M154)="","",INDEX(tblBilling[Month Name],$M154)))</f>
        <v/>
      </c>
      <c r="D154" s="66">
        <f>IF($M154="","",IF(INDEX(tblBilling[Monthly Fee],$M154)="","",INDEX(tblBilling[Monthly Fee],$M154)))</f>
        <v/>
      </c>
      <c r="E154" s="66">
        <f>IF($M154="","",IF(INDEX(tblBilling[Amount Paid],$M154)="","",INDEX(tblBilling[Amount Paid],$M154)))</f>
        <v/>
      </c>
      <c r="F154" s="67">
        <f>IF($M154="","",IF(INDEX(tblBilling[Last Payment Date],$M154)="","",INDEX(tblBilling[Last Payment Date],$M154)))</f>
        <v/>
      </c>
      <c r="G154" s="66">
        <f>IF($M154="","",IF(INDEX(tblBilling[Balance],$M154)="","",INDEX(tblBilling[Balance],$M154)))</f>
        <v/>
      </c>
      <c r="H154" s="65">
        <f>IF($M154="","",IF(INDEX(tblBilling[Payment Status],$M154)="","",INDEX(tblBilling[Payment Status],$M154)))</f>
        <v/>
      </c>
      <c r="I154" s="65">
        <f>IF($M154="","",IF(INDEX(tblBilling[Collector Name],$M154)="","",INDEX(tblBilling[Collector Name],$M154)))</f>
        <v/>
      </c>
      <c r="J154" s="68">
        <f>IF($M154="","",IF(INDEX(tblBilling[Payments Count],$M154)="","",INDEX(tblBilling[Payments Count],$M154)))</f>
        <v/>
      </c>
      <c r="M154">
        <f>IF(M153="","",IFERROR(M153+MATCH(CH_CustomerID,INDEX(tblBilling[Customer ID],M153+1):INDEX(tblBilling[Customer ID],ROWS(tblBilling[Customer ID])),0),""))</f>
        <v/>
      </c>
    </row>
    <row r="155">
      <c r="B155" s="64">
        <f>IF($M155="","",IF(INDEX(tblBilling[Month],$M155)="","",INDEX(tblBilling[Month],$M155)))</f>
        <v/>
      </c>
      <c r="C155" s="65">
        <f>IF($M155="","",IF(INDEX(tblBilling[Month Name],$M155)="","",INDEX(tblBilling[Month Name],$M155)))</f>
        <v/>
      </c>
      <c r="D155" s="66">
        <f>IF($M155="","",IF(INDEX(tblBilling[Monthly Fee],$M155)="","",INDEX(tblBilling[Monthly Fee],$M155)))</f>
        <v/>
      </c>
      <c r="E155" s="66">
        <f>IF($M155="","",IF(INDEX(tblBilling[Amount Paid],$M155)="","",INDEX(tblBilling[Amount Paid],$M155)))</f>
        <v/>
      </c>
      <c r="F155" s="67">
        <f>IF($M155="","",IF(INDEX(tblBilling[Last Payment Date],$M155)="","",INDEX(tblBilling[Last Payment Date],$M155)))</f>
        <v/>
      </c>
      <c r="G155" s="66">
        <f>IF($M155="","",IF(INDEX(tblBilling[Balance],$M155)="","",INDEX(tblBilling[Balance],$M155)))</f>
        <v/>
      </c>
      <c r="H155" s="65">
        <f>IF($M155="","",IF(INDEX(tblBilling[Payment Status],$M155)="","",INDEX(tblBilling[Payment Status],$M155)))</f>
        <v/>
      </c>
      <c r="I155" s="65">
        <f>IF($M155="","",IF(INDEX(tblBilling[Collector Name],$M155)="","",INDEX(tblBilling[Collector Name],$M155)))</f>
        <v/>
      </c>
      <c r="J155" s="68">
        <f>IF($M155="","",IF(INDEX(tblBilling[Payments Count],$M155)="","",INDEX(tblBilling[Payments Count],$M155)))</f>
        <v/>
      </c>
      <c r="M155">
        <f>IF(M154="","",IFERROR(M154+MATCH(CH_CustomerID,INDEX(tblBilling[Customer ID],M154+1):INDEX(tblBilling[Customer ID],ROWS(tblBilling[Customer ID])),0),""))</f>
        <v/>
      </c>
    </row>
    <row r="156">
      <c r="B156" s="64">
        <f>IF($M156="","",IF(INDEX(tblBilling[Month],$M156)="","",INDEX(tblBilling[Month],$M156)))</f>
        <v/>
      </c>
      <c r="C156" s="65">
        <f>IF($M156="","",IF(INDEX(tblBilling[Month Name],$M156)="","",INDEX(tblBilling[Month Name],$M156)))</f>
        <v/>
      </c>
      <c r="D156" s="66">
        <f>IF($M156="","",IF(INDEX(tblBilling[Monthly Fee],$M156)="","",INDEX(tblBilling[Monthly Fee],$M156)))</f>
        <v/>
      </c>
      <c r="E156" s="66">
        <f>IF($M156="","",IF(INDEX(tblBilling[Amount Paid],$M156)="","",INDEX(tblBilling[Amount Paid],$M156)))</f>
        <v/>
      </c>
      <c r="F156" s="67">
        <f>IF($M156="","",IF(INDEX(tblBilling[Last Payment Date],$M156)="","",INDEX(tblBilling[Last Payment Date],$M156)))</f>
        <v/>
      </c>
      <c r="G156" s="66">
        <f>IF($M156="","",IF(INDEX(tblBilling[Balance],$M156)="","",INDEX(tblBilling[Balance],$M156)))</f>
        <v/>
      </c>
      <c r="H156" s="65">
        <f>IF($M156="","",IF(INDEX(tblBilling[Payment Status],$M156)="","",INDEX(tblBilling[Payment Status],$M156)))</f>
        <v/>
      </c>
      <c r="I156" s="65">
        <f>IF($M156="","",IF(INDEX(tblBilling[Collector Name],$M156)="","",INDEX(tblBilling[Collector Name],$M156)))</f>
        <v/>
      </c>
      <c r="J156" s="68">
        <f>IF($M156="","",IF(INDEX(tblBilling[Payments Count],$M156)="","",INDEX(tblBilling[Payments Count],$M156)))</f>
        <v/>
      </c>
      <c r="M156">
        <f>IF(M155="","",IFERROR(M155+MATCH(CH_CustomerID,INDEX(tblBilling[Customer ID],M155+1):INDEX(tblBilling[Customer ID],ROWS(tblBilling[Customer ID])),0),""))</f>
        <v/>
      </c>
    </row>
    <row r="157">
      <c r="B157" s="64">
        <f>IF($M157="","",IF(INDEX(tblBilling[Month],$M157)="","",INDEX(tblBilling[Month],$M157)))</f>
        <v/>
      </c>
      <c r="C157" s="65">
        <f>IF($M157="","",IF(INDEX(tblBilling[Month Name],$M157)="","",INDEX(tblBilling[Month Name],$M157)))</f>
        <v/>
      </c>
      <c r="D157" s="66">
        <f>IF($M157="","",IF(INDEX(tblBilling[Monthly Fee],$M157)="","",INDEX(tblBilling[Monthly Fee],$M157)))</f>
        <v/>
      </c>
      <c r="E157" s="66">
        <f>IF($M157="","",IF(INDEX(tblBilling[Amount Paid],$M157)="","",INDEX(tblBilling[Amount Paid],$M157)))</f>
        <v/>
      </c>
      <c r="F157" s="67">
        <f>IF($M157="","",IF(INDEX(tblBilling[Last Payment Date],$M157)="","",INDEX(tblBilling[Last Payment Date],$M157)))</f>
        <v/>
      </c>
      <c r="G157" s="66">
        <f>IF($M157="","",IF(INDEX(tblBilling[Balance],$M157)="","",INDEX(tblBilling[Balance],$M157)))</f>
        <v/>
      </c>
      <c r="H157" s="65">
        <f>IF($M157="","",IF(INDEX(tblBilling[Payment Status],$M157)="","",INDEX(tblBilling[Payment Status],$M157)))</f>
        <v/>
      </c>
      <c r="I157" s="65">
        <f>IF($M157="","",IF(INDEX(tblBilling[Collector Name],$M157)="","",INDEX(tblBilling[Collector Name],$M157)))</f>
        <v/>
      </c>
      <c r="J157" s="68">
        <f>IF($M157="","",IF(INDEX(tblBilling[Payments Count],$M157)="","",INDEX(tblBilling[Payments Count],$M157)))</f>
        <v/>
      </c>
      <c r="M157">
        <f>IF(M156="","",IFERROR(M156+MATCH(CH_CustomerID,INDEX(tblBilling[Customer ID],M156+1):INDEX(tblBilling[Customer ID],ROWS(tblBilling[Customer ID])),0),""))</f>
        <v/>
      </c>
    </row>
    <row r="158">
      <c r="B158" s="64">
        <f>IF($M158="","",IF(INDEX(tblBilling[Month],$M158)="","",INDEX(tblBilling[Month],$M158)))</f>
        <v/>
      </c>
      <c r="C158" s="65">
        <f>IF($M158="","",IF(INDEX(tblBilling[Month Name],$M158)="","",INDEX(tblBilling[Month Name],$M158)))</f>
        <v/>
      </c>
      <c r="D158" s="66">
        <f>IF($M158="","",IF(INDEX(tblBilling[Monthly Fee],$M158)="","",INDEX(tblBilling[Monthly Fee],$M158)))</f>
        <v/>
      </c>
      <c r="E158" s="66">
        <f>IF($M158="","",IF(INDEX(tblBilling[Amount Paid],$M158)="","",INDEX(tblBilling[Amount Paid],$M158)))</f>
        <v/>
      </c>
      <c r="F158" s="67">
        <f>IF($M158="","",IF(INDEX(tblBilling[Last Payment Date],$M158)="","",INDEX(tblBilling[Last Payment Date],$M158)))</f>
        <v/>
      </c>
      <c r="G158" s="66">
        <f>IF($M158="","",IF(INDEX(tblBilling[Balance],$M158)="","",INDEX(tblBilling[Balance],$M158)))</f>
        <v/>
      </c>
      <c r="H158" s="65">
        <f>IF($M158="","",IF(INDEX(tblBilling[Payment Status],$M158)="","",INDEX(tblBilling[Payment Status],$M158)))</f>
        <v/>
      </c>
      <c r="I158" s="65">
        <f>IF($M158="","",IF(INDEX(tblBilling[Collector Name],$M158)="","",INDEX(tblBilling[Collector Name],$M158)))</f>
        <v/>
      </c>
      <c r="J158" s="68">
        <f>IF($M158="","",IF(INDEX(tblBilling[Payments Count],$M158)="","",INDEX(tblBilling[Payments Count],$M158)))</f>
        <v/>
      </c>
      <c r="M158">
        <f>IF(M157="","",IFERROR(M157+MATCH(CH_CustomerID,INDEX(tblBilling[Customer ID],M157+1):INDEX(tblBilling[Customer ID],ROWS(tblBilling[Customer ID])),0),""))</f>
        <v/>
      </c>
    </row>
    <row r="160">
      <c r="B160" s="7" t="inlineStr">
        <is>
          <t>CONNECTION HISTORY (CUSTOMER_EVENTS)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B161" s="23" t="inlineStr">
        <is>
          <t>Event Date</t>
        </is>
      </c>
      <c r="C161" s="23" t="inlineStr">
        <is>
          <t>Event Type</t>
        </is>
      </c>
      <c r="D161" s="23" t="inlineStr">
        <is>
          <t>Old Value</t>
        </is>
      </c>
      <c r="E161" s="23" t="inlineStr">
        <is>
          <t>New Value</t>
        </is>
      </c>
      <c r="F161" s="23" t="inlineStr">
        <is>
          <t>Notes</t>
        </is>
      </c>
    </row>
    <row r="162">
      <c r="B162" s="69">
        <f>IF($M162="","",IF(INDEX(tblEvents[Event Date],$M162)="","",INDEX(tblEvents[Event Date],$M162)))</f>
        <v/>
      </c>
      <c r="C162">
        <f>IF($M162="","",IF(INDEX(tblEvents[Event Type],$M162)="","",INDEX(tblEvents[Event Type],$M162)))</f>
        <v/>
      </c>
      <c r="D162">
        <f>IF($M162="","",IF(INDEX(tblEvents[Old Value],$M162)="","",INDEX(tblEvents[Old Value],$M162)))</f>
        <v/>
      </c>
      <c r="E162">
        <f>IF($M162="","",IF(INDEX(tblEvents[New Value],$M162)="","",INDEX(tblEvents[New Value],$M162)))</f>
        <v/>
      </c>
      <c r="F162">
        <f>IF($M162="","",IF(INDEX(tblEvents[Notes],$M162)="","",INDEX(tblEvents[Notes],$M162)))</f>
        <v/>
      </c>
      <c r="M162">
        <f>IF(CH_CustomerID="","",IFERROR(MATCH(CH_CustomerID,tblEvents[Customer ID],0),""))</f>
        <v/>
      </c>
    </row>
    <row r="163">
      <c r="B163" s="69">
        <f>IF($M163="","",IF(INDEX(tblEvents[Event Date],$M163)="","",INDEX(tblEvents[Event Date],$M163)))</f>
        <v/>
      </c>
      <c r="C163">
        <f>IF($M163="","",IF(INDEX(tblEvents[Event Type],$M163)="","",INDEX(tblEvents[Event Type],$M163)))</f>
        <v/>
      </c>
      <c r="D163">
        <f>IF($M163="","",IF(INDEX(tblEvents[Old Value],$M163)="","",INDEX(tblEvents[Old Value],$M163)))</f>
        <v/>
      </c>
      <c r="E163">
        <f>IF($M163="","",IF(INDEX(tblEvents[New Value],$M163)="","",INDEX(tblEvents[New Value],$M163)))</f>
        <v/>
      </c>
      <c r="F163">
        <f>IF($M163="","",IF(INDEX(tblEvents[Notes],$M163)="","",INDEX(tblEvents[Notes],$M163)))</f>
        <v/>
      </c>
      <c r="M163">
        <f>IF(M162="","",IFERROR(M162+MATCH(CH_CustomerID,INDEX(tblEvents[Customer ID],M162+1):INDEX(tblEvents[Customer ID],ROWS(tblEvents[Customer ID])),0),""))</f>
        <v/>
      </c>
    </row>
    <row r="164">
      <c r="B164" s="69">
        <f>IF($M164="","",IF(INDEX(tblEvents[Event Date],$M164)="","",INDEX(tblEvents[Event Date],$M164)))</f>
        <v/>
      </c>
      <c r="C164">
        <f>IF($M164="","",IF(INDEX(tblEvents[Event Type],$M164)="","",INDEX(tblEvents[Event Type],$M164)))</f>
        <v/>
      </c>
      <c r="D164">
        <f>IF($M164="","",IF(INDEX(tblEvents[Old Value],$M164)="","",INDEX(tblEvents[Old Value],$M164)))</f>
        <v/>
      </c>
      <c r="E164">
        <f>IF($M164="","",IF(INDEX(tblEvents[New Value],$M164)="","",INDEX(tblEvents[New Value],$M164)))</f>
        <v/>
      </c>
      <c r="F164">
        <f>IF($M164="","",IF(INDEX(tblEvents[Notes],$M164)="","",INDEX(tblEvents[Notes],$M164)))</f>
        <v/>
      </c>
      <c r="M164">
        <f>IF(M163="","",IFERROR(M163+MATCH(CH_CustomerID,INDEX(tblEvents[Customer ID],M163+1):INDEX(tblEvents[Customer ID],ROWS(tblEvents[Customer ID])),0),""))</f>
        <v/>
      </c>
    </row>
    <row r="165">
      <c r="B165" s="69">
        <f>IF($M165="","",IF(INDEX(tblEvents[Event Date],$M165)="","",INDEX(tblEvents[Event Date],$M165)))</f>
        <v/>
      </c>
      <c r="C165">
        <f>IF($M165="","",IF(INDEX(tblEvents[Event Type],$M165)="","",INDEX(tblEvents[Event Type],$M165)))</f>
        <v/>
      </c>
      <c r="D165">
        <f>IF($M165="","",IF(INDEX(tblEvents[Old Value],$M165)="","",INDEX(tblEvents[Old Value],$M165)))</f>
        <v/>
      </c>
      <c r="E165">
        <f>IF($M165="","",IF(INDEX(tblEvents[New Value],$M165)="","",INDEX(tblEvents[New Value],$M165)))</f>
        <v/>
      </c>
      <c r="F165">
        <f>IF($M165="","",IF(INDEX(tblEvents[Notes],$M165)="","",INDEX(tblEvents[Notes],$M165)))</f>
        <v/>
      </c>
      <c r="M165">
        <f>IF(M164="","",IFERROR(M164+MATCH(CH_CustomerID,INDEX(tblEvents[Customer ID],M164+1):INDEX(tblEvents[Customer ID],ROWS(tblEvents[Customer ID])),0),""))</f>
        <v/>
      </c>
    </row>
    <row r="166">
      <c r="B166" s="69">
        <f>IF($M166="","",IF(INDEX(tblEvents[Event Date],$M166)="","",INDEX(tblEvents[Event Date],$M166)))</f>
        <v/>
      </c>
      <c r="C166">
        <f>IF($M166="","",IF(INDEX(tblEvents[Event Type],$M166)="","",INDEX(tblEvents[Event Type],$M166)))</f>
        <v/>
      </c>
      <c r="D166">
        <f>IF($M166="","",IF(INDEX(tblEvents[Old Value],$M166)="","",INDEX(tblEvents[Old Value],$M166)))</f>
        <v/>
      </c>
      <c r="E166">
        <f>IF($M166="","",IF(INDEX(tblEvents[New Value],$M166)="","",INDEX(tblEvents[New Value],$M166)))</f>
        <v/>
      </c>
      <c r="F166">
        <f>IF($M166="","",IF(INDEX(tblEvents[Notes],$M166)="","",INDEX(tblEvents[Notes],$M166)))</f>
        <v/>
      </c>
      <c r="M166">
        <f>IF(M165="","",IFERROR(M165+MATCH(CH_CustomerID,INDEX(tblEvents[Customer ID],M165+1):INDEX(tblEvents[Customer ID],ROWS(tblEvents[Customer ID])),0),""))</f>
        <v/>
      </c>
    </row>
    <row r="167">
      <c r="B167" s="69">
        <f>IF($M167="","",IF(INDEX(tblEvents[Event Date],$M167)="","",INDEX(tblEvents[Event Date],$M167)))</f>
        <v/>
      </c>
      <c r="C167">
        <f>IF($M167="","",IF(INDEX(tblEvents[Event Type],$M167)="","",INDEX(tblEvents[Event Type],$M167)))</f>
        <v/>
      </c>
      <c r="D167">
        <f>IF($M167="","",IF(INDEX(tblEvents[Old Value],$M167)="","",INDEX(tblEvents[Old Value],$M167)))</f>
        <v/>
      </c>
      <c r="E167">
        <f>IF($M167="","",IF(INDEX(tblEvents[New Value],$M167)="","",INDEX(tblEvents[New Value],$M167)))</f>
        <v/>
      </c>
      <c r="F167">
        <f>IF($M167="","",IF(INDEX(tblEvents[Notes],$M167)="","",INDEX(tblEvents[Notes],$M167)))</f>
        <v/>
      </c>
      <c r="M167">
        <f>IF(M166="","",IFERROR(M166+MATCH(CH_CustomerID,INDEX(tblEvents[Customer ID],M166+1):INDEX(tblEvents[Customer ID],ROWS(tblEvents[Customer ID])),0),""))</f>
        <v/>
      </c>
    </row>
    <row r="168">
      <c r="B168" s="69">
        <f>IF($M168="","",IF(INDEX(tblEvents[Event Date],$M168)="","",INDEX(tblEvents[Event Date],$M168)))</f>
        <v/>
      </c>
      <c r="C168">
        <f>IF($M168="","",IF(INDEX(tblEvents[Event Type],$M168)="","",INDEX(tblEvents[Event Type],$M168)))</f>
        <v/>
      </c>
      <c r="D168">
        <f>IF($M168="","",IF(INDEX(tblEvents[Old Value],$M168)="","",INDEX(tblEvents[Old Value],$M168)))</f>
        <v/>
      </c>
      <c r="E168">
        <f>IF($M168="","",IF(INDEX(tblEvents[New Value],$M168)="","",INDEX(tblEvents[New Value],$M168)))</f>
        <v/>
      </c>
      <c r="F168">
        <f>IF($M168="","",IF(INDEX(tblEvents[Notes],$M168)="","",INDEX(tblEvents[Notes],$M168)))</f>
        <v/>
      </c>
      <c r="M168">
        <f>IF(M167="","",IFERROR(M167+MATCH(CH_CustomerID,INDEX(tblEvents[Customer ID],M167+1):INDEX(tblEvents[Customer ID],ROWS(tblEvents[Customer ID])),0),""))</f>
        <v/>
      </c>
    </row>
    <row r="169">
      <c r="B169" s="69">
        <f>IF($M169="","",IF(INDEX(tblEvents[Event Date],$M169)="","",INDEX(tblEvents[Event Date],$M169)))</f>
        <v/>
      </c>
      <c r="C169">
        <f>IF($M169="","",IF(INDEX(tblEvents[Event Type],$M169)="","",INDEX(tblEvents[Event Type],$M169)))</f>
        <v/>
      </c>
      <c r="D169">
        <f>IF($M169="","",IF(INDEX(tblEvents[Old Value],$M169)="","",INDEX(tblEvents[Old Value],$M169)))</f>
        <v/>
      </c>
      <c r="E169">
        <f>IF($M169="","",IF(INDEX(tblEvents[New Value],$M169)="","",INDEX(tblEvents[New Value],$M169)))</f>
        <v/>
      </c>
      <c r="F169">
        <f>IF($M169="","",IF(INDEX(tblEvents[Notes],$M169)="","",INDEX(tblEvents[Notes],$M169)))</f>
        <v/>
      </c>
      <c r="M169">
        <f>IF(M168="","",IFERROR(M168+MATCH(CH_CustomerID,INDEX(tblEvents[Customer ID],M168+1):INDEX(tblEvents[Customer ID],ROWS(tblEvents[Customer ID])),0),""))</f>
        <v/>
      </c>
    </row>
    <row r="170">
      <c r="B170" s="69">
        <f>IF($M170="","",IF(INDEX(tblEvents[Event Date],$M170)="","",INDEX(tblEvents[Event Date],$M170)))</f>
        <v/>
      </c>
      <c r="C170">
        <f>IF($M170="","",IF(INDEX(tblEvents[Event Type],$M170)="","",INDEX(tblEvents[Event Type],$M170)))</f>
        <v/>
      </c>
      <c r="D170">
        <f>IF($M170="","",IF(INDEX(tblEvents[Old Value],$M170)="","",INDEX(tblEvents[Old Value],$M170)))</f>
        <v/>
      </c>
      <c r="E170">
        <f>IF($M170="","",IF(INDEX(tblEvents[New Value],$M170)="","",INDEX(tblEvents[New Value],$M170)))</f>
        <v/>
      </c>
      <c r="F170">
        <f>IF($M170="","",IF(INDEX(tblEvents[Notes],$M170)="","",INDEX(tblEvents[Notes],$M170)))</f>
        <v/>
      </c>
      <c r="M170">
        <f>IF(M169="","",IFERROR(M169+MATCH(CH_CustomerID,INDEX(tblEvents[Customer ID],M169+1):INDEX(tblEvents[Customer ID],ROWS(tblEvents[Customer ID])),0),""))</f>
        <v/>
      </c>
    </row>
    <row r="171">
      <c r="B171" s="69">
        <f>IF($M171="","",IF(INDEX(tblEvents[Event Date],$M171)="","",INDEX(tblEvents[Event Date],$M171)))</f>
        <v/>
      </c>
      <c r="C171">
        <f>IF($M171="","",IF(INDEX(tblEvents[Event Type],$M171)="","",INDEX(tblEvents[Event Type],$M171)))</f>
        <v/>
      </c>
      <c r="D171">
        <f>IF($M171="","",IF(INDEX(tblEvents[Old Value],$M171)="","",INDEX(tblEvents[Old Value],$M171)))</f>
        <v/>
      </c>
      <c r="E171">
        <f>IF($M171="","",IF(INDEX(tblEvents[New Value],$M171)="","",INDEX(tblEvents[New Value],$M171)))</f>
        <v/>
      </c>
      <c r="F171">
        <f>IF($M171="","",IF(INDEX(tblEvents[Notes],$M171)="","",INDEX(tblEvents[Notes],$M171)))</f>
        <v/>
      </c>
      <c r="M171">
        <f>IF(M170="","",IFERROR(M170+MATCH(CH_CustomerID,INDEX(tblEvents[Customer ID],M170+1):INDEX(tblEvents[Customer ID],ROWS(tblEvents[Customer ID])),0),""))</f>
        <v/>
      </c>
    </row>
    <row r="172">
      <c r="B172" s="69">
        <f>IF($M172="","",IF(INDEX(tblEvents[Event Date],$M172)="","",INDEX(tblEvents[Event Date],$M172)))</f>
        <v/>
      </c>
      <c r="C172">
        <f>IF($M172="","",IF(INDEX(tblEvents[Event Type],$M172)="","",INDEX(tblEvents[Event Type],$M172)))</f>
        <v/>
      </c>
      <c r="D172">
        <f>IF($M172="","",IF(INDEX(tblEvents[Old Value],$M172)="","",INDEX(tblEvents[Old Value],$M172)))</f>
        <v/>
      </c>
      <c r="E172">
        <f>IF($M172="","",IF(INDEX(tblEvents[New Value],$M172)="","",INDEX(tblEvents[New Value],$M172)))</f>
        <v/>
      </c>
      <c r="F172">
        <f>IF($M172="","",IF(INDEX(tblEvents[Notes],$M172)="","",INDEX(tblEvents[Notes],$M172)))</f>
        <v/>
      </c>
      <c r="M172">
        <f>IF(M171="","",IFERROR(M171+MATCH(CH_CustomerID,INDEX(tblEvents[Customer ID],M171+1):INDEX(tblEvents[Customer ID],ROWS(tblEvents[Customer ID])),0),""))</f>
        <v/>
      </c>
    </row>
    <row r="173">
      <c r="B173" s="69">
        <f>IF($M173="","",IF(INDEX(tblEvents[Event Date],$M173)="","",INDEX(tblEvents[Event Date],$M173)))</f>
        <v/>
      </c>
      <c r="C173">
        <f>IF($M173="","",IF(INDEX(tblEvents[Event Type],$M173)="","",INDEX(tblEvents[Event Type],$M173)))</f>
        <v/>
      </c>
      <c r="D173">
        <f>IF($M173="","",IF(INDEX(tblEvents[Old Value],$M173)="","",INDEX(tblEvents[Old Value],$M173)))</f>
        <v/>
      </c>
      <c r="E173">
        <f>IF($M173="","",IF(INDEX(tblEvents[New Value],$M173)="","",INDEX(tblEvents[New Value],$M173)))</f>
        <v/>
      </c>
      <c r="F173">
        <f>IF($M173="","",IF(INDEX(tblEvents[Notes],$M173)="","",INDEX(tblEvents[Notes],$M173)))</f>
        <v/>
      </c>
      <c r="M173">
        <f>IF(M172="","",IFERROR(M172+MATCH(CH_CustomerID,INDEX(tblEvents[Customer ID],M172+1):INDEX(tblEvents[Customer ID],ROWS(tblEvents[Customer ID])),0),""))</f>
        <v/>
      </c>
    </row>
    <row r="174">
      <c r="B174" s="69">
        <f>IF($M174="","",IF(INDEX(tblEvents[Event Date],$M174)="","",INDEX(tblEvents[Event Date],$M174)))</f>
        <v/>
      </c>
      <c r="C174">
        <f>IF($M174="","",IF(INDEX(tblEvents[Event Type],$M174)="","",INDEX(tblEvents[Event Type],$M174)))</f>
        <v/>
      </c>
      <c r="D174">
        <f>IF($M174="","",IF(INDEX(tblEvents[Old Value],$M174)="","",INDEX(tblEvents[Old Value],$M174)))</f>
        <v/>
      </c>
      <c r="E174">
        <f>IF($M174="","",IF(INDEX(tblEvents[New Value],$M174)="","",INDEX(tblEvents[New Value],$M174)))</f>
        <v/>
      </c>
      <c r="F174">
        <f>IF($M174="","",IF(INDEX(tblEvents[Notes],$M174)="","",INDEX(tblEvents[Notes],$M174)))</f>
        <v/>
      </c>
      <c r="M174">
        <f>IF(M173="","",IFERROR(M173+MATCH(CH_CustomerID,INDEX(tblEvents[Customer ID],M173+1):INDEX(tblEvents[Customer ID],ROWS(tblEvents[Customer ID])),0),""))</f>
        <v/>
      </c>
    </row>
    <row r="175">
      <c r="B175" s="69">
        <f>IF($M175="","",IF(INDEX(tblEvents[Event Date],$M175)="","",INDEX(tblEvents[Event Date],$M175)))</f>
        <v/>
      </c>
      <c r="C175">
        <f>IF($M175="","",IF(INDEX(tblEvents[Event Type],$M175)="","",INDEX(tblEvents[Event Type],$M175)))</f>
        <v/>
      </c>
      <c r="D175">
        <f>IF($M175="","",IF(INDEX(tblEvents[Old Value],$M175)="","",INDEX(tblEvents[Old Value],$M175)))</f>
        <v/>
      </c>
      <c r="E175">
        <f>IF($M175="","",IF(INDEX(tblEvents[New Value],$M175)="","",INDEX(tblEvents[New Value],$M175)))</f>
        <v/>
      </c>
      <c r="F175">
        <f>IF($M175="","",IF(INDEX(tblEvents[Notes],$M175)="","",INDEX(tblEvents[Notes],$M175)))</f>
        <v/>
      </c>
      <c r="M175">
        <f>IF(M174="","",IFERROR(M174+MATCH(CH_CustomerID,INDEX(tblEvents[Customer ID],M174+1):INDEX(tblEvents[Customer ID],ROWS(tblEvents[Customer ID])),0),""))</f>
        <v/>
      </c>
    </row>
    <row r="176">
      <c r="B176" s="69">
        <f>IF($M176="","",IF(INDEX(tblEvents[Event Date],$M176)="","",INDEX(tblEvents[Event Date],$M176)))</f>
        <v/>
      </c>
      <c r="C176">
        <f>IF($M176="","",IF(INDEX(tblEvents[Event Type],$M176)="","",INDEX(tblEvents[Event Type],$M176)))</f>
        <v/>
      </c>
      <c r="D176">
        <f>IF($M176="","",IF(INDEX(tblEvents[Old Value],$M176)="","",INDEX(tblEvents[Old Value],$M176)))</f>
        <v/>
      </c>
      <c r="E176">
        <f>IF($M176="","",IF(INDEX(tblEvents[New Value],$M176)="","",INDEX(tblEvents[New Value],$M176)))</f>
        <v/>
      </c>
      <c r="F176">
        <f>IF($M176="","",IF(INDEX(tblEvents[Notes],$M176)="","",INDEX(tblEvents[Notes],$M176)))</f>
        <v/>
      </c>
      <c r="M176">
        <f>IF(M175="","",IFERROR(M175+MATCH(CH_CustomerID,INDEX(tblEvents[Customer ID],M175+1):INDEX(tblEvents[Customer ID],ROWS(tblEvents[Customer ID])),0),""))</f>
        <v/>
      </c>
    </row>
    <row r="177">
      <c r="B177" s="69">
        <f>IF($M177="","",IF(INDEX(tblEvents[Event Date],$M177)="","",INDEX(tblEvents[Event Date],$M177)))</f>
        <v/>
      </c>
      <c r="C177">
        <f>IF($M177="","",IF(INDEX(tblEvents[Event Type],$M177)="","",INDEX(tblEvents[Event Type],$M177)))</f>
        <v/>
      </c>
      <c r="D177">
        <f>IF($M177="","",IF(INDEX(tblEvents[Old Value],$M177)="","",INDEX(tblEvents[Old Value],$M177)))</f>
        <v/>
      </c>
      <c r="E177">
        <f>IF($M177="","",IF(INDEX(tblEvents[New Value],$M177)="","",INDEX(tblEvents[New Value],$M177)))</f>
        <v/>
      </c>
      <c r="F177">
        <f>IF($M177="","",IF(INDEX(tblEvents[Notes],$M177)="","",INDEX(tblEvents[Notes],$M177)))</f>
        <v/>
      </c>
      <c r="M177">
        <f>IF(M176="","",IFERROR(M176+MATCH(CH_CustomerID,INDEX(tblEvents[Customer ID],M176+1):INDEX(tblEvents[Customer ID],ROWS(tblEvents[Customer ID])),0),""))</f>
        <v/>
      </c>
    </row>
    <row r="178">
      <c r="B178" s="69">
        <f>IF($M178="","",IF(INDEX(tblEvents[Event Date],$M178)="","",INDEX(tblEvents[Event Date],$M178)))</f>
        <v/>
      </c>
      <c r="C178">
        <f>IF($M178="","",IF(INDEX(tblEvents[Event Type],$M178)="","",INDEX(tblEvents[Event Type],$M178)))</f>
        <v/>
      </c>
      <c r="D178">
        <f>IF($M178="","",IF(INDEX(tblEvents[Old Value],$M178)="","",INDEX(tblEvents[Old Value],$M178)))</f>
        <v/>
      </c>
      <c r="E178">
        <f>IF($M178="","",IF(INDEX(tblEvents[New Value],$M178)="","",INDEX(tblEvents[New Value],$M178)))</f>
        <v/>
      </c>
      <c r="F178">
        <f>IF($M178="","",IF(INDEX(tblEvents[Notes],$M178)="","",INDEX(tblEvents[Notes],$M178)))</f>
        <v/>
      </c>
      <c r="M178">
        <f>IF(M177="","",IFERROR(M177+MATCH(CH_CustomerID,INDEX(tblEvents[Customer ID],M177+1):INDEX(tblEvents[Customer ID],ROWS(tblEvents[Customer ID])),0),""))</f>
        <v/>
      </c>
    </row>
    <row r="179">
      <c r="B179" s="69">
        <f>IF($M179="","",IF(INDEX(tblEvents[Event Date],$M179)="","",INDEX(tblEvents[Event Date],$M179)))</f>
        <v/>
      </c>
      <c r="C179">
        <f>IF($M179="","",IF(INDEX(tblEvents[Event Type],$M179)="","",INDEX(tblEvents[Event Type],$M179)))</f>
        <v/>
      </c>
      <c r="D179">
        <f>IF($M179="","",IF(INDEX(tblEvents[Old Value],$M179)="","",INDEX(tblEvents[Old Value],$M179)))</f>
        <v/>
      </c>
      <c r="E179">
        <f>IF($M179="","",IF(INDEX(tblEvents[New Value],$M179)="","",INDEX(tblEvents[New Value],$M179)))</f>
        <v/>
      </c>
      <c r="F179">
        <f>IF($M179="","",IF(INDEX(tblEvents[Notes],$M179)="","",INDEX(tblEvents[Notes],$M179)))</f>
        <v/>
      </c>
      <c r="M179">
        <f>IF(M178="","",IFERROR(M178+MATCH(CH_CustomerID,INDEX(tblEvents[Customer ID],M178+1):INDEX(tblEvents[Customer ID],ROWS(tblEvents[Customer ID])),0),""))</f>
        <v/>
      </c>
    </row>
    <row r="180">
      <c r="B180" s="69">
        <f>IF($M180="","",IF(INDEX(tblEvents[Event Date],$M180)="","",INDEX(tblEvents[Event Date],$M180)))</f>
        <v/>
      </c>
      <c r="C180">
        <f>IF($M180="","",IF(INDEX(tblEvents[Event Type],$M180)="","",INDEX(tblEvents[Event Type],$M180)))</f>
        <v/>
      </c>
      <c r="D180">
        <f>IF($M180="","",IF(INDEX(tblEvents[Old Value],$M180)="","",INDEX(tblEvents[Old Value],$M180)))</f>
        <v/>
      </c>
      <c r="E180">
        <f>IF($M180="","",IF(INDEX(tblEvents[New Value],$M180)="","",INDEX(tblEvents[New Value],$M180)))</f>
        <v/>
      </c>
      <c r="F180">
        <f>IF($M180="","",IF(INDEX(tblEvents[Notes],$M180)="","",INDEX(tblEvents[Notes],$M180)))</f>
        <v/>
      </c>
      <c r="M180">
        <f>IF(M179="","",IFERROR(M179+MATCH(CH_CustomerID,INDEX(tblEvents[Customer ID],M179+1):INDEX(tblEvents[Customer ID],ROWS(tblEvents[Customer ID])),0),""))</f>
        <v/>
      </c>
    </row>
    <row r="181">
      <c r="B181" s="69">
        <f>IF($M181="","",IF(INDEX(tblEvents[Event Date],$M181)="","",INDEX(tblEvents[Event Date],$M181)))</f>
        <v/>
      </c>
      <c r="C181">
        <f>IF($M181="","",IF(INDEX(tblEvents[Event Type],$M181)="","",INDEX(tblEvents[Event Type],$M181)))</f>
        <v/>
      </c>
      <c r="D181">
        <f>IF($M181="","",IF(INDEX(tblEvents[Old Value],$M181)="","",INDEX(tblEvents[Old Value],$M181)))</f>
        <v/>
      </c>
      <c r="E181">
        <f>IF($M181="","",IF(INDEX(tblEvents[New Value],$M181)="","",INDEX(tblEvents[New Value],$M181)))</f>
        <v/>
      </c>
      <c r="F181">
        <f>IF($M181="","",IF(INDEX(tblEvents[Notes],$M181)="","",INDEX(tblEvents[Notes],$M181)))</f>
        <v/>
      </c>
      <c r="M181">
        <f>IF(M180="","",IFERROR(M180+MATCH(CH_CustomerID,INDEX(tblEvents[Customer ID],M180+1):INDEX(tblEvents[Customer ID],ROWS(tblEvents[Customer ID])),0),""))</f>
        <v/>
      </c>
    </row>
    <row r="182">
      <c r="B182" s="69">
        <f>IF($M182="","",IF(INDEX(tblEvents[Event Date],$M182)="","",INDEX(tblEvents[Event Date],$M182)))</f>
        <v/>
      </c>
      <c r="C182">
        <f>IF($M182="","",IF(INDEX(tblEvents[Event Type],$M182)="","",INDEX(tblEvents[Event Type],$M182)))</f>
        <v/>
      </c>
      <c r="D182">
        <f>IF($M182="","",IF(INDEX(tblEvents[Old Value],$M182)="","",INDEX(tblEvents[Old Value],$M182)))</f>
        <v/>
      </c>
      <c r="E182">
        <f>IF($M182="","",IF(INDEX(tblEvents[New Value],$M182)="","",INDEX(tblEvents[New Value],$M182)))</f>
        <v/>
      </c>
      <c r="F182">
        <f>IF($M182="","",IF(INDEX(tblEvents[Notes],$M182)="","",INDEX(tblEvents[Notes],$M182)))</f>
        <v/>
      </c>
      <c r="M182">
        <f>IF(M181="","",IFERROR(M181+MATCH(CH_CustomerID,INDEX(tblEvents[Customer ID],M181+1):INDEX(tblEvents[Customer ID],ROWS(tblEvents[Customer ID])),0),""))</f>
        <v/>
      </c>
    </row>
    <row r="183">
      <c r="B183" s="69">
        <f>IF($M183="","",IF(INDEX(tblEvents[Event Date],$M183)="","",INDEX(tblEvents[Event Date],$M183)))</f>
        <v/>
      </c>
      <c r="C183">
        <f>IF($M183="","",IF(INDEX(tblEvents[Event Type],$M183)="","",INDEX(tblEvents[Event Type],$M183)))</f>
        <v/>
      </c>
      <c r="D183">
        <f>IF($M183="","",IF(INDEX(tblEvents[Old Value],$M183)="","",INDEX(tblEvents[Old Value],$M183)))</f>
        <v/>
      </c>
      <c r="E183">
        <f>IF($M183="","",IF(INDEX(tblEvents[New Value],$M183)="","",INDEX(tblEvents[New Value],$M183)))</f>
        <v/>
      </c>
      <c r="F183">
        <f>IF($M183="","",IF(INDEX(tblEvents[Notes],$M183)="","",INDEX(tblEvents[Notes],$M183)))</f>
        <v/>
      </c>
      <c r="M183">
        <f>IF(M182="","",IFERROR(M182+MATCH(CH_CustomerID,INDEX(tblEvents[Customer ID],M182+1):INDEX(tblEvents[Customer ID],ROWS(tblEvents[Customer ID])),0),""))</f>
        <v/>
      </c>
    </row>
    <row r="184">
      <c r="B184" s="69">
        <f>IF($M184="","",IF(INDEX(tblEvents[Event Date],$M184)="","",INDEX(tblEvents[Event Date],$M184)))</f>
        <v/>
      </c>
      <c r="C184">
        <f>IF($M184="","",IF(INDEX(tblEvents[Event Type],$M184)="","",INDEX(tblEvents[Event Type],$M184)))</f>
        <v/>
      </c>
      <c r="D184">
        <f>IF($M184="","",IF(INDEX(tblEvents[Old Value],$M184)="","",INDEX(tblEvents[Old Value],$M184)))</f>
        <v/>
      </c>
      <c r="E184">
        <f>IF($M184="","",IF(INDEX(tblEvents[New Value],$M184)="","",INDEX(tblEvents[New Value],$M184)))</f>
        <v/>
      </c>
      <c r="F184">
        <f>IF($M184="","",IF(INDEX(tblEvents[Notes],$M184)="","",INDEX(tblEvents[Notes],$M184)))</f>
        <v/>
      </c>
      <c r="M184">
        <f>IF(M183="","",IFERROR(M183+MATCH(CH_CustomerID,INDEX(tblEvents[Customer ID],M183+1):INDEX(tblEvents[Customer ID],ROWS(tblEvents[Customer ID])),0),""))</f>
        <v/>
      </c>
    </row>
    <row r="185">
      <c r="B185" s="69">
        <f>IF($M185="","",IF(INDEX(tblEvents[Event Date],$M185)="","",INDEX(tblEvents[Event Date],$M185)))</f>
        <v/>
      </c>
      <c r="C185">
        <f>IF($M185="","",IF(INDEX(tblEvents[Event Type],$M185)="","",INDEX(tblEvents[Event Type],$M185)))</f>
        <v/>
      </c>
      <c r="D185">
        <f>IF($M185="","",IF(INDEX(tblEvents[Old Value],$M185)="","",INDEX(tblEvents[Old Value],$M185)))</f>
        <v/>
      </c>
      <c r="E185">
        <f>IF($M185="","",IF(INDEX(tblEvents[New Value],$M185)="","",INDEX(tblEvents[New Value],$M185)))</f>
        <v/>
      </c>
      <c r="F185">
        <f>IF($M185="","",IF(INDEX(tblEvents[Notes],$M185)="","",INDEX(tblEvents[Notes],$M185)))</f>
        <v/>
      </c>
      <c r="M185">
        <f>IF(M184="","",IFERROR(M184+MATCH(CH_CustomerID,INDEX(tblEvents[Customer ID],M184+1):INDEX(tblEvents[Customer ID],ROWS(tblEvents[Customer ID])),0),""))</f>
        <v/>
      </c>
    </row>
    <row r="186">
      <c r="B186" s="69">
        <f>IF($M186="","",IF(INDEX(tblEvents[Event Date],$M186)="","",INDEX(tblEvents[Event Date],$M186)))</f>
        <v/>
      </c>
      <c r="C186">
        <f>IF($M186="","",IF(INDEX(tblEvents[Event Type],$M186)="","",INDEX(tblEvents[Event Type],$M186)))</f>
        <v/>
      </c>
      <c r="D186">
        <f>IF($M186="","",IF(INDEX(tblEvents[Old Value],$M186)="","",INDEX(tblEvents[Old Value],$M186)))</f>
        <v/>
      </c>
      <c r="E186">
        <f>IF($M186="","",IF(INDEX(tblEvents[New Value],$M186)="","",INDEX(tblEvents[New Value],$M186)))</f>
        <v/>
      </c>
      <c r="F186">
        <f>IF($M186="","",IF(INDEX(tblEvents[Notes],$M186)="","",INDEX(tblEvents[Notes],$M186)))</f>
        <v/>
      </c>
      <c r="M186">
        <f>IF(M185="","",IFERROR(M185+MATCH(CH_CustomerID,INDEX(tblEvents[Customer ID],M185+1):INDEX(tblEvents[Customer ID],ROWS(tblEvents[Customer ID])),0),""))</f>
        <v/>
      </c>
    </row>
    <row r="187">
      <c r="B187" s="69">
        <f>IF($M187="","",IF(INDEX(tblEvents[Event Date],$M187)="","",INDEX(tblEvents[Event Date],$M187)))</f>
        <v/>
      </c>
      <c r="C187">
        <f>IF($M187="","",IF(INDEX(tblEvents[Event Type],$M187)="","",INDEX(tblEvents[Event Type],$M187)))</f>
        <v/>
      </c>
      <c r="D187">
        <f>IF($M187="","",IF(INDEX(tblEvents[Old Value],$M187)="","",INDEX(tblEvents[Old Value],$M187)))</f>
        <v/>
      </c>
      <c r="E187">
        <f>IF($M187="","",IF(INDEX(tblEvents[New Value],$M187)="","",INDEX(tblEvents[New Value],$M187)))</f>
        <v/>
      </c>
      <c r="F187">
        <f>IF($M187="","",IF(INDEX(tblEvents[Notes],$M187)="","",INDEX(tblEvents[Notes],$M187)))</f>
        <v/>
      </c>
      <c r="M187">
        <f>IF(M186="","",IFERROR(M186+MATCH(CH_CustomerID,INDEX(tblEvents[Customer ID],M186+1):INDEX(tblEvents[Customer ID],ROWS(tblEvents[Customer ID])),0),""))</f>
        <v/>
      </c>
    </row>
    <row r="188">
      <c r="B188" s="69">
        <f>IF($M188="","",IF(INDEX(tblEvents[Event Date],$M188)="","",INDEX(tblEvents[Event Date],$M188)))</f>
        <v/>
      </c>
      <c r="C188">
        <f>IF($M188="","",IF(INDEX(tblEvents[Event Type],$M188)="","",INDEX(tblEvents[Event Type],$M188)))</f>
        <v/>
      </c>
      <c r="D188">
        <f>IF($M188="","",IF(INDEX(tblEvents[Old Value],$M188)="","",INDEX(tblEvents[Old Value],$M188)))</f>
        <v/>
      </c>
      <c r="E188">
        <f>IF($M188="","",IF(INDEX(tblEvents[New Value],$M188)="","",INDEX(tblEvents[New Value],$M188)))</f>
        <v/>
      </c>
      <c r="F188">
        <f>IF($M188="","",IF(INDEX(tblEvents[Notes],$M188)="","",INDEX(tblEvents[Notes],$M188)))</f>
        <v/>
      </c>
      <c r="M188">
        <f>IF(M187="","",IFERROR(M187+MATCH(CH_CustomerID,INDEX(tblEvents[Customer ID],M187+1):INDEX(tblEvents[Customer ID],ROWS(tblEvents[Customer ID])),0),""))</f>
        <v/>
      </c>
    </row>
    <row r="189">
      <c r="B189" s="69">
        <f>IF($M189="","",IF(INDEX(tblEvents[Event Date],$M189)="","",INDEX(tblEvents[Event Date],$M189)))</f>
        <v/>
      </c>
      <c r="C189">
        <f>IF($M189="","",IF(INDEX(tblEvents[Event Type],$M189)="","",INDEX(tblEvents[Event Type],$M189)))</f>
        <v/>
      </c>
      <c r="D189">
        <f>IF($M189="","",IF(INDEX(tblEvents[Old Value],$M189)="","",INDEX(tblEvents[Old Value],$M189)))</f>
        <v/>
      </c>
      <c r="E189">
        <f>IF($M189="","",IF(INDEX(tblEvents[New Value],$M189)="","",INDEX(tblEvents[New Value],$M189)))</f>
        <v/>
      </c>
      <c r="F189">
        <f>IF($M189="","",IF(INDEX(tblEvents[Notes],$M189)="","",INDEX(tblEvents[Notes],$M189)))</f>
        <v/>
      </c>
      <c r="M189">
        <f>IF(M188="","",IFERROR(M188+MATCH(CH_CustomerID,INDEX(tblEvents[Customer ID],M188+1):INDEX(tblEvents[Customer ID],ROWS(tblEvents[Customer ID])),0),""))</f>
        <v/>
      </c>
    </row>
    <row r="190">
      <c r="B190" s="69">
        <f>IF($M190="","",IF(INDEX(tblEvents[Event Date],$M190)="","",INDEX(tblEvents[Event Date],$M190)))</f>
        <v/>
      </c>
      <c r="C190">
        <f>IF($M190="","",IF(INDEX(tblEvents[Event Type],$M190)="","",INDEX(tblEvents[Event Type],$M190)))</f>
        <v/>
      </c>
      <c r="D190">
        <f>IF($M190="","",IF(INDEX(tblEvents[Old Value],$M190)="","",INDEX(tblEvents[Old Value],$M190)))</f>
        <v/>
      </c>
      <c r="E190">
        <f>IF($M190="","",IF(INDEX(tblEvents[New Value],$M190)="","",INDEX(tblEvents[New Value],$M190)))</f>
        <v/>
      </c>
      <c r="F190">
        <f>IF($M190="","",IF(INDEX(tblEvents[Notes],$M190)="","",INDEX(tblEvents[Notes],$M190)))</f>
        <v/>
      </c>
      <c r="M190">
        <f>IF(M189="","",IFERROR(M189+MATCH(CH_CustomerID,INDEX(tblEvents[Customer ID],M189+1):INDEX(tblEvents[Customer ID],ROWS(tblEvents[Customer ID])),0),""))</f>
        <v/>
      </c>
    </row>
    <row r="191">
      <c r="B191" s="69">
        <f>IF($M191="","",IF(INDEX(tblEvents[Event Date],$M191)="","",INDEX(tblEvents[Event Date],$M191)))</f>
        <v/>
      </c>
      <c r="C191">
        <f>IF($M191="","",IF(INDEX(tblEvents[Event Type],$M191)="","",INDEX(tblEvents[Event Type],$M191)))</f>
        <v/>
      </c>
      <c r="D191">
        <f>IF($M191="","",IF(INDEX(tblEvents[Old Value],$M191)="","",INDEX(tblEvents[Old Value],$M191)))</f>
        <v/>
      </c>
      <c r="E191">
        <f>IF($M191="","",IF(INDEX(tblEvents[New Value],$M191)="","",INDEX(tblEvents[New Value],$M191)))</f>
        <v/>
      </c>
      <c r="F191">
        <f>IF($M191="","",IF(INDEX(tblEvents[Notes],$M191)="","",INDEX(tblEvents[Notes],$M191)))</f>
        <v/>
      </c>
      <c r="M191">
        <f>IF(M190="","",IFERROR(M190+MATCH(CH_CustomerID,INDEX(tblEvents[Customer ID],M190+1):INDEX(tblEvents[Customer ID],ROWS(tblEvents[Customer ID])),0),""))</f>
        <v/>
      </c>
    </row>
    <row r="192">
      <c r="B192" s="69">
        <f>IF($M192="","",IF(INDEX(tblEvents[Event Date],$M192)="","",INDEX(tblEvents[Event Date],$M192)))</f>
        <v/>
      </c>
      <c r="C192">
        <f>IF($M192="","",IF(INDEX(tblEvents[Event Type],$M192)="","",INDEX(tblEvents[Event Type],$M192)))</f>
        <v/>
      </c>
      <c r="D192">
        <f>IF($M192="","",IF(INDEX(tblEvents[Old Value],$M192)="","",INDEX(tblEvents[Old Value],$M192)))</f>
        <v/>
      </c>
      <c r="E192">
        <f>IF($M192="","",IF(INDEX(tblEvents[New Value],$M192)="","",INDEX(tblEvents[New Value],$M192)))</f>
        <v/>
      </c>
      <c r="F192">
        <f>IF($M192="","",IF(INDEX(tblEvents[Notes],$M192)="","",INDEX(tblEvents[Notes],$M192)))</f>
        <v/>
      </c>
      <c r="M192">
        <f>IF(M191="","",IFERROR(M191+MATCH(CH_CustomerID,INDEX(tblEvents[Customer ID],M191+1):INDEX(tblEvents[Customer ID],ROWS(tblEvents[Customer ID])),0),""))</f>
        <v/>
      </c>
    </row>
    <row r="193">
      <c r="B193" s="69">
        <f>IF($M193="","",IF(INDEX(tblEvents[Event Date],$M193)="","",INDEX(tblEvents[Event Date],$M193)))</f>
        <v/>
      </c>
      <c r="C193">
        <f>IF($M193="","",IF(INDEX(tblEvents[Event Type],$M193)="","",INDEX(tblEvents[Event Type],$M193)))</f>
        <v/>
      </c>
      <c r="D193">
        <f>IF($M193="","",IF(INDEX(tblEvents[Old Value],$M193)="","",INDEX(tblEvents[Old Value],$M193)))</f>
        <v/>
      </c>
      <c r="E193">
        <f>IF($M193="","",IF(INDEX(tblEvents[New Value],$M193)="","",INDEX(tblEvents[New Value],$M193)))</f>
        <v/>
      </c>
      <c r="F193">
        <f>IF($M193="","",IF(INDEX(tblEvents[Notes],$M193)="","",INDEX(tblEvents[Notes],$M193)))</f>
        <v/>
      </c>
      <c r="M193">
        <f>IF(M192="","",IFERROR(M192+MATCH(CH_CustomerID,INDEX(tblEvents[Customer ID],M192+1):INDEX(tblEvents[Customer ID],ROWS(tblEvents[Customer ID])),0),""))</f>
        <v/>
      </c>
    </row>
    <row r="194">
      <c r="B194" s="69">
        <f>IF($M194="","",IF(INDEX(tblEvents[Event Date],$M194)="","",INDEX(tblEvents[Event Date],$M194)))</f>
        <v/>
      </c>
      <c r="C194">
        <f>IF($M194="","",IF(INDEX(tblEvents[Event Type],$M194)="","",INDEX(tblEvents[Event Type],$M194)))</f>
        <v/>
      </c>
      <c r="D194">
        <f>IF($M194="","",IF(INDEX(tblEvents[Old Value],$M194)="","",INDEX(tblEvents[Old Value],$M194)))</f>
        <v/>
      </c>
      <c r="E194">
        <f>IF($M194="","",IF(INDEX(tblEvents[New Value],$M194)="","",INDEX(tblEvents[New Value],$M194)))</f>
        <v/>
      </c>
      <c r="F194">
        <f>IF($M194="","",IF(INDEX(tblEvents[Notes],$M194)="","",INDEX(tblEvents[Notes],$M194)))</f>
        <v/>
      </c>
      <c r="M194">
        <f>IF(M193="","",IFERROR(M193+MATCH(CH_CustomerID,INDEX(tblEvents[Customer ID],M193+1):INDEX(tblEvents[Customer ID],ROWS(tblEvents[Customer ID])),0),""))</f>
        <v/>
      </c>
    </row>
    <row r="195">
      <c r="B195" s="69">
        <f>IF($M195="","",IF(INDEX(tblEvents[Event Date],$M195)="","",INDEX(tblEvents[Event Date],$M195)))</f>
        <v/>
      </c>
      <c r="C195">
        <f>IF($M195="","",IF(INDEX(tblEvents[Event Type],$M195)="","",INDEX(tblEvents[Event Type],$M195)))</f>
        <v/>
      </c>
      <c r="D195">
        <f>IF($M195="","",IF(INDEX(tblEvents[Old Value],$M195)="","",INDEX(tblEvents[Old Value],$M195)))</f>
        <v/>
      </c>
      <c r="E195">
        <f>IF($M195="","",IF(INDEX(tblEvents[New Value],$M195)="","",INDEX(tblEvents[New Value],$M195)))</f>
        <v/>
      </c>
      <c r="F195">
        <f>IF($M195="","",IF(INDEX(tblEvents[Notes],$M195)="","",INDEX(tblEvents[Notes],$M195)))</f>
        <v/>
      </c>
      <c r="M195">
        <f>IF(M194="","",IFERROR(M194+MATCH(CH_CustomerID,INDEX(tblEvents[Customer ID],M194+1):INDEX(tblEvents[Customer ID],ROWS(tblEvents[Customer ID])),0),""))</f>
        <v/>
      </c>
    </row>
    <row r="196">
      <c r="B196" s="69">
        <f>IF($M196="","",IF(INDEX(tblEvents[Event Date],$M196)="","",INDEX(tblEvents[Event Date],$M196)))</f>
        <v/>
      </c>
      <c r="C196">
        <f>IF($M196="","",IF(INDEX(tblEvents[Event Type],$M196)="","",INDEX(tblEvents[Event Type],$M196)))</f>
        <v/>
      </c>
      <c r="D196">
        <f>IF($M196="","",IF(INDEX(tblEvents[Old Value],$M196)="","",INDEX(tblEvents[Old Value],$M196)))</f>
        <v/>
      </c>
      <c r="E196">
        <f>IF($M196="","",IF(INDEX(tblEvents[New Value],$M196)="","",INDEX(tblEvents[New Value],$M196)))</f>
        <v/>
      </c>
      <c r="F196">
        <f>IF($M196="","",IF(INDEX(tblEvents[Notes],$M196)="","",INDEX(tblEvents[Notes],$M196)))</f>
        <v/>
      </c>
      <c r="M196">
        <f>IF(M195="","",IFERROR(M195+MATCH(CH_CustomerID,INDEX(tblEvents[Customer ID],M195+1):INDEX(tblEvents[Customer ID],ROWS(tblEvents[Customer ID])),0),""))</f>
        <v/>
      </c>
    </row>
    <row r="197">
      <c r="B197" s="69">
        <f>IF($M197="","",IF(INDEX(tblEvents[Event Date],$M197)="","",INDEX(tblEvents[Event Date],$M197)))</f>
        <v/>
      </c>
      <c r="C197">
        <f>IF($M197="","",IF(INDEX(tblEvents[Event Type],$M197)="","",INDEX(tblEvents[Event Type],$M197)))</f>
        <v/>
      </c>
      <c r="D197">
        <f>IF($M197="","",IF(INDEX(tblEvents[Old Value],$M197)="","",INDEX(tblEvents[Old Value],$M197)))</f>
        <v/>
      </c>
      <c r="E197">
        <f>IF($M197="","",IF(INDEX(tblEvents[New Value],$M197)="","",INDEX(tblEvents[New Value],$M197)))</f>
        <v/>
      </c>
      <c r="F197">
        <f>IF($M197="","",IF(INDEX(tblEvents[Notes],$M197)="","",INDEX(tblEvents[Notes],$M197)))</f>
        <v/>
      </c>
      <c r="M197">
        <f>IF(M196="","",IFERROR(M196+MATCH(CH_CustomerID,INDEX(tblEvents[Customer ID],M196+1):INDEX(tblEvents[Customer ID],ROWS(tblEvents[Customer ID])),0),""))</f>
        <v/>
      </c>
    </row>
    <row r="198">
      <c r="B198" s="69">
        <f>IF($M198="","",IF(INDEX(tblEvents[Event Date],$M198)="","",INDEX(tblEvents[Event Date],$M198)))</f>
        <v/>
      </c>
      <c r="C198">
        <f>IF($M198="","",IF(INDEX(tblEvents[Event Type],$M198)="","",INDEX(tblEvents[Event Type],$M198)))</f>
        <v/>
      </c>
      <c r="D198">
        <f>IF($M198="","",IF(INDEX(tblEvents[Old Value],$M198)="","",INDEX(tblEvents[Old Value],$M198)))</f>
        <v/>
      </c>
      <c r="E198">
        <f>IF($M198="","",IF(INDEX(tblEvents[New Value],$M198)="","",INDEX(tblEvents[New Value],$M198)))</f>
        <v/>
      </c>
      <c r="F198">
        <f>IF($M198="","",IF(INDEX(tblEvents[Notes],$M198)="","",INDEX(tblEvents[Notes],$M198)))</f>
        <v/>
      </c>
      <c r="M198">
        <f>IF(M197="","",IFERROR(M197+MATCH(CH_CustomerID,INDEX(tblEvents[Customer ID],M197+1):INDEX(tblEvents[Customer ID],ROWS(tblEvents[Customer ID])),0),""))</f>
        <v/>
      </c>
    </row>
    <row r="199">
      <c r="B199" s="69">
        <f>IF($M199="","",IF(INDEX(tblEvents[Event Date],$M199)="","",INDEX(tblEvents[Event Date],$M199)))</f>
        <v/>
      </c>
      <c r="C199">
        <f>IF($M199="","",IF(INDEX(tblEvents[Event Type],$M199)="","",INDEX(tblEvents[Event Type],$M199)))</f>
        <v/>
      </c>
      <c r="D199">
        <f>IF($M199="","",IF(INDEX(tblEvents[Old Value],$M199)="","",INDEX(tblEvents[Old Value],$M199)))</f>
        <v/>
      </c>
      <c r="E199">
        <f>IF($M199="","",IF(INDEX(tblEvents[New Value],$M199)="","",INDEX(tblEvents[New Value],$M199)))</f>
        <v/>
      </c>
      <c r="F199">
        <f>IF($M199="","",IF(INDEX(tblEvents[Notes],$M199)="","",INDEX(tblEvents[Notes],$M199)))</f>
        <v/>
      </c>
      <c r="M199">
        <f>IF(M198="","",IFERROR(M198+MATCH(CH_CustomerID,INDEX(tblEvents[Customer ID],M198+1):INDEX(tblEvents[Customer ID],ROWS(tblEvents[Customer ID])),0),""))</f>
        <v/>
      </c>
    </row>
    <row r="200">
      <c r="B200" s="69">
        <f>IF($M200="","",IF(INDEX(tblEvents[Event Date],$M200)="","",INDEX(tblEvents[Event Date],$M200)))</f>
        <v/>
      </c>
      <c r="C200">
        <f>IF($M200="","",IF(INDEX(tblEvents[Event Type],$M200)="","",INDEX(tblEvents[Event Type],$M200)))</f>
        <v/>
      </c>
      <c r="D200">
        <f>IF($M200="","",IF(INDEX(tblEvents[Old Value],$M200)="","",INDEX(tblEvents[Old Value],$M200)))</f>
        <v/>
      </c>
      <c r="E200">
        <f>IF($M200="","",IF(INDEX(tblEvents[New Value],$M200)="","",INDEX(tblEvents[New Value],$M200)))</f>
        <v/>
      </c>
      <c r="F200">
        <f>IF($M200="","",IF(INDEX(tblEvents[Notes],$M200)="","",INDEX(tblEvents[Notes],$M200)))</f>
        <v/>
      </c>
      <c r="M200">
        <f>IF(M199="","",IFERROR(M199+MATCH(CH_CustomerID,INDEX(tblEvents[Customer ID],M199+1):INDEX(tblEvents[Customer ID],ROWS(tblEvents[Customer ID])),0),""))</f>
        <v/>
      </c>
    </row>
    <row r="201">
      <c r="B201" s="69">
        <f>IF($M201="","",IF(INDEX(tblEvents[Event Date],$M201)="","",INDEX(tblEvents[Event Date],$M201)))</f>
        <v/>
      </c>
      <c r="C201">
        <f>IF($M201="","",IF(INDEX(tblEvents[Event Type],$M201)="","",INDEX(tblEvents[Event Type],$M201)))</f>
        <v/>
      </c>
      <c r="D201">
        <f>IF($M201="","",IF(INDEX(tblEvents[Old Value],$M201)="","",INDEX(tblEvents[Old Value],$M201)))</f>
        <v/>
      </c>
      <c r="E201">
        <f>IF($M201="","",IF(INDEX(tblEvents[New Value],$M201)="","",INDEX(tblEvents[New Value],$M201)))</f>
        <v/>
      </c>
      <c r="F201">
        <f>IF($M201="","",IF(INDEX(tblEvents[Notes],$M201)="","",INDEX(tblEvents[Notes],$M201)))</f>
        <v/>
      </c>
      <c r="M201">
        <f>IF(M200="","",IFERROR(M200+MATCH(CH_CustomerID,INDEX(tblEvents[Customer ID],M200+1):INDEX(tblEvents[Customer ID],ROWS(tblEvents[Customer ID])),0),""))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F24:G24"/>
    <mergeCell ref="F25:G25"/>
    <mergeCell ref="F23:G23"/>
    <mergeCell ref="F22:G22"/>
    <mergeCell ref="F26:G26"/>
    <mergeCell ref="F27:G27"/>
  </mergeCells>
  <conditionalFormatting sqref="H39:H158">
    <cfRule type="cellIs" priority="1" operator="equal" dxfId="5">
      <formula>"PAID"</formula>
    </cfRule>
    <cfRule type="cellIs" priority="2" operator="equal" dxfId="2">
      <formula>"PARTIAL"</formula>
    </cfRule>
    <cfRule type="cellIs" priority="3" operator="equal" dxfId="3">
      <formula>"PENDING"</formula>
    </cfRule>
  </conditionalFormatting>
  <dataValidations count="1">
    <dataValidation sqref="C4" showDropDown="0" showInputMessage="0" showErrorMessage="0" allowBlank="0" type="list">
      <formula1>L_SearchTypes</formula1>
    </dataValidation>
  </dataValidations>
  <hyperlinks>
    <hyperlink ref="J1" location="'HOME'!A1" display="◄ HOME"/>
    <hyperlink ref="F31" location="'STATEMENT'!A1" display="► Customer statement sheet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A8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22" customWidth="1" min="8" max="8"/>
    <col width="3" customWidth="1" min="9" max="9"/>
    <col width="14" customWidth="1" min="10" max="10"/>
    <col width="14" customWidth="1" min="11" max="11"/>
    <col hidden="1" width="13" customWidth="1" min="26" max="26"/>
    <col hidden="1" width="13" customWidth="1" min="27" max="27"/>
  </cols>
  <sheetData>
    <row r="1">
      <c r="A1" s="70">
        <f>CFG_CompanyName</f>
        <v/>
      </c>
      <c r="J1" s="5" t="inlineStr">
        <is>
          <t>SELECT -&gt;</t>
        </is>
      </c>
      <c r="Z1" s="45">
        <f>MAX(COUNTIF(tblBilling[Stmt Match],1),1)+14+6</f>
        <v/>
      </c>
    </row>
    <row r="2">
      <c r="A2" s="46">
        <f>CFG_Tagline&amp;IF(CFG_CompanyPhone="","","  |  "&amp;CFG_CompanyPhone)</f>
        <v/>
      </c>
      <c r="J2" s="4" t="inlineStr">
        <is>
          <t>Customer ID</t>
        </is>
      </c>
      <c r="K2" s="14" t="inlineStr"/>
    </row>
    <row r="3">
      <c r="A3" s="71" t="inlineStr">
        <is>
          <t>CUSTOMER PAYMENT STATEMENT</t>
        </is>
      </c>
      <c r="J3" s="4" t="inlineStr">
        <is>
          <t>From Month</t>
        </is>
      </c>
      <c r="K3" s="37" t="inlineStr">
        <is>
          <t>All</t>
        </is>
      </c>
    </row>
    <row r="4">
      <c r="J4" s="4" t="inlineStr">
        <is>
          <t>To Month</t>
        </is>
      </c>
      <c r="K4" s="37" t="inlineStr">
        <is>
          <t>All</t>
        </is>
      </c>
    </row>
    <row r="5">
      <c r="A5" s="5" t="inlineStr">
        <is>
          <t>Customer ID</t>
        </is>
      </c>
      <c r="C5" s="49">
        <f>ST_CustomerID</f>
        <v/>
      </c>
      <c r="F5" s="5" t="inlineStr">
        <is>
          <t>Period:</t>
        </is>
      </c>
      <c r="G5">
        <f>IF(AND(ST_From="All",ST_To="All"),"Complete History",IF(ST_From="All","Up to ","")&amp;ST_From&amp;IF(AND(ST_From&lt;&gt;"All",ST_To&lt;&gt;"All")," to ","")&amp;IF(ST_To="All"," onwards",ST_To))</f>
        <v/>
      </c>
      <c r="J5" s="16" t="inlineStr">
        <is>
          <t>All = complete history. Use the menu program for the PDF file (Export PDF).</t>
        </is>
      </c>
    </row>
    <row r="6">
      <c r="A6" s="5" t="inlineStr">
        <is>
          <t>Customer Name</t>
        </is>
      </c>
      <c r="C6" s="49">
        <f>IF(ST_CustomerID="","",IFERROR(INDEX(tblCustomers[Customer Name],MATCH(ST_CustomerID,tblCustomers[Customer ID],0)),"Customer "&amp;ST_CustomerID&amp;" was not found."))</f>
        <v/>
      </c>
      <c r="F6" s="5" t="inlineStr">
        <is>
          <t>Generated:</t>
        </is>
      </c>
      <c r="G6" s="50">
        <f>TODAY()</f>
        <v/>
      </c>
      <c r="J6" s="9" t="inlineStr">
        <is>
          <t>◄ HOME</t>
        </is>
      </c>
    </row>
    <row r="7">
      <c r="A7" s="5" t="inlineStr">
        <is>
          <t>Address</t>
        </is>
      </c>
      <c r="C7" s="49">
        <f>IF(ST_CustomerID="","",IFERROR(INDEX(tblCustomers[Full Address],MATCH(ST_CustomerID,tblCustomers[Customer ID],0)),"Customer "&amp;ST_CustomerID&amp;" was not found."))</f>
        <v/>
      </c>
    </row>
    <row r="8">
      <c r="A8" s="5" t="inlineStr">
        <is>
          <t>VLAN ID</t>
        </is>
      </c>
      <c r="C8" s="49">
        <f>IF(ST_CustomerID="","",IFERROR(INDEX(tblCustomers[VLAN ID],MATCH(ST_CustomerID,tblCustomers[Customer ID],0)),"Customer "&amp;ST_CustomerID&amp;" was not found."))</f>
        <v/>
      </c>
    </row>
    <row r="9">
      <c r="A9" s="5" t="inlineStr">
        <is>
          <t>Package</t>
        </is>
      </c>
      <c r="C9" s="49">
        <f>IF(ST_CustomerID="","",IFERROR(INDEX(tblCustomers[Package],MATCH(ST_CustomerID,tblCustomers[Customer ID],0)),"Customer "&amp;ST_CustomerID&amp;" was not found."))</f>
        <v/>
      </c>
    </row>
    <row r="10">
      <c r="A10" s="5" t="inlineStr">
        <is>
          <t>Monthly Fee</t>
        </is>
      </c>
      <c r="C10" s="72">
        <f>IF(ST_CustomerID="","",IFERROR(INDEX(tblCustomers[Monthly Fee],MATCH(ST_CustomerID,tblCustomers[Customer ID],0)),"Customer "&amp;ST_CustomerID&amp;" was not found."))</f>
        <v/>
      </c>
    </row>
    <row r="11">
      <c r="A11" s="5" t="inlineStr">
        <is>
          <t>Connection Date</t>
        </is>
      </c>
      <c r="C11" s="50">
        <f>IF(ST_CustomerID="","",IFERROR(INDEX(tblCustomers[Connection Date],MATCH(ST_CustomerID,tblCustomers[Customer ID],0)),"Customer "&amp;ST_CustomerID&amp;" was not found."))</f>
        <v/>
      </c>
    </row>
    <row r="12">
      <c r="A12" s="5" t="inlineStr">
        <is>
          <t>Current Status</t>
        </is>
      </c>
      <c r="C12" s="49">
        <f>IF(ST_CustomerID="","",IFERROR(INDEX(tblCustomers[Customer Status],MATCH(ST_CustomerID,tblCustomers[Customer ID],0)),"Customer "&amp;ST_CustomerID&amp;" was not found."))</f>
        <v/>
      </c>
    </row>
    <row r="14">
      <c r="A14" s="51" t="inlineStr">
        <is>
          <t>Month</t>
        </is>
      </c>
      <c r="B14" s="51" t="inlineStr">
        <is>
          <t>Bill</t>
        </is>
      </c>
      <c r="C14" s="51" t="inlineStr">
        <is>
          <t>Paid</t>
        </is>
      </c>
      <c r="D14" s="51" t="inlineStr">
        <is>
          <t>Payment Date</t>
        </is>
      </c>
      <c r="E14" s="51" t="inlineStr">
        <is>
          <t>Balance</t>
        </is>
      </c>
      <c r="F14" s="51" t="inlineStr">
        <is>
          <t>Status</t>
        </is>
      </c>
      <c r="G14" s="51" t="inlineStr">
        <is>
          <t>Payments</t>
        </is>
      </c>
      <c r="H14" s="51" t="inlineStr">
        <is>
          <t>Remarks</t>
        </is>
      </c>
    </row>
    <row r="15">
      <c r="A15" s="73">
        <f>IF($Z15&lt;&gt;"",IF(INDEX(tblBilling[Month Name],$Z15)="","",INDEX(tblBilling[Month Name],$Z15)),CHOOSE(MIN(MAX($AA15,0),5)+1,"","TOTAL","","Total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5" s="74">
        <f>IF($Z15&lt;&gt;"",IF(INDEX(tblBilling[Monthly Fee],$Z15)="","",INDEX(tblBilling[Monthly Fee],$Z15)),IF($AA15=1,SUMIFS(tblBilling[Monthly Fee],tblBilling[Stmt Match],1),""))</f>
        <v/>
      </c>
      <c r="C15" s="74">
        <f>IF($Z15&lt;&gt;"",IF(INDEX(tblBilling[Amount Paid],$Z15)="","",INDEX(tblBilling[Amount Paid],$Z15)),IF($AA15=1,SUMIFS(tblBilling[Amount Paid],tblBilling[Stmt Match],1),""))</f>
        <v/>
      </c>
      <c r="D15" s="75">
        <f>IF($Z15&lt;&gt;"",IF(INDEX(tblBilling[Last Payment Date],$Z15)="","",INDEX(tblBilling[Last Payment Date],$Z15)),"")</f>
        <v/>
      </c>
      <c r="E15" s="74">
        <f>IF($Z15&lt;&gt;"",IF(INDEX(tblBilling[Balance],$Z15)="","",INDEX(tblBilling[Balance],$Z15)),IF($AA15=1,SUMIFS(tblBilling[Balance],tblBilling[Stmt Match],1),""))</f>
        <v/>
      </c>
      <c r="F15" s="73">
        <f>IF($Z15&lt;&gt;"",IF(INDEX(tblBilling[Payment Status],$Z15)="","",INDEX(tblBilling[Payment Status],$Z15)),"")</f>
        <v/>
      </c>
      <c r="G15" s="76">
        <f>IF($Z15&lt;&gt;"",IF(INDEX(tblBilling[Payments Count],$Z15)="","",INDEX(tblBilling[Payments Count],$Z15)),"")</f>
        <v/>
      </c>
      <c r="H15" s="73">
        <f>IF($Z15&lt;&gt;"",IF(INDEX(tblBilling[Remarks],$Z15)="","",INDEX(tblBilling[Remarks],$Z15)),"")</f>
        <v/>
      </c>
      <c r="Z15">
        <f>IFERROR(MATCH(1,tblBilling[Stmt Match],0),"")</f>
        <v/>
      </c>
      <c r="AA15">
        <f>ROW()-14-COUNTIF(tblBilling[Stmt Match],1)</f>
        <v/>
      </c>
    </row>
    <row r="16">
      <c r="A16" s="73">
        <f>IF($Z16&lt;&gt;"",IF(INDEX(tblBilling[Month Name],$Z16)="","",INDEX(tblBilling[Month Name],$Z16)),CHOOSE(MIN(MAX($AA16,0),5)+1,"","TOTAL","","Total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6" s="74">
        <f>IF($Z16&lt;&gt;"",IF(INDEX(tblBilling[Monthly Fee],$Z16)="","",INDEX(tblBilling[Monthly Fee],$Z16)),IF($AA16=1,SUMIFS(tblBilling[Monthly Fee],tblBilling[Stmt Match],1),""))</f>
        <v/>
      </c>
      <c r="C16" s="74">
        <f>IF($Z16&lt;&gt;"",IF(INDEX(tblBilling[Amount Paid],$Z16)="","",INDEX(tblBilling[Amount Paid],$Z16)),IF($AA16=1,SUMIFS(tblBilling[Amount Paid],tblBilling[Stmt Match],1),""))</f>
        <v/>
      </c>
      <c r="D16" s="75">
        <f>IF($Z16&lt;&gt;"",IF(INDEX(tblBilling[Last Payment Date],$Z16)="","",INDEX(tblBilling[Last Payment Date],$Z16)),"")</f>
        <v/>
      </c>
      <c r="E16" s="74">
        <f>IF($Z16&lt;&gt;"",IF(INDEX(tblBilling[Balance],$Z16)="","",INDEX(tblBilling[Balance],$Z16)),IF($AA16=1,SUMIFS(tblBilling[Balance],tblBilling[Stmt Match],1),""))</f>
        <v/>
      </c>
      <c r="F16" s="73">
        <f>IF($Z16&lt;&gt;"",IF(INDEX(tblBilling[Payment Status],$Z16)="","",INDEX(tblBilling[Payment Status],$Z16)),"")</f>
        <v/>
      </c>
      <c r="G16" s="76">
        <f>IF($Z16&lt;&gt;"",IF(INDEX(tblBilling[Payments Count],$Z16)="","",INDEX(tblBilling[Payments Count],$Z16)),"")</f>
        <v/>
      </c>
      <c r="H16" s="73">
        <f>IF($Z16&lt;&gt;"",IF(INDEX(tblBilling[Remarks],$Z16)="","",INDEX(tblBilling[Remarks],$Z16)),"")</f>
        <v/>
      </c>
      <c r="Z16">
        <f>IF(Z15="","",IFERROR(Z15+MATCH(1,INDEX(tblBilling[Stmt Match],Z15+1):INDEX(tblBilling[Stmt Match],ROWS(tblBilling[Stmt Match])),0),""))</f>
        <v/>
      </c>
      <c r="AA16">
        <f>ROW()-14-COUNTIF(tblBilling[Stmt Match],1)</f>
        <v/>
      </c>
    </row>
    <row r="17">
      <c r="A17" s="73">
        <f>IF($Z17&lt;&gt;"",IF(INDEX(tblBilling[Month Name],$Z17)="","",INDEX(tblBilling[Month Name],$Z17)),CHOOSE(MIN(MAX($AA17,0),5)+1,"","TOTAL","","Total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7" s="74">
        <f>IF($Z17&lt;&gt;"",IF(INDEX(tblBilling[Monthly Fee],$Z17)="","",INDEX(tblBilling[Monthly Fee],$Z17)),IF($AA17=1,SUMIFS(tblBilling[Monthly Fee],tblBilling[Stmt Match],1),""))</f>
        <v/>
      </c>
      <c r="C17" s="74">
        <f>IF($Z17&lt;&gt;"",IF(INDEX(tblBilling[Amount Paid],$Z17)="","",INDEX(tblBilling[Amount Paid],$Z17)),IF($AA17=1,SUMIFS(tblBilling[Amount Paid],tblBilling[Stmt Match],1),""))</f>
        <v/>
      </c>
      <c r="D17" s="75">
        <f>IF($Z17&lt;&gt;"",IF(INDEX(tblBilling[Last Payment Date],$Z17)="","",INDEX(tblBilling[Last Payment Date],$Z17)),"")</f>
        <v/>
      </c>
      <c r="E17" s="74">
        <f>IF($Z17&lt;&gt;"",IF(INDEX(tblBilling[Balance],$Z17)="","",INDEX(tblBilling[Balance],$Z17)),IF($AA17=1,SUMIFS(tblBilling[Balance],tblBilling[Stmt Match],1),""))</f>
        <v/>
      </c>
      <c r="F17" s="73">
        <f>IF($Z17&lt;&gt;"",IF(INDEX(tblBilling[Payment Status],$Z17)="","",INDEX(tblBilling[Payment Status],$Z17)),"")</f>
        <v/>
      </c>
      <c r="G17" s="76">
        <f>IF($Z17&lt;&gt;"",IF(INDEX(tblBilling[Payments Count],$Z17)="","",INDEX(tblBilling[Payments Count],$Z17)),"")</f>
        <v/>
      </c>
      <c r="H17" s="73">
        <f>IF($Z17&lt;&gt;"",IF(INDEX(tblBilling[Remarks],$Z17)="","",INDEX(tblBilling[Remarks],$Z17)),"")</f>
        <v/>
      </c>
      <c r="Z17">
        <f>IF(Z16="","",IFERROR(Z16+MATCH(1,INDEX(tblBilling[Stmt Match],Z16+1):INDEX(tblBilling[Stmt Match],ROWS(tblBilling[Stmt Match])),0),""))</f>
        <v/>
      </c>
      <c r="AA17">
        <f>ROW()-14-COUNTIF(tblBilling[Stmt Match],1)</f>
        <v/>
      </c>
    </row>
    <row r="18">
      <c r="A18" s="73">
        <f>IF($Z18&lt;&gt;"",IF(INDEX(tblBilling[Month Name],$Z18)="","",INDEX(tblBilling[Month Name],$Z18)),CHOOSE(MIN(MAX($AA18,0),5)+1,"","TOTAL","","Total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8" s="74">
        <f>IF($Z18&lt;&gt;"",IF(INDEX(tblBilling[Monthly Fee],$Z18)="","",INDEX(tblBilling[Monthly Fee],$Z18)),IF($AA18=1,SUMIFS(tblBilling[Monthly Fee],tblBilling[Stmt Match],1),""))</f>
        <v/>
      </c>
      <c r="C18" s="74">
        <f>IF($Z18&lt;&gt;"",IF(INDEX(tblBilling[Amount Paid],$Z18)="","",INDEX(tblBilling[Amount Paid],$Z18)),IF($AA18=1,SUMIFS(tblBilling[Amount Paid],tblBilling[Stmt Match],1),""))</f>
        <v/>
      </c>
      <c r="D18" s="75">
        <f>IF($Z18&lt;&gt;"",IF(INDEX(tblBilling[Last Payment Date],$Z18)="","",INDEX(tblBilling[Last Payment Date],$Z18)),"")</f>
        <v/>
      </c>
      <c r="E18" s="74">
        <f>IF($Z18&lt;&gt;"",IF(INDEX(tblBilling[Balance],$Z18)="","",INDEX(tblBilling[Balance],$Z18)),IF($AA18=1,SUMIFS(tblBilling[Balance],tblBilling[Stmt Match],1),""))</f>
        <v/>
      </c>
      <c r="F18" s="73">
        <f>IF($Z18&lt;&gt;"",IF(INDEX(tblBilling[Payment Status],$Z18)="","",INDEX(tblBilling[Payment Status],$Z18)),"")</f>
        <v/>
      </c>
      <c r="G18" s="76">
        <f>IF($Z18&lt;&gt;"",IF(INDEX(tblBilling[Payments Count],$Z18)="","",INDEX(tblBilling[Payments Count],$Z18)),"")</f>
        <v/>
      </c>
      <c r="H18" s="73">
        <f>IF($Z18&lt;&gt;"",IF(INDEX(tblBilling[Remarks],$Z18)="","",INDEX(tblBilling[Remarks],$Z18)),"")</f>
        <v/>
      </c>
      <c r="Z18">
        <f>IF(Z17="","",IFERROR(Z17+MATCH(1,INDEX(tblBilling[Stmt Match],Z17+1):INDEX(tblBilling[Stmt Match],ROWS(tblBilling[Stmt Match])),0),""))</f>
        <v/>
      </c>
      <c r="AA18">
        <f>ROW()-14-COUNTIF(tblBilling[Stmt Match],1)</f>
        <v/>
      </c>
    </row>
    <row r="19">
      <c r="A19" s="73">
        <f>IF($Z19&lt;&gt;"",IF(INDEX(tblBilling[Month Name],$Z19)="","",INDEX(tblBilling[Month Name],$Z19)),CHOOSE(MIN(MAX($AA19,0),5)+1,"","TOTAL","","Total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19" s="74">
        <f>IF($Z19&lt;&gt;"",IF(INDEX(tblBilling[Monthly Fee],$Z19)="","",INDEX(tblBilling[Monthly Fee],$Z19)),IF($AA19=1,SUMIFS(tblBilling[Monthly Fee],tblBilling[Stmt Match],1),""))</f>
        <v/>
      </c>
      <c r="C19" s="74">
        <f>IF($Z19&lt;&gt;"",IF(INDEX(tblBilling[Amount Paid],$Z19)="","",INDEX(tblBilling[Amount Paid],$Z19)),IF($AA19=1,SUMIFS(tblBilling[Amount Paid],tblBilling[Stmt Match],1),""))</f>
        <v/>
      </c>
      <c r="D19" s="75">
        <f>IF($Z19&lt;&gt;"",IF(INDEX(tblBilling[Last Payment Date],$Z19)="","",INDEX(tblBilling[Last Payment Date],$Z19)),"")</f>
        <v/>
      </c>
      <c r="E19" s="74">
        <f>IF($Z19&lt;&gt;"",IF(INDEX(tblBilling[Balance],$Z19)="","",INDEX(tblBilling[Balance],$Z19)),IF($AA19=1,SUMIFS(tblBilling[Balance],tblBilling[Stmt Match],1),""))</f>
        <v/>
      </c>
      <c r="F19" s="73">
        <f>IF($Z19&lt;&gt;"",IF(INDEX(tblBilling[Payment Status],$Z19)="","",INDEX(tblBilling[Payment Status],$Z19)),"")</f>
        <v/>
      </c>
      <c r="G19" s="76">
        <f>IF($Z19&lt;&gt;"",IF(INDEX(tblBilling[Payments Count],$Z19)="","",INDEX(tblBilling[Payments Count],$Z19)),"")</f>
        <v/>
      </c>
      <c r="H19" s="73">
        <f>IF($Z19&lt;&gt;"",IF(INDEX(tblBilling[Remarks],$Z19)="","",INDEX(tblBilling[Remarks],$Z19)),"")</f>
        <v/>
      </c>
      <c r="Z19">
        <f>IF(Z18="","",IFERROR(Z18+MATCH(1,INDEX(tblBilling[Stmt Match],Z18+1):INDEX(tblBilling[Stmt Match],ROWS(tblBilling[Stmt Match])),0),""))</f>
        <v/>
      </c>
      <c r="AA19">
        <f>ROW()-14-COUNTIF(tblBilling[Stmt Match],1)</f>
        <v/>
      </c>
    </row>
    <row r="20">
      <c r="A20" s="73">
        <f>IF($Z20&lt;&gt;"",IF(INDEX(tblBilling[Month Name],$Z20)="","",INDEX(tblBilling[Month Name],$Z20)),CHOOSE(MIN(MAX($AA20,0),5)+1,"","TOTAL","","Total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0" s="74">
        <f>IF($Z20&lt;&gt;"",IF(INDEX(tblBilling[Monthly Fee],$Z20)="","",INDEX(tblBilling[Monthly Fee],$Z20)),IF($AA20=1,SUMIFS(tblBilling[Monthly Fee],tblBilling[Stmt Match],1),""))</f>
        <v/>
      </c>
      <c r="C20" s="74">
        <f>IF($Z20&lt;&gt;"",IF(INDEX(tblBilling[Amount Paid],$Z20)="","",INDEX(tblBilling[Amount Paid],$Z20)),IF($AA20=1,SUMIFS(tblBilling[Amount Paid],tblBilling[Stmt Match],1),""))</f>
        <v/>
      </c>
      <c r="D20" s="75">
        <f>IF($Z20&lt;&gt;"",IF(INDEX(tblBilling[Last Payment Date],$Z20)="","",INDEX(tblBilling[Last Payment Date],$Z20)),"")</f>
        <v/>
      </c>
      <c r="E20" s="74">
        <f>IF($Z20&lt;&gt;"",IF(INDEX(tblBilling[Balance],$Z20)="","",INDEX(tblBilling[Balance],$Z20)),IF($AA20=1,SUMIFS(tblBilling[Balance],tblBilling[Stmt Match],1),""))</f>
        <v/>
      </c>
      <c r="F20" s="73">
        <f>IF($Z20&lt;&gt;"",IF(INDEX(tblBilling[Payment Status],$Z20)="","",INDEX(tblBilling[Payment Status],$Z20)),"")</f>
        <v/>
      </c>
      <c r="G20" s="76">
        <f>IF($Z20&lt;&gt;"",IF(INDEX(tblBilling[Payments Count],$Z20)="","",INDEX(tblBilling[Payments Count],$Z20)),"")</f>
        <v/>
      </c>
      <c r="H20" s="73">
        <f>IF($Z20&lt;&gt;"",IF(INDEX(tblBilling[Remarks],$Z20)="","",INDEX(tblBilling[Remarks],$Z20)),"")</f>
        <v/>
      </c>
      <c r="Z20">
        <f>IF(Z19="","",IFERROR(Z19+MATCH(1,INDEX(tblBilling[Stmt Match],Z19+1):INDEX(tblBilling[Stmt Match],ROWS(tblBilling[Stmt Match])),0),""))</f>
        <v/>
      </c>
      <c r="AA20">
        <f>ROW()-14-COUNTIF(tblBilling[Stmt Match],1)</f>
        <v/>
      </c>
    </row>
    <row r="21">
      <c r="A21" s="73">
        <f>IF($Z21&lt;&gt;"",IF(INDEX(tblBilling[Month Name],$Z21)="","",INDEX(tblBilling[Month Name],$Z21)),CHOOSE(MIN(MAX($AA21,0),5)+1,"","TOTAL","","Total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1" s="74">
        <f>IF($Z21&lt;&gt;"",IF(INDEX(tblBilling[Monthly Fee],$Z21)="","",INDEX(tblBilling[Monthly Fee],$Z21)),IF($AA21=1,SUMIFS(tblBilling[Monthly Fee],tblBilling[Stmt Match],1),""))</f>
        <v/>
      </c>
      <c r="C21" s="74">
        <f>IF($Z21&lt;&gt;"",IF(INDEX(tblBilling[Amount Paid],$Z21)="","",INDEX(tblBilling[Amount Paid],$Z21)),IF($AA21=1,SUMIFS(tblBilling[Amount Paid],tblBilling[Stmt Match],1),""))</f>
        <v/>
      </c>
      <c r="D21" s="75">
        <f>IF($Z21&lt;&gt;"",IF(INDEX(tblBilling[Last Payment Date],$Z21)="","",INDEX(tblBilling[Last Payment Date],$Z21)),"")</f>
        <v/>
      </c>
      <c r="E21" s="74">
        <f>IF($Z21&lt;&gt;"",IF(INDEX(tblBilling[Balance],$Z21)="","",INDEX(tblBilling[Balance],$Z21)),IF($AA21=1,SUMIFS(tblBilling[Balance],tblBilling[Stmt Match],1),""))</f>
        <v/>
      </c>
      <c r="F21" s="73">
        <f>IF($Z21&lt;&gt;"",IF(INDEX(tblBilling[Payment Status],$Z21)="","",INDEX(tblBilling[Payment Status],$Z21)),"")</f>
        <v/>
      </c>
      <c r="G21" s="76">
        <f>IF($Z21&lt;&gt;"",IF(INDEX(tblBilling[Payments Count],$Z21)="","",INDEX(tblBilling[Payments Count],$Z21)),"")</f>
        <v/>
      </c>
      <c r="H21" s="73">
        <f>IF($Z21&lt;&gt;"",IF(INDEX(tblBilling[Remarks],$Z21)="","",INDEX(tblBilling[Remarks],$Z21)),"")</f>
        <v/>
      </c>
      <c r="Z21">
        <f>IF(Z20="","",IFERROR(Z20+MATCH(1,INDEX(tblBilling[Stmt Match],Z20+1):INDEX(tblBilling[Stmt Match],ROWS(tblBilling[Stmt Match])),0),""))</f>
        <v/>
      </c>
      <c r="AA21">
        <f>ROW()-14-COUNTIF(tblBilling[Stmt Match],1)</f>
        <v/>
      </c>
    </row>
    <row r="22">
      <c r="A22" s="73">
        <f>IF($Z22&lt;&gt;"",IF(INDEX(tblBilling[Month Name],$Z22)="","",INDEX(tblBilling[Month Name],$Z22)),CHOOSE(MIN(MAX($AA22,0),5)+1,"","TOTAL","","Total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2" s="74">
        <f>IF($Z22&lt;&gt;"",IF(INDEX(tblBilling[Monthly Fee],$Z22)="","",INDEX(tblBilling[Monthly Fee],$Z22)),IF($AA22=1,SUMIFS(tblBilling[Monthly Fee],tblBilling[Stmt Match],1),""))</f>
        <v/>
      </c>
      <c r="C22" s="74">
        <f>IF($Z22&lt;&gt;"",IF(INDEX(tblBilling[Amount Paid],$Z22)="","",INDEX(tblBilling[Amount Paid],$Z22)),IF($AA22=1,SUMIFS(tblBilling[Amount Paid],tblBilling[Stmt Match],1),""))</f>
        <v/>
      </c>
      <c r="D22" s="75">
        <f>IF($Z22&lt;&gt;"",IF(INDEX(tblBilling[Last Payment Date],$Z22)="","",INDEX(tblBilling[Last Payment Date],$Z22)),"")</f>
        <v/>
      </c>
      <c r="E22" s="74">
        <f>IF($Z22&lt;&gt;"",IF(INDEX(tblBilling[Balance],$Z22)="","",INDEX(tblBilling[Balance],$Z22)),IF($AA22=1,SUMIFS(tblBilling[Balance],tblBilling[Stmt Match],1),""))</f>
        <v/>
      </c>
      <c r="F22" s="73">
        <f>IF($Z22&lt;&gt;"",IF(INDEX(tblBilling[Payment Status],$Z22)="","",INDEX(tblBilling[Payment Status],$Z22)),"")</f>
        <v/>
      </c>
      <c r="G22" s="76">
        <f>IF($Z22&lt;&gt;"",IF(INDEX(tblBilling[Payments Count],$Z22)="","",INDEX(tblBilling[Payments Count],$Z22)),"")</f>
        <v/>
      </c>
      <c r="H22" s="73">
        <f>IF($Z22&lt;&gt;"",IF(INDEX(tblBilling[Remarks],$Z22)="","",INDEX(tblBilling[Remarks],$Z22)),"")</f>
        <v/>
      </c>
      <c r="Z22">
        <f>IF(Z21="","",IFERROR(Z21+MATCH(1,INDEX(tblBilling[Stmt Match],Z21+1):INDEX(tblBilling[Stmt Match],ROWS(tblBilling[Stmt Match])),0),""))</f>
        <v/>
      </c>
      <c r="AA22">
        <f>ROW()-14-COUNTIF(tblBilling[Stmt Match],1)</f>
        <v/>
      </c>
    </row>
    <row r="23">
      <c r="A23" s="73">
        <f>IF($Z23&lt;&gt;"",IF(INDEX(tblBilling[Month Name],$Z23)="","",INDEX(tblBilling[Month Name],$Z23)),CHOOSE(MIN(MAX($AA23,0),5)+1,"","TOTAL","","Total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3" s="74">
        <f>IF($Z23&lt;&gt;"",IF(INDEX(tblBilling[Monthly Fee],$Z23)="","",INDEX(tblBilling[Monthly Fee],$Z23)),IF($AA23=1,SUMIFS(tblBilling[Monthly Fee],tblBilling[Stmt Match],1),""))</f>
        <v/>
      </c>
      <c r="C23" s="74">
        <f>IF($Z23&lt;&gt;"",IF(INDEX(tblBilling[Amount Paid],$Z23)="","",INDEX(tblBilling[Amount Paid],$Z23)),IF($AA23=1,SUMIFS(tblBilling[Amount Paid],tblBilling[Stmt Match],1),""))</f>
        <v/>
      </c>
      <c r="D23" s="75">
        <f>IF($Z23&lt;&gt;"",IF(INDEX(tblBilling[Last Payment Date],$Z23)="","",INDEX(tblBilling[Last Payment Date],$Z23)),"")</f>
        <v/>
      </c>
      <c r="E23" s="74">
        <f>IF($Z23&lt;&gt;"",IF(INDEX(tblBilling[Balance],$Z23)="","",INDEX(tblBilling[Balance],$Z23)),IF($AA23=1,SUMIFS(tblBilling[Balance],tblBilling[Stmt Match],1),""))</f>
        <v/>
      </c>
      <c r="F23" s="73">
        <f>IF($Z23&lt;&gt;"",IF(INDEX(tblBilling[Payment Status],$Z23)="","",INDEX(tblBilling[Payment Status],$Z23)),"")</f>
        <v/>
      </c>
      <c r="G23" s="76">
        <f>IF($Z23&lt;&gt;"",IF(INDEX(tblBilling[Payments Count],$Z23)="","",INDEX(tblBilling[Payments Count],$Z23)),"")</f>
        <v/>
      </c>
      <c r="H23" s="73">
        <f>IF($Z23&lt;&gt;"",IF(INDEX(tblBilling[Remarks],$Z23)="","",INDEX(tblBilling[Remarks],$Z23)),"")</f>
        <v/>
      </c>
      <c r="Z23">
        <f>IF(Z22="","",IFERROR(Z22+MATCH(1,INDEX(tblBilling[Stmt Match],Z22+1):INDEX(tblBilling[Stmt Match],ROWS(tblBilling[Stmt Match])),0),""))</f>
        <v/>
      </c>
      <c r="AA23">
        <f>ROW()-14-COUNTIF(tblBilling[Stmt Match],1)</f>
        <v/>
      </c>
    </row>
    <row r="24">
      <c r="A24" s="73">
        <f>IF($Z24&lt;&gt;"",IF(INDEX(tblBilling[Month Name],$Z24)="","",INDEX(tblBilling[Month Name],$Z24)),CHOOSE(MIN(MAX($AA24,0),5)+1,"","TOTAL","","Total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4" s="74">
        <f>IF($Z24&lt;&gt;"",IF(INDEX(tblBilling[Monthly Fee],$Z24)="","",INDEX(tblBilling[Monthly Fee],$Z24)),IF($AA24=1,SUMIFS(tblBilling[Monthly Fee],tblBilling[Stmt Match],1),""))</f>
        <v/>
      </c>
      <c r="C24" s="74">
        <f>IF($Z24&lt;&gt;"",IF(INDEX(tblBilling[Amount Paid],$Z24)="","",INDEX(tblBilling[Amount Paid],$Z24)),IF($AA24=1,SUMIFS(tblBilling[Amount Paid],tblBilling[Stmt Match],1),""))</f>
        <v/>
      </c>
      <c r="D24" s="75">
        <f>IF($Z24&lt;&gt;"",IF(INDEX(tblBilling[Last Payment Date],$Z24)="","",INDEX(tblBilling[Last Payment Date],$Z24)),"")</f>
        <v/>
      </c>
      <c r="E24" s="74">
        <f>IF($Z24&lt;&gt;"",IF(INDEX(tblBilling[Balance],$Z24)="","",INDEX(tblBilling[Balance],$Z24)),IF($AA24=1,SUMIFS(tblBilling[Balance],tblBilling[Stmt Match],1),""))</f>
        <v/>
      </c>
      <c r="F24" s="73">
        <f>IF($Z24&lt;&gt;"",IF(INDEX(tblBilling[Payment Status],$Z24)="","",INDEX(tblBilling[Payment Status],$Z24)),"")</f>
        <v/>
      </c>
      <c r="G24" s="76">
        <f>IF($Z24&lt;&gt;"",IF(INDEX(tblBilling[Payments Count],$Z24)="","",INDEX(tblBilling[Payments Count],$Z24)),"")</f>
        <v/>
      </c>
      <c r="H24" s="73">
        <f>IF($Z24&lt;&gt;"",IF(INDEX(tblBilling[Remarks],$Z24)="","",INDEX(tblBilling[Remarks],$Z24)),"")</f>
        <v/>
      </c>
      <c r="Z24">
        <f>IF(Z23="","",IFERROR(Z23+MATCH(1,INDEX(tblBilling[Stmt Match],Z23+1):INDEX(tblBilling[Stmt Match],ROWS(tblBilling[Stmt Match])),0),""))</f>
        <v/>
      </c>
      <c r="AA24">
        <f>ROW()-14-COUNTIF(tblBilling[Stmt Match],1)</f>
        <v/>
      </c>
    </row>
    <row r="25">
      <c r="A25" s="73">
        <f>IF($Z25&lt;&gt;"",IF(INDEX(tblBilling[Month Name],$Z25)="","",INDEX(tblBilling[Month Name],$Z25)),CHOOSE(MIN(MAX($AA25,0),5)+1,"","TOTAL","","Total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5" s="74">
        <f>IF($Z25&lt;&gt;"",IF(INDEX(tblBilling[Monthly Fee],$Z25)="","",INDEX(tblBilling[Monthly Fee],$Z25)),IF($AA25=1,SUMIFS(tblBilling[Monthly Fee],tblBilling[Stmt Match],1),""))</f>
        <v/>
      </c>
      <c r="C25" s="74">
        <f>IF($Z25&lt;&gt;"",IF(INDEX(tblBilling[Amount Paid],$Z25)="","",INDEX(tblBilling[Amount Paid],$Z25)),IF($AA25=1,SUMIFS(tblBilling[Amount Paid],tblBilling[Stmt Match],1),""))</f>
        <v/>
      </c>
      <c r="D25" s="75">
        <f>IF($Z25&lt;&gt;"",IF(INDEX(tblBilling[Last Payment Date],$Z25)="","",INDEX(tblBilling[Last Payment Date],$Z25)),"")</f>
        <v/>
      </c>
      <c r="E25" s="74">
        <f>IF($Z25&lt;&gt;"",IF(INDEX(tblBilling[Balance],$Z25)="","",INDEX(tblBilling[Balance],$Z25)),IF($AA25=1,SUMIFS(tblBilling[Balance],tblBilling[Stmt Match],1),""))</f>
        <v/>
      </c>
      <c r="F25" s="73">
        <f>IF($Z25&lt;&gt;"",IF(INDEX(tblBilling[Payment Status],$Z25)="","",INDEX(tblBilling[Payment Status],$Z25)),"")</f>
        <v/>
      </c>
      <c r="G25" s="76">
        <f>IF($Z25&lt;&gt;"",IF(INDEX(tblBilling[Payments Count],$Z25)="","",INDEX(tblBilling[Payments Count],$Z25)),"")</f>
        <v/>
      </c>
      <c r="H25" s="73">
        <f>IF($Z25&lt;&gt;"",IF(INDEX(tblBilling[Remarks],$Z25)="","",INDEX(tblBilling[Remarks],$Z25)),"")</f>
        <v/>
      </c>
      <c r="Z25">
        <f>IF(Z24="","",IFERROR(Z24+MATCH(1,INDEX(tblBilling[Stmt Match],Z24+1):INDEX(tblBilling[Stmt Match],ROWS(tblBilling[Stmt Match])),0),""))</f>
        <v/>
      </c>
      <c r="AA25">
        <f>ROW()-14-COUNTIF(tblBilling[Stmt Match],1)</f>
        <v/>
      </c>
    </row>
    <row r="26">
      <c r="A26" s="73">
        <f>IF($Z26&lt;&gt;"",IF(INDEX(tblBilling[Month Name],$Z26)="","",INDEX(tblBilling[Month Name],$Z26)),CHOOSE(MIN(MAX($AA26,0),5)+1,"","TOTAL","","Total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6" s="74">
        <f>IF($Z26&lt;&gt;"",IF(INDEX(tblBilling[Monthly Fee],$Z26)="","",INDEX(tblBilling[Monthly Fee],$Z26)),IF($AA26=1,SUMIFS(tblBilling[Monthly Fee],tblBilling[Stmt Match],1),""))</f>
        <v/>
      </c>
      <c r="C26" s="74">
        <f>IF($Z26&lt;&gt;"",IF(INDEX(tblBilling[Amount Paid],$Z26)="","",INDEX(tblBilling[Amount Paid],$Z26)),IF($AA26=1,SUMIFS(tblBilling[Amount Paid],tblBilling[Stmt Match],1),""))</f>
        <v/>
      </c>
      <c r="D26" s="75">
        <f>IF($Z26&lt;&gt;"",IF(INDEX(tblBilling[Last Payment Date],$Z26)="","",INDEX(tblBilling[Last Payment Date],$Z26)),"")</f>
        <v/>
      </c>
      <c r="E26" s="74">
        <f>IF($Z26&lt;&gt;"",IF(INDEX(tblBilling[Balance],$Z26)="","",INDEX(tblBilling[Balance],$Z26)),IF($AA26=1,SUMIFS(tblBilling[Balance],tblBilling[Stmt Match],1),""))</f>
        <v/>
      </c>
      <c r="F26" s="73">
        <f>IF($Z26&lt;&gt;"",IF(INDEX(tblBilling[Payment Status],$Z26)="","",INDEX(tblBilling[Payment Status],$Z26)),"")</f>
        <v/>
      </c>
      <c r="G26" s="76">
        <f>IF($Z26&lt;&gt;"",IF(INDEX(tblBilling[Payments Count],$Z26)="","",INDEX(tblBilling[Payments Count],$Z26)),"")</f>
        <v/>
      </c>
      <c r="H26" s="73">
        <f>IF($Z26&lt;&gt;"",IF(INDEX(tblBilling[Remarks],$Z26)="","",INDEX(tblBilling[Remarks],$Z26)),"")</f>
        <v/>
      </c>
      <c r="Z26">
        <f>IF(Z25="","",IFERROR(Z25+MATCH(1,INDEX(tblBilling[Stmt Match],Z25+1):INDEX(tblBilling[Stmt Match],ROWS(tblBilling[Stmt Match])),0),""))</f>
        <v/>
      </c>
      <c r="AA26">
        <f>ROW()-14-COUNTIF(tblBilling[Stmt Match],1)</f>
        <v/>
      </c>
    </row>
    <row r="27">
      <c r="A27" s="73">
        <f>IF($Z27&lt;&gt;"",IF(INDEX(tblBilling[Month Name],$Z27)="","",INDEX(tblBilling[Month Name],$Z27)),CHOOSE(MIN(MAX($AA27,0),5)+1,"","TOTAL","","Total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7" s="74">
        <f>IF($Z27&lt;&gt;"",IF(INDEX(tblBilling[Monthly Fee],$Z27)="","",INDEX(tblBilling[Monthly Fee],$Z27)),IF($AA27=1,SUMIFS(tblBilling[Monthly Fee],tblBilling[Stmt Match],1),""))</f>
        <v/>
      </c>
      <c r="C27" s="74">
        <f>IF($Z27&lt;&gt;"",IF(INDEX(tblBilling[Amount Paid],$Z27)="","",INDEX(tblBilling[Amount Paid],$Z27)),IF($AA27=1,SUMIFS(tblBilling[Amount Paid],tblBilling[Stmt Match],1),""))</f>
        <v/>
      </c>
      <c r="D27" s="75">
        <f>IF($Z27&lt;&gt;"",IF(INDEX(tblBilling[Last Payment Date],$Z27)="","",INDEX(tblBilling[Last Payment Date],$Z27)),"")</f>
        <v/>
      </c>
      <c r="E27" s="74">
        <f>IF($Z27&lt;&gt;"",IF(INDEX(tblBilling[Balance],$Z27)="","",INDEX(tblBilling[Balance],$Z27)),IF($AA27=1,SUMIFS(tblBilling[Balance],tblBilling[Stmt Match],1),""))</f>
        <v/>
      </c>
      <c r="F27" s="73">
        <f>IF($Z27&lt;&gt;"",IF(INDEX(tblBilling[Payment Status],$Z27)="","",INDEX(tblBilling[Payment Status],$Z27)),"")</f>
        <v/>
      </c>
      <c r="G27" s="76">
        <f>IF($Z27&lt;&gt;"",IF(INDEX(tblBilling[Payments Count],$Z27)="","",INDEX(tblBilling[Payments Count],$Z27)),"")</f>
        <v/>
      </c>
      <c r="H27" s="73">
        <f>IF($Z27&lt;&gt;"",IF(INDEX(tblBilling[Remarks],$Z27)="","",INDEX(tblBilling[Remarks],$Z27)),"")</f>
        <v/>
      </c>
      <c r="Z27">
        <f>IF(Z26="","",IFERROR(Z26+MATCH(1,INDEX(tblBilling[Stmt Match],Z26+1):INDEX(tblBilling[Stmt Match],ROWS(tblBilling[Stmt Match])),0),""))</f>
        <v/>
      </c>
      <c r="AA27">
        <f>ROW()-14-COUNTIF(tblBilling[Stmt Match],1)</f>
        <v/>
      </c>
    </row>
    <row r="28">
      <c r="A28" s="73">
        <f>IF($Z28&lt;&gt;"",IF(INDEX(tblBilling[Month Name],$Z28)="","",INDEX(tblBilling[Month Name],$Z28)),CHOOSE(MIN(MAX($AA28,0),5)+1,"","TOTAL","","Total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8" s="74">
        <f>IF($Z28&lt;&gt;"",IF(INDEX(tblBilling[Monthly Fee],$Z28)="","",INDEX(tblBilling[Monthly Fee],$Z28)),IF($AA28=1,SUMIFS(tblBilling[Monthly Fee],tblBilling[Stmt Match],1),""))</f>
        <v/>
      </c>
      <c r="C28" s="74">
        <f>IF($Z28&lt;&gt;"",IF(INDEX(tblBilling[Amount Paid],$Z28)="","",INDEX(tblBilling[Amount Paid],$Z28)),IF($AA28=1,SUMIFS(tblBilling[Amount Paid],tblBilling[Stmt Match],1),""))</f>
        <v/>
      </c>
      <c r="D28" s="75">
        <f>IF($Z28&lt;&gt;"",IF(INDEX(tblBilling[Last Payment Date],$Z28)="","",INDEX(tblBilling[Last Payment Date],$Z28)),"")</f>
        <v/>
      </c>
      <c r="E28" s="74">
        <f>IF($Z28&lt;&gt;"",IF(INDEX(tblBilling[Balance],$Z28)="","",INDEX(tblBilling[Balance],$Z28)),IF($AA28=1,SUMIFS(tblBilling[Balance],tblBilling[Stmt Match],1),""))</f>
        <v/>
      </c>
      <c r="F28" s="73">
        <f>IF($Z28&lt;&gt;"",IF(INDEX(tblBilling[Payment Status],$Z28)="","",INDEX(tblBilling[Payment Status],$Z28)),"")</f>
        <v/>
      </c>
      <c r="G28" s="76">
        <f>IF($Z28&lt;&gt;"",IF(INDEX(tblBilling[Payments Count],$Z28)="","",INDEX(tblBilling[Payments Count],$Z28)),"")</f>
        <v/>
      </c>
      <c r="H28" s="73">
        <f>IF($Z28&lt;&gt;"",IF(INDEX(tblBilling[Remarks],$Z28)="","",INDEX(tblBilling[Remarks],$Z28)),"")</f>
        <v/>
      </c>
      <c r="Z28">
        <f>IF(Z27="","",IFERROR(Z27+MATCH(1,INDEX(tblBilling[Stmt Match],Z27+1):INDEX(tblBilling[Stmt Match],ROWS(tblBilling[Stmt Match])),0),""))</f>
        <v/>
      </c>
      <c r="AA28">
        <f>ROW()-14-COUNTIF(tblBilling[Stmt Match],1)</f>
        <v/>
      </c>
    </row>
    <row r="29">
      <c r="A29" s="73">
        <f>IF($Z29&lt;&gt;"",IF(INDEX(tblBilling[Month Name],$Z29)="","",INDEX(tblBilling[Month Name],$Z29)),CHOOSE(MIN(MAX($AA29,0),5)+1,"","TOTAL","","Total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29" s="74">
        <f>IF($Z29&lt;&gt;"",IF(INDEX(tblBilling[Monthly Fee],$Z29)="","",INDEX(tblBilling[Monthly Fee],$Z29)),IF($AA29=1,SUMIFS(tblBilling[Monthly Fee],tblBilling[Stmt Match],1),""))</f>
        <v/>
      </c>
      <c r="C29" s="74">
        <f>IF($Z29&lt;&gt;"",IF(INDEX(tblBilling[Amount Paid],$Z29)="","",INDEX(tblBilling[Amount Paid],$Z29)),IF($AA29=1,SUMIFS(tblBilling[Amount Paid],tblBilling[Stmt Match],1),""))</f>
        <v/>
      </c>
      <c r="D29" s="75">
        <f>IF($Z29&lt;&gt;"",IF(INDEX(tblBilling[Last Payment Date],$Z29)="","",INDEX(tblBilling[Last Payment Date],$Z29)),"")</f>
        <v/>
      </c>
      <c r="E29" s="74">
        <f>IF($Z29&lt;&gt;"",IF(INDEX(tblBilling[Balance],$Z29)="","",INDEX(tblBilling[Balance],$Z29)),IF($AA29=1,SUMIFS(tblBilling[Balance],tblBilling[Stmt Match],1),""))</f>
        <v/>
      </c>
      <c r="F29" s="73">
        <f>IF($Z29&lt;&gt;"",IF(INDEX(tblBilling[Payment Status],$Z29)="","",INDEX(tblBilling[Payment Status],$Z29)),"")</f>
        <v/>
      </c>
      <c r="G29" s="76">
        <f>IF($Z29&lt;&gt;"",IF(INDEX(tblBilling[Payments Count],$Z29)="","",INDEX(tblBilling[Payments Count],$Z29)),"")</f>
        <v/>
      </c>
      <c r="H29" s="73">
        <f>IF($Z29&lt;&gt;"",IF(INDEX(tblBilling[Remarks],$Z29)="","",INDEX(tblBilling[Remarks],$Z29)),"")</f>
        <v/>
      </c>
      <c r="Z29">
        <f>IF(Z28="","",IFERROR(Z28+MATCH(1,INDEX(tblBilling[Stmt Match],Z28+1):INDEX(tblBilling[Stmt Match],ROWS(tblBilling[Stmt Match])),0),""))</f>
        <v/>
      </c>
      <c r="AA29">
        <f>ROW()-14-COUNTIF(tblBilling[Stmt Match],1)</f>
        <v/>
      </c>
    </row>
    <row r="30">
      <c r="A30" s="73">
        <f>IF($Z30&lt;&gt;"",IF(INDEX(tblBilling[Month Name],$Z30)="","",INDEX(tblBilling[Month Name],$Z30)),CHOOSE(MIN(MAX($AA30,0),5)+1,"","TOTAL","","Total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0" s="74">
        <f>IF($Z30&lt;&gt;"",IF(INDEX(tblBilling[Monthly Fee],$Z30)="","",INDEX(tblBilling[Monthly Fee],$Z30)),IF($AA30=1,SUMIFS(tblBilling[Monthly Fee],tblBilling[Stmt Match],1),""))</f>
        <v/>
      </c>
      <c r="C30" s="74">
        <f>IF($Z30&lt;&gt;"",IF(INDEX(tblBilling[Amount Paid],$Z30)="","",INDEX(tblBilling[Amount Paid],$Z30)),IF($AA30=1,SUMIFS(tblBilling[Amount Paid],tblBilling[Stmt Match],1),""))</f>
        <v/>
      </c>
      <c r="D30" s="75">
        <f>IF($Z30&lt;&gt;"",IF(INDEX(tblBilling[Last Payment Date],$Z30)="","",INDEX(tblBilling[Last Payment Date],$Z30)),"")</f>
        <v/>
      </c>
      <c r="E30" s="74">
        <f>IF($Z30&lt;&gt;"",IF(INDEX(tblBilling[Balance],$Z30)="","",INDEX(tblBilling[Balance],$Z30)),IF($AA30=1,SUMIFS(tblBilling[Balance],tblBilling[Stmt Match],1),""))</f>
        <v/>
      </c>
      <c r="F30" s="73">
        <f>IF($Z30&lt;&gt;"",IF(INDEX(tblBilling[Payment Status],$Z30)="","",INDEX(tblBilling[Payment Status],$Z30)),"")</f>
        <v/>
      </c>
      <c r="G30" s="76">
        <f>IF($Z30&lt;&gt;"",IF(INDEX(tblBilling[Payments Count],$Z30)="","",INDEX(tblBilling[Payments Count],$Z30)),"")</f>
        <v/>
      </c>
      <c r="H30" s="73">
        <f>IF($Z30&lt;&gt;"",IF(INDEX(tblBilling[Remarks],$Z30)="","",INDEX(tblBilling[Remarks],$Z30)),"")</f>
        <v/>
      </c>
      <c r="Z30">
        <f>IF(Z29="","",IFERROR(Z29+MATCH(1,INDEX(tblBilling[Stmt Match],Z29+1):INDEX(tblBilling[Stmt Match],ROWS(tblBilling[Stmt Match])),0),""))</f>
        <v/>
      </c>
      <c r="AA30">
        <f>ROW()-14-COUNTIF(tblBilling[Stmt Match],1)</f>
        <v/>
      </c>
    </row>
    <row r="31">
      <c r="A31" s="73">
        <f>IF($Z31&lt;&gt;"",IF(INDEX(tblBilling[Month Name],$Z31)="","",INDEX(tblBilling[Month Name],$Z31)),CHOOSE(MIN(MAX($AA31,0),5)+1,"","TOTAL","","Total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1" s="74">
        <f>IF($Z31&lt;&gt;"",IF(INDEX(tblBilling[Monthly Fee],$Z31)="","",INDEX(tblBilling[Monthly Fee],$Z31)),IF($AA31=1,SUMIFS(tblBilling[Monthly Fee],tblBilling[Stmt Match],1),""))</f>
        <v/>
      </c>
      <c r="C31" s="74">
        <f>IF($Z31&lt;&gt;"",IF(INDEX(tblBilling[Amount Paid],$Z31)="","",INDEX(tblBilling[Amount Paid],$Z31)),IF($AA31=1,SUMIFS(tblBilling[Amount Paid],tblBilling[Stmt Match],1),""))</f>
        <v/>
      </c>
      <c r="D31" s="75">
        <f>IF($Z31&lt;&gt;"",IF(INDEX(tblBilling[Last Payment Date],$Z31)="","",INDEX(tblBilling[Last Payment Date],$Z31)),"")</f>
        <v/>
      </c>
      <c r="E31" s="74">
        <f>IF($Z31&lt;&gt;"",IF(INDEX(tblBilling[Balance],$Z31)="","",INDEX(tblBilling[Balance],$Z31)),IF($AA31=1,SUMIFS(tblBilling[Balance],tblBilling[Stmt Match],1),""))</f>
        <v/>
      </c>
      <c r="F31" s="73">
        <f>IF($Z31&lt;&gt;"",IF(INDEX(tblBilling[Payment Status],$Z31)="","",INDEX(tblBilling[Payment Status],$Z31)),"")</f>
        <v/>
      </c>
      <c r="G31" s="76">
        <f>IF($Z31&lt;&gt;"",IF(INDEX(tblBilling[Payments Count],$Z31)="","",INDEX(tblBilling[Payments Count],$Z31)),"")</f>
        <v/>
      </c>
      <c r="H31" s="73">
        <f>IF($Z31&lt;&gt;"",IF(INDEX(tblBilling[Remarks],$Z31)="","",INDEX(tblBilling[Remarks],$Z31)),"")</f>
        <v/>
      </c>
      <c r="Z31">
        <f>IF(Z30="","",IFERROR(Z30+MATCH(1,INDEX(tblBilling[Stmt Match],Z30+1):INDEX(tblBilling[Stmt Match],ROWS(tblBilling[Stmt Match])),0),""))</f>
        <v/>
      </c>
      <c r="AA31">
        <f>ROW()-14-COUNTIF(tblBilling[Stmt Match],1)</f>
        <v/>
      </c>
    </row>
    <row r="32">
      <c r="A32" s="73">
        <f>IF($Z32&lt;&gt;"",IF(INDEX(tblBilling[Month Name],$Z32)="","",INDEX(tblBilling[Month Name],$Z32)),CHOOSE(MIN(MAX($AA32,0),5)+1,"","TOTAL","","Total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2" s="74">
        <f>IF($Z32&lt;&gt;"",IF(INDEX(tblBilling[Monthly Fee],$Z32)="","",INDEX(tblBilling[Monthly Fee],$Z32)),IF($AA32=1,SUMIFS(tblBilling[Monthly Fee],tblBilling[Stmt Match],1),""))</f>
        <v/>
      </c>
      <c r="C32" s="74">
        <f>IF($Z32&lt;&gt;"",IF(INDEX(tblBilling[Amount Paid],$Z32)="","",INDEX(tblBilling[Amount Paid],$Z32)),IF($AA32=1,SUMIFS(tblBilling[Amount Paid],tblBilling[Stmt Match],1),""))</f>
        <v/>
      </c>
      <c r="D32" s="75">
        <f>IF($Z32&lt;&gt;"",IF(INDEX(tblBilling[Last Payment Date],$Z32)="","",INDEX(tblBilling[Last Payment Date],$Z32)),"")</f>
        <v/>
      </c>
      <c r="E32" s="74">
        <f>IF($Z32&lt;&gt;"",IF(INDEX(tblBilling[Balance],$Z32)="","",INDEX(tblBilling[Balance],$Z32)),IF($AA32=1,SUMIFS(tblBilling[Balance],tblBilling[Stmt Match],1),""))</f>
        <v/>
      </c>
      <c r="F32" s="73">
        <f>IF($Z32&lt;&gt;"",IF(INDEX(tblBilling[Payment Status],$Z32)="","",INDEX(tblBilling[Payment Status],$Z32)),"")</f>
        <v/>
      </c>
      <c r="G32" s="76">
        <f>IF($Z32&lt;&gt;"",IF(INDEX(tblBilling[Payments Count],$Z32)="","",INDEX(tblBilling[Payments Count],$Z32)),"")</f>
        <v/>
      </c>
      <c r="H32" s="73">
        <f>IF($Z32&lt;&gt;"",IF(INDEX(tblBilling[Remarks],$Z32)="","",INDEX(tblBilling[Remarks],$Z32)),"")</f>
        <v/>
      </c>
      <c r="Z32">
        <f>IF(Z31="","",IFERROR(Z31+MATCH(1,INDEX(tblBilling[Stmt Match],Z31+1):INDEX(tblBilling[Stmt Match],ROWS(tblBilling[Stmt Match])),0),""))</f>
        <v/>
      </c>
      <c r="AA32">
        <f>ROW()-14-COUNTIF(tblBilling[Stmt Match],1)</f>
        <v/>
      </c>
    </row>
    <row r="33">
      <c r="A33" s="73">
        <f>IF($Z33&lt;&gt;"",IF(INDEX(tblBilling[Month Name],$Z33)="","",INDEX(tblBilling[Month Name],$Z33)),CHOOSE(MIN(MAX($AA33,0),5)+1,"","TOTAL","","Total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3" s="74">
        <f>IF($Z33&lt;&gt;"",IF(INDEX(tblBilling[Monthly Fee],$Z33)="","",INDEX(tblBilling[Monthly Fee],$Z33)),IF($AA33=1,SUMIFS(tblBilling[Monthly Fee],tblBilling[Stmt Match],1),""))</f>
        <v/>
      </c>
      <c r="C33" s="74">
        <f>IF($Z33&lt;&gt;"",IF(INDEX(tblBilling[Amount Paid],$Z33)="","",INDEX(tblBilling[Amount Paid],$Z33)),IF($AA33=1,SUMIFS(tblBilling[Amount Paid],tblBilling[Stmt Match],1),""))</f>
        <v/>
      </c>
      <c r="D33" s="75">
        <f>IF($Z33&lt;&gt;"",IF(INDEX(tblBilling[Last Payment Date],$Z33)="","",INDEX(tblBilling[Last Payment Date],$Z33)),"")</f>
        <v/>
      </c>
      <c r="E33" s="74">
        <f>IF($Z33&lt;&gt;"",IF(INDEX(tblBilling[Balance],$Z33)="","",INDEX(tblBilling[Balance],$Z33)),IF($AA33=1,SUMIFS(tblBilling[Balance],tblBilling[Stmt Match],1),""))</f>
        <v/>
      </c>
      <c r="F33" s="73">
        <f>IF($Z33&lt;&gt;"",IF(INDEX(tblBilling[Payment Status],$Z33)="","",INDEX(tblBilling[Payment Status],$Z33)),"")</f>
        <v/>
      </c>
      <c r="G33" s="76">
        <f>IF($Z33&lt;&gt;"",IF(INDEX(tblBilling[Payments Count],$Z33)="","",INDEX(tblBilling[Payments Count],$Z33)),"")</f>
        <v/>
      </c>
      <c r="H33" s="73">
        <f>IF($Z33&lt;&gt;"",IF(INDEX(tblBilling[Remarks],$Z33)="","",INDEX(tblBilling[Remarks],$Z33)),"")</f>
        <v/>
      </c>
      <c r="Z33">
        <f>IF(Z32="","",IFERROR(Z32+MATCH(1,INDEX(tblBilling[Stmt Match],Z32+1):INDEX(tblBilling[Stmt Match],ROWS(tblBilling[Stmt Match])),0),""))</f>
        <v/>
      </c>
      <c r="AA33">
        <f>ROW()-14-COUNTIF(tblBilling[Stmt Match],1)</f>
        <v/>
      </c>
    </row>
    <row r="34">
      <c r="A34" s="73">
        <f>IF($Z34&lt;&gt;"",IF(INDEX(tblBilling[Month Name],$Z34)="","",INDEX(tblBilling[Month Name],$Z34)),CHOOSE(MIN(MAX($AA34,0),5)+1,"","TOTAL","","Total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4" s="74">
        <f>IF($Z34&lt;&gt;"",IF(INDEX(tblBilling[Monthly Fee],$Z34)="","",INDEX(tblBilling[Monthly Fee],$Z34)),IF($AA34=1,SUMIFS(tblBilling[Monthly Fee],tblBilling[Stmt Match],1),""))</f>
        <v/>
      </c>
      <c r="C34" s="74">
        <f>IF($Z34&lt;&gt;"",IF(INDEX(tblBilling[Amount Paid],$Z34)="","",INDEX(tblBilling[Amount Paid],$Z34)),IF($AA34=1,SUMIFS(tblBilling[Amount Paid],tblBilling[Stmt Match],1),""))</f>
        <v/>
      </c>
      <c r="D34" s="75">
        <f>IF($Z34&lt;&gt;"",IF(INDEX(tblBilling[Last Payment Date],$Z34)="","",INDEX(tblBilling[Last Payment Date],$Z34)),"")</f>
        <v/>
      </c>
      <c r="E34" s="74">
        <f>IF($Z34&lt;&gt;"",IF(INDEX(tblBilling[Balance],$Z34)="","",INDEX(tblBilling[Balance],$Z34)),IF($AA34=1,SUMIFS(tblBilling[Balance],tblBilling[Stmt Match],1),""))</f>
        <v/>
      </c>
      <c r="F34" s="73">
        <f>IF($Z34&lt;&gt;"",IF(INDEX(tblBilling[Payment Status],$Z34)="","",INDEX(tblBilling[Payment Status],$Z34)),"")</f>
        <v/>
      </c>
      <c r="G34" s="76">
        <f>IF($Z34&lt;&gt;"",IF(INDEX(tblBilling[Payments Count],$Z34)="","",INDEX(tblBilling[Payments Count],$Z34)),"")</f>
        <v/>
      </c>
      <c r="H34" s="73">
        <f>IF($Z34&lt;&gt;"",IF(INDEX(tblBilling[Remarks],$Z34)="","",INDEX(tblBilling[Remarks],$Z34)),"")</f>
        <v/>
      </c>
      <c r="Z34">
        <f>IF(Z33="","",IFERROR(Z33+MATCH(1,INDEX(tblBilling[Stmt Match],Z33+1):INDEX(tblBilling[Stmt Match],ROWS(tblBilling[Stmt Match])),0),""))</f>
        <v/>
      </c>
      <c r="AA34">
        <f>ROW()-14-COUNTIF(tblBilling[Stmt Match],1)</f>
        <v/>
      </c>
    </row>
    <row r="35">
      <c r="A35" s="73">
        <f>IF($Z35&lt;&gt;"",IF(INDEX(tblBilling[Month Name],$Z35)="","",INDEX(tblBilling[Month Name],$Z35)),CHOOSE(MIN(MAX($AA35,0),5)+1,"","TOTAL","","Total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5" s="74">
        <f>IF($Z35&lt;&gt;"",IF(INDEX(tblBilling[Monthly Fee],$Z35)="","",INDEX(tblBilling[Monthly Fee],$Z35)),IF($AA35=1,SUMIFS(tblBilling[Monthly Fee],tblBilling[Stmt Match],1),""))</f>
        <v/>
      </c>
      <c r="C35" s="74">
        <f>IF($Z35&lt;&gt;"",IF(INDEX(tblBilling[Amount Paid],$Z35)="","",INDEX(tblBilling[Amount Paid],$Z35)),IF($AA35=1,SUMIFS(tblBilling[Amount Paid],tblBilling[Stmt Match],1),""))</f>
        <v/>
      </c>
      <c r="D35" s="75">
        <f>IF($Z35&lt;&gt;"",IF(INDEX(tblBilling[Last Payment Date],$Z35)="","",INDEX(tblBilling[Last Payment Date],$Z35)),"")</f>
        <v/>
      </c>
      <c r="E35" s="74">
        <f>IF($Z35&lt;&gt;"",IF(INDEX(tblBilling[Balance],$Z35)="","",INDEX(tblBilling[Balance],$Z35)),IF($AA35=1,SUMIFS(tblBilling[Balance],tblBilling[Stmt Match],1),""))</f>
        <v/>
      </c>
      <c r="F35" s="73">
        <f>IF($Z35&lt;&gt;"",IF(INDEX(tblBilling[Payment Status],$Z35)="","",INDEX(tblBilling[Payment Status],$Z35)),"")</f>
        <v/>
      </c>
      <c r="G35" s="76">
        <f>IF($Z35&lt;&gt;"",IF(INDEX(tblBilling[Payments Count],$Z35)="","",INDEX(tblBilling[Payments Count],$Z35)),"")</f>
        <v/>
      </c>
      <c r="H35" s="73">
        <f>IF($Z35&lt;&gt;"",IF(INDEX(tblBilling[Remarks],$Z35)="","",INDEX(tblBilling[Remarks],$Z35)),"")</f>
        <v/>
      </c>
      <c r="Z35">
        <f>IF(Z34="","",IFERROR(Z34+MATCH(1,INDEX(tblBilling[Stmt Match],Z34+1):INDEX(tblBilling[Stmt Match],ROWS(tblBilling[Stmt Match])),0),""))</f>
        <v/>
      </c>
      <c r="AA35">
        <f>ROW()-14-COUNTIF(tblBilling[Stmt Match],1)</f>
        <v/>
      </c>
    </row>
    <row r="36">
      <c r="A36" s="73">
        <f>IF($Z36&lt;&gt;"",IF(INDEX(tblBilling[Month Name],$Z36)="","",INDEX(tblBilling[Month Name],$Z36)),CHOOSE(MIN(MAX($AA36,0),5)+1,"","TOTAL","","Total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6" s="74">
        <f>IF($Z36&lt;&gt;"",IF(INDEX(tblBilling[Monthly Fee],$Z36)="","",INDEX(tblBilling[Monthly Fee],$Z36)),IF($AA36=1,SUMIFS(tblBilling[Monthly Fee],tblBilling[Stmt Match],1),""))</f>
        <v/>
      </c>
      <c r="C36" s="74">
        <f>IF($Z36&lt;&gt;"",IF(INDEX(tblBilling[Amount Paid],$Z36)="","",INDEX(tblBilling[Amount Paid],$Z36)),IF($AA36=1,SUMIFS(tblBilling[Amount Paid],tblBilling[Stmt Match],1),""))</f>
        <v/>
      </c>
      <c r="D36" s="75">
        <f>IF($Z36&lt;&gt;"",IF(INDEX(tblBilling[Last Payment Date],$Z36)="","",INDEX(tblBilling[Last Payment Date],$Z36)),"")</f>
        <v/>
      </c>
      <c r="E36" s="74">
        <f>IF($Z36&lt;&gt;"",IF(INDEX(tblBilling[Balance],$Z36)="","",INDEX(tblBilling[Balance],$Z36)),IF($AA36=1,SUMIFS(tblBilling[Balance],tblBilling[Stmt Match],1),""))</f>
        <v/>
      </c>
      <c r="F36" s="73">
        <f>IF($Z36&lt;&gt;"",IF(INDEX(tblBilling[Payment Status],$Z36)="","",INDEX(tblBilling[Payment Status],$Z36)),"")</f>
        <v/>
      </c>
      <c r="G36" s="76">
        <f>IF($Z36&lt;&gt;"",IF(INDEX(tblBilling[Payments Count],$Z36)="","",INDEX(tblBilling[Payments Count],$Z36)),"")</f>
        <v/>
      </c>
      <c r="H36" s="73">
        <f>IF($Z36&lt;&gt;"",IF(INDEX(tblBilling[Remarks],$Z36)="","",INDEX(tblBilling[Remarks],$Z36)),"")</f>
        <v/>
      </c>
      <c r="Z36">
        <f>IF(Z35="","",IFERROR(Z35+MATCH(1,INDEX(tblBilling[Stmt Match],Z35+1):INDEX(tblBilling[Stmt Match],ROWS(tblBilling[Stmt Match])),0),""))</f>
        <v/>
      </c>
      <c r="AA36">
        <f>ROW()-14-COUNTIF(tblBilling[Stmt Match],1)</f>
        <v/>
      </c>
    </row>
    <row r="37">
      <c r="A37" s="73">
        <f>IF($Z37&lt;&gt;"",IF(INDEX(tblBilling[Month Name],$Z37)="","",INDEX(tblBilling[Month Name],$Z37)),CHOOSE(MIN(MAX($AA37,0),5)+1,"","TOTAL","","Total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7" s="74">
        <f>IF($Z37&lt;&gt;"",IF(INDEX(tblBilling[Monthly Fee],$Z37)="","",INDEX(tblBilling[Monthly Fee],$Z37)),IF($AA37=1,SUMIFS(tblBilling[Monthly Fee],tblBilling[Stmt Match],1),""))</f>
        <v/>
      </c>
      <c r="C37" s="74">
        <f>IF($Z37&lt;&gt;"",IF(INDEX(tblBilling[Amount Paid],$Z37)="","",INDEX(tblBilling[Amount Paid],$Z37)),IF($AA37=1,SUMIFS(tblBilling[Amount Paid],tblBilling[Stmt Match],1),""))</f>
        <v/>
      </c>
      <c r="D37" s="75">
        <f>IF($Z37&lt;&gt;"",IF(INDEX(tblBilling[Last Payment Date],$Z37)="","",INDEX(tblBilling[Last Payment Date],$Z37)),"")</f>
        <v/>
      </c>
      <c r="E37" s="74">
        <f>IF($Z37&lt;&gt;"",IF(INDEX(tblBilling[Balance],$Z37)="","",INDEX(tblBilling[Balance],$Z37)),IF($AA37=1,SUMIFS(tblBilling[Balance],tblBilling[Stmt Match],1),""))</f>
        <v/>
      </c>
      <c r="F37" s="73">
        <f>IF($Z37&lt;&gt;"",IF(INDEX(tblBilling[Payment Status],$Z37)="","",INDEX(tblBilling[Payment Status],$Z37)),"")</f>
        <v/>
      </c>
      <c r="G37" s="76">
        <f>IF($Z37&lt;&gt;"",IF(INDEX(tblBilling[Payments Count],$Z37)="","",INDEX(tblBilling[Payments Count],$Z37)),"")</f>
        <v/>
      </c>
      <c r="H37" s="73">
        <f>IF($Z37&lt;&gt;"",IF(INDEX(tblBilling[Remarks],$Z37)="","",INDEX(tblBilling[Remarks],$Z37)),"")</f>
        <v/>
      </c>
      <c r="Z37">
        <f>IF(Z36="","",IFERROR(Z36+MATCH(1,INDEX(tblBilling[Stmt Match],Z36+1):INDEX(tblBilling[Stmt Match],ROWS(tblBilling[Stmt Match])),0),""))</f>
        <v/>
      </c>
      <c r="AA37">
        <f>ROW()-14-COUNTIF(tblBilling[Stmt Match],1)</f>
        <v/>
      </c>
    </row>
    <row r="38">
      <c r="A38" s="73">
        <f>IF($Z38&lt;&gt;"",IF(INDEX(tblBilling[Month Name],$Z38)="","",INDEX(tblBilling[Month Name],$Z38)),CHOOSE(MIN(MAX($AA38,0),5)+1,"","TOTAL","","Total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8" s="74">
        <f>IF($Z38&lt;&gt;"",IF(INDEX(tblBilling[Monthly Fee],$Z38)="","",INDEX(tblBilling[Monthly Fee],$Z38)),IF($AA38=1,SUMIFS(tblBilling[Monthly Fee],tblBilling[Stmt Match],1),""))</f>
        <v/>
      </c>
      <c r="C38" s="74">
        <f>IF($Z38&lt;&gt;"",IF(INDEX(tblBilling[Amount Paid],$Z38)="","",INDEX(tblBilling[Amount Paid],$Z38)),IF($AA38=1,SUMIFS(tblBilling[Amount Paid],tblBilling[Stmt Match],1),""))</f>
        <v/>
      </c>
      <c r="D38" s="75">
        <f>IF($Z38&lt;&gt;"",IF(INDEX(tblBilling[Last Payment Date],$Z38)="","",INDEX(tblBilling[Last Payment Date],$Z38)),"")</f>
        <v/>
      </c>
      <c r="E38" s="74">
        <f>IF($Z38&lt;&gt;"",IF(INDEX(tblBilling[Balance],$Z38)="","",INDEX(tblBilling[Balance],$Z38)),IF($AA38=1,SUMIFS(tblBilling[Balance],tblBilling[Stmt Match],1),""))</f>
        <v/>
      </c>
      <c r="F38" s="73">
        <f>IF($Z38&lt;&gt;"",IF(INDEX(tblBilling[Payment Status],$Z38)="","",INDEX(tblBilling[Payment Status],$Z38)),"")</f>
        <v/>
      </c>
      <c r="G38" s="76">
        <f>IF($Z38&lt;&gt;"",IF(INDEX(tblBilling[Payments Count],$Z38)="","",INDEX(tblBilling[Payments Count],$Z38)),"")</f>
        <v/>
      </c>
      <c r="H38" s="73">
        <f>IF($Z38&lt;&gt;"",IF(INDEX(tblBilling[Remarks],$Z38)="","",INDEX(tblBilling[Remarks],$Z38)),"")</f>
        <v/>
      </c>
      <c r="Z38">
        <f>IF(Z37="","",IFERROR(Z37+MATCH(1,INDEX(tblBilling[Stmt Match],Z37+1):INDEX(tblBilling[Stmt Match],ROWS(tblBilling[Stmt Match])),0),""))</f>
        <v/>
      </c>
      <c r="AA38">
        <f>ROW()-14-COUNTIF(tblBilling[Stmt Match],1)</f>
        <v/>
      </c>
    </row>
    <row r="39">
      <c r="A39" s="73">
        <f>IF($Z39&lt;&gt;"",IF(INDEX(tblBilling[Month Name],$Z39)="","",INDEX(tblBilling[Month Name],$Z39)),CHOOSE(MIN(MAX($AA39,0),5)+1,"","TOTAL","","Total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39" s="74">
        <f>IF($Z39&lt;&gt;"",IF(INDEX(tblBilling[Monthly Fee],$Z39)="","",INDEX(tblBilling[Monthly Fee],$Z39)),IF($AA39=1,SUMIFS(tblBilling[Monthly Fee],tblBilling[Stmt Match],1),""))</f>
        <v/>
      </c>
      <c r="C39" s="74">
        <f>IF($Z39&lt;&gt;"",IF(INDEX(tblBilling[Amount Paid],$Z39)="","",INDEX(tblBilling[Amount Paid],$Z39)),IF($AA39=1,SUMIFS(tblBilling[Amount Paid],tblBilling[Stmt Match],1),""))</f>
        <v/>
      </c>
      <c r="D39" s="75">
        <f>IF($Z39&lt;&gt;"",IF(INDEX(tblBilling[Last Payment Date],$Z39)="","",INDEX(tblBilling[Last Payment Date],$Z39)),"")</f>
        <v/>
      </c>
      <c r="E39" s="74">
        <f>IF($Z39&lt;&gt;"",IF(INDEX(tblBilling[Balance],$Z39)="","",INDEX(tblBilling[Balance],$Z39)),IF($AA39=1,SUMIFS(tblBilling[Balance],tblBilling[Stmt Match],1),""))</f>
        <v/>
      </c>
      <c r="F39" s="73">
        <f>IF($Z39&lt;&gt;"",IF(INDEX(tblBilling[Payment Status],$Z39)="","",INDEX(tblBilling[Payment Status],$Z39)),"")</f>
        <v/>
      </c>
      <c r="G39" s="76">
        <f>IF($Z39&lt;&gt;"",IF(INDEX(tblBilling[Payments Count],$Z39)="","",INDEX(tblBilling[Payments Count],$Z39)),"")</f>
        <v/>
      </c>
      <c r="H39" s="73">
        <f>IF($Z39&lt;&gt;"",IF(INDEX(tblBilling[Remarks],$Z39)="","",INDEX(tblBilling[Remarks],$Z39)),"")</f>
        <v/>
      </c>
      <c r="Z39">
        <f>IF(Z38="","",IFERROR(Z38+MATCH(1,INDEX(tblBilling[Stmt Match],Z38+1):INDEX(tblBilling[Stmt Match],ROWS(tblBilling[Stmt Match])),0),""))</f>
        <v/>
      </c>
      <c r="AA39">
        <f>ROW()-14-COUNTIF(tblBilling[Stmt Match],1)</f>
        <v/>
      </c>
    </row>
    <row r="40">
      <c r="A40" s="73">
        <f>IF($Z40&lt;&gt;"",IF(INDEX(tblBilling[Month Name],$Z40)="","",INDEX(tblBilling[Month Name],$Z40)),CHOOSE(MIN(MAX($AA40,0),5)+1,"","TOTAL","","Total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0" s="74">
        <f>IF($Z40&lt;&gt;"",IF(INDEX(tblBilling[Monthly Fee],$Z40)="","",INDEX(tblBilling[Monthly Fee],$Z40)),IF($AA40=1,SUMIFS(tblBilling[Monthly Fee],tblBilling[Stmt Match],1),""))</f>
        <v/>
      </c>
      <c r="C40" s="74">
        <f>IF($Z40&lt;&gt;"",IF(INDEX(tblBilling[Amount Paid],$Z40)="","",INDEX(tblBilling[Amount Paid],$Z40)),IF($AA40=1,SUMIFS(tblBilling[Amount Paid],tblBilling[Stmt Match],1),""))</f>
        <v/>
      </c>
      <c r="D40" s="75">
        <f>IF($Z40&lt;&gt;"",IF(INDEX(tblBilling[Last Payment Date],$Z40)="","",INDEX(tblBilling[Last Payment Date],$Z40)),"")</f>
        <v/>
      </c>
      <c r="E40" s="74">
        <f>IF($Z40&lt;&gt;"",IF(INDEX(tblBilling[Balance],$Z40)="","",INDEX(tblBilling[Balance],$Z40)),IF($AA40=1,SUMIFS(tblBilling[Balance],tblBilling[Stmt Match],1),""))</f>
        <v/>
      </c>
      <c r="F40" s="73">
        <f>IF($Z40&lt;&gt;"",IF(INDEX(tblBilling[Payment Status],$Z40)="","",INDEX(tblBilling[Payment Status],$Z40)),"")</f>
        <v/>
      </c>
      <c r="G40" s="76">
        <f>IF($Z40&lt;&gt;"",IF(INDEX(tblBilling[Payments Count],$Z40)="","",INDEX(tblBilling[Payments Count],$Z40)),"")</f>
        <v/>
      </c>
      <c r="H40" s="73">
        <f>IF($Z40&lt;&gt;"",IF(INDEX(tblBilling[Remarks],$Z40)="","",INDEX(tblBilling[Remarks],$Z40)),"")</f>
        <v/>
      </c>
      <c r="Z40">
        <f>IF(Z39="","",IFERROR(Z39+MATCH(1,INDEX(tblBilling[Stmt Match],Z39+1):INDEX(tblBilling[Stmt Match],ROWS(tblBilling[Stmt Match])),0),""))</f>
        <v/>
      </c>
      <c r="AA40">
        <f>ROW()-14-COUNTIF(tblBilling[Stmt Match],1)</f>
        <v/>
      </c>
    </row>
    <row r="41">
      <c r="A41" s="73">
        <f>IF($Z41&lt;&gt;"",IF(INDEX(tblBilling[Month Name],$Z41)="","",INDEX(tblBilling[Month Name],$Z41)),CHOOSE(MIN(MAX($AA41,0),5)+1,"","TOTAL","","Total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1" s="74">
        <f>IF($Z41&lt;&gt;"",IF(INDEX(tblBilling[Monthly Fee],$Z41)="","",INDEX(tblBilling[Monthly Fee],$Z41)),IF($AA41=1,SUMIFS(tblBilling[Monthly Fee],tblBilling[Stmt Match],1),""))</f>
        <v/>
      </c>
      <c r="C41" s="74">
        <f>IF($Z41&lt;&gt;"",IF(INDEX(tblBilling[Amount Paid],$Z41)="","",INDEX(tblBilling[Amount Paid],$Z41)),IF($AA41=1,SUMIFS(tblBilling[Amount Paid],tblBilling[Stmt Match],1),""))</f>
        <v/>
      </c>
      <c r="D41" s="75">
        <f>IF($Z41&lt;&gt;"",IF(INDEX(tblBilling[Last Payment Date],$Z41)="","",INDEX(tblBilling[Last Payment Date],$Z41)),"")</f>
        <v/>
      </c>
      <c r="E41" s="74">
        <f>IF($Z41&lt;&gt;"",IF(INDEX(tblBilling[Balance],$Z41)="","",INDEX(tblBilling[Balance],$Z41)),IF($AA41=1,SUMIFS(tblBilling[Balance],tblBilling[Stmt Match],1),""))</f>
        <v/>
      </c>
      <c r="F41" s="73">
        <f>IF($Z41&lt;&gt;"",IF(INDEX(tblBilling[Payment Status],$Z41)="","",INDEX(tblBilling[Payment Status],$Z41)),"")</f>
        <v/>
      </c>
      <c r="G41" s="76">
        <f>IF($Z41&lt;&gt;"",IF(INDEX(tblBilling[Payments Count],$Z41)="","",INDEX(tblBilling[Payments Count],$Z41)),"")</f>
        <v/>
      </c>
      <c r="H41" s="73">
        <f>IF($Z41&lt;&gt;"",IF(INDEX(tblBilling[Remarks],$Z41)="","",INDEX(tblBilling[Remarks],$Z41)),"")</f>
        <v/>
      </c>
      <c r="Z41">
        <f>IF(Z40="","",IFERROR(Z40+MATCH(1,INDEX(tblBilling[Stmt Match],Z40+1):INDEX(tblBilling[Stmt Match],ROWS(tblBilling[Stmt Match])),0),""))</f>
        <v/>
      </c>
      <c r="AA41">
        <f>ROW()-14-COUNTIF(tblBilling[Stmt Match],1)</f>
        <v/>
      </c>
    </row>
    <row r="42">
      <c r="A42" s="73">
        <f>IF($Z42&lt;&gt;"",IF(INDEX(tblBilling[Month Name],$Z42)="","",INDEX(tblBilling[Month Name],$Z42)),CHOOSE(MIN(MAX($AA42,0),5)+1,"","TOTAL","","Total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2" s="74">
        <f>IF($Z42&lt;&gt;"",IF(INDEX(tblBilling[Monthly Fee],$Z42)="","",INDEX(tblBilling[Monthly Fee],$Z42)),IF($AA42=1,SUMIFS(tblBilling[Monthly Fee],tblBilling[Stmt Match],1),""))</f>
        <v/>
      </c>
      <c r="C42" s="74">
        <f>IF($Z42&lt;&gt;"",IF(INDEX(tblBilling[Amount Paid],$Z42)="","",INDEX(tblBilling[Amount Paid],$Z42)),IF($AA42=1,SUMIFS(tblBilling[Amount Paid],tblBilling[Stmt Match],1),""))</f>
        <v/>
      </c>
      <c r="D42" s="75">
        <f>IF($Z42&lt;&gt;"",IF(INDEX(tblBilling[Last Payment Date],$Z42)="","",INDEX(tblBilling[Last Payment Date],$Z42)),"")</f>
        <v/>
      </c>
      <c r="E42" s="74">
        <f>IF($Z42&lt;&gt;"",IF(INDEX(tblBilling[Balance],$Z42)="","",INDEX(tblBilling[Balance],$Z42)),IF($AA42=1,SUMIFS(tblBilling[Balance],tblBilling[Stmt Match],1),""))</f>
        <v/>
      </c>
      <c r="F42" s="73">
        <f>IF($Z42&lt;&gt;"",IF(INDEX(tblBilling[Payment Status],$Z42)="","",INDEX(tblBilling[Payment Status],$Z42)),"")</f>
        <v/>
      </c>
      <c r="G42" s="76">
        <f>IF($Z42&lt;&gt;"",IF(INDEX(tblBilling[Payments Count],$Z42)="","",INDEX(tblBilling[Payments Count],$Z42)),"")</f>
        <v/>
      </c>
      <c r="H42" s="73">
        <f>IF($Z42&lt;&gt;"",IF(INDEX(tblBilling[Remarks],$Z42)="","",INDEX(tblBilling[Remarks],$Z42)),"")</f>
        <v/>
      </c>
      <c r="Z42">
        <f>IF(Z41="","",IFERROR(Z41+MATCH(1,INDEX(tblBilling[Stmt Match],Z41+1):INDEX(tblBilling[Stmt Match],ROWS(tblBilling[Stmt Match])),0),""))</f>
        <v/>
      </c>
      <c r="AA42">
        <f>ROW()-14-COUNTIF(tblBilling[Stmt Match],1)</f>
        <v/>
      </c>
    </row>
    <row r="43">
      <c r="A43" s="73">
        <f>IF($Z43&lt;&gt;"",IF(INDEX(tblBilling[Month Name],$Z43)="","",INDEX(tblBilling[Month Name],$Z43)),CHOOSE(MIN(MAX($AA43,0),5)+1,"","TOTAL","","Total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3" s="74">
        <f>IF($Z43&lt;&gt;"",IF(INDEX(tblBilling[Monthly Fee],$Z43)="","",INDEX(tblBilling[Monthly Fee],$Z43)),IF($AA43=1,SUMIFS(tblBilling[Monthly Fee],tblBilling[Stmt Match],1),""))</f>
        <v/>
      </c>
      <c r="C43" s="74">
        <f>IF($Z43&lt;&gt;"",IF(INDEX(tblBilling[Amount Paid],$Z43)="","",INDEX(tblBilling[Amount Paid],$Z43)),IF($AA43=1,SUMIFS(tblBilling[Amount Paid],tblBilling[Stmt Match],1),""))</f>
        <v/>
      </c>
      <c r="D43" s="75">
        <f>IF($Z43&lt;&gt;"",IF(INDEX(tblBilling[Last Payment Date],$Z43)="","",INDEX(tblBilling[Last Payment Date],$Z43)),"")</f>
        <v/>
      </c>
      <c r="E43" s="74">
        <f>IF($Z43&lt;&gt;"",IF(INDEX(tblBilling[Balance],$Z43)="","",INDEX(tblBilling[Balance],$Z43)),IF($AA43=1,SUMIFS(tblBilling[Balance],tblBilling[Stmt Match],1),""))</f>
        <v/>
      </c>
      <c r="F43" s="73">
        <f>IF($Z43&lt;&gt;"",IF(INDEX(tblBilling[Payment Status],$Z43)="","",INDEX(tblBilling[Payment Status],$Z43)),"")</f>
        <v/>
      </c>
      <c r="G43" s="76">
        <f>IF($Z43&lt;&gt;"",IF(INDEX(tblBilling[Payments Count],$Z43)="","",INDEX(tblBilling[Payments Count],$Z43)),"")</f>
        <v/>
      </c>
      <c r="H43" s="73">
        <f>IF($Z43&lt;&gt;"",IF(INDEX(tblBilling[Remarks],$Z43)="","",INDEX(tblBilling[Remarks],$Z43)),"")</f>
        <v/>
      </c>
      <c r="Z43">
        <f>IF(Z42="","",IFERROR(Z42+MATCH(1,INDEX(tblBilling[Stmt Match],Z42+1):INDEX(tblBilling[Stmt Match],ROWS(tblBilling[Stmt Match])),0),""))</f>
        <v/>
      </c>
      <c r="AA43">
        <f>ROW()-14-COUNTIF(tblBilling[Stmt Match],1)</f>
        <v/>
      </c>
    </row>
    <row r="44">
      <c r="A44" s="73">
        <f>IF($Z44&lt;&gt;"",IF(INDEX(tblBilling[Month Name],$Z44)="","",INDEX(tblBilling[Month Name],$Z44)),CHOOSE(MIN(MAX($AA44,0),5)+1,"","TOTAL","","Total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4" s="74">
        <f>IF($Z44&lt;&gt;"",IF(INDEX(tblBilling[Monthly Fee],$Z44)="","",INDEX(tblBilling[Monthly Fee],$Z44)),IF($AA44=1,SUMIFS(tblBilling[Monthly Fee],tblBilling[Stmt Match],1),""))</f>
        <v/>
      </c>
      <c r="C44" s="74">
        <f>IF($Z44&lt;&gt;"",IF(INDEX(tblBilling[Amount Paid],$Z44)="","",INDEX(tblBilling[Amount Paid],$Z44)),IF($AA44=1,SUMIFS(tblBilling[Amount Paid],tblBilling[Stmt Match],1),""))</f>
        <v/>
      </c>
      <c r="D44" s="75">
        <f>IF($Z44&lt;&gt;"",IF(INDEX(tblBilling[Last Payment Date],$Z44)="","",INDEX(tblBilling[Last Payment Date],$Z44)),"")</f>
        <v/>
      </c>
      <c r="E44" s="74">
        <f>IF($Z44&lt;&gt;"",IF(INDEX(tblBilling[Balance],$Z44)="","",INDEX(tblBilling[Balance],$Z44)),IF($AA44=1,SUMIFS(tblBilling[Balance],tblBilling[Stmt Match],1),""))</f>
        <v/>
      </c>
      <c r="F44" s="73">
        <f>IF($Z44&lt;&gt;"",IF(INDEX(tblBilling[Payment Status],$Z44)="","",INDEX(tblBilling[Payment Status],$Z44)),"")</f>
        <v/>
      </c>
      <c r="G44" s="76">
        <f>IF($Z44&lt;&gt;"",IF(INDEX(tblBilling[Payments Count],$Z44)="","",INDEX(tblBilling[Payments Count],$Z44)),"")</f>
        <v/>
      </c>
      <c r="H44" s="73">
        <f>IF($Z44&lt;&gt;"",IF(INDEX(tblBilling[Remarks],$Z44)="","",INDEX(tblBilling[Remarks],$Z44)),"")</f>
        <v/>
      </c>
      <c r="Z44">
        <f>IF(Z43="","",IFERROR(Z43+MATCH(1,INDEX(tblBilling[Stmt Match],Z43+1):INDEX(tblBilling[Stmt Match],ROWS(tblBilling[Stmt Match])),0),""))</f>
        <v/>
      </c>
      <c r="AA44">
        <f>ROW()-14-COUNTIF(tblBilling[Stmt Match],1)</f>
        <v/>
      </c>
    </row>
    <row r="45">
      <c r="A45" s="73">
        <f>IF($Z45&lt;&gt;"",IF(INDEX(tblBilling[Month Name],$Z45)="","",INDEX(tblBilling[Month Name],$Z45)),CHOOSE(MIN(MAX($AA45,0),5)+1,"","TOTAL","","Total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5" s="74">
        <f>IF($Z45&lt;&gt;"",IF(INDEX(tblBilling[Monthly Fee],$Z45)="","",INDEX(tblBilling[Monthly Fee],$Z45)),IF($AA45=1,SUMIFS(tblBilling[Monthly Fee],tblBilling[Stmt Match],1),""))</f>
        <v/>
      </c>
      <c r="C45" s="74">
        <f>IF($Z45&lt;&gt;"",IF(INDEX(tblBilling[Amount Paid],$Z45)="","",INDEX(tblBilling[Amount Paid],$Z45)),IF($AA45=1,SUMIFS(tblBilling[Amount Paid],tblBilling[Stmt Match],1),""))</f>
        <v/>
      </c>
      <c r="D45" s="75">
        <f>IF($Z45&lt;&gt;"",IF(INDEX(tblBilling[Last Payment Date],$Z45)="","",INDEX(tblBilling[Last Payment Date],$Z45)),"")</f>
        <v/>
      </c>
      <c r="E45" s="74">
        <f>IF($Z45&lt;&gt;"",IF(INDEX(tblBilling[Balance],$Z45)="","",INDEX(tblBilling[Balance],$Z45)),IF($AA45=1,SUMIFS(tblBilling[Balance],tblBilling[Stmt Match],1),""))</f>
        <v/>
      </c>
      <c r="F45" s="73">
        <f>IF($Z45&lt;&gt;"",IF(INDEX(tblBilling[Payment Status],$Z45)="","",INDEX(tblBilling[Payment Status],$Z45)),"")</f>
        <v/>
      </c>
      <c r="G45" s="76">
        <f>IF($Z45&lt;&gt;"",IF(INDEX(tblBilling[Payments Count],$Z45)="","",INDEX(tblBilling[Payments Count],$Z45)),"")</f>
        <v/>
      </c>
      <c r="H45" s="73">
        <f>IF($Z45&lt;&gt;"",IF(INDEX(tblBilling[Remarks],$Z45)="","",INDEX(tblBilling[Remarks],$Z45)),"")</f>
        <v/>
      </c>
      <c r="Z45">
        <f>IF(Z44="","",IFERROR(Z44+MATCH(1,INDEX(tblBilling[Stmt Match],Z44+1):INDEX(tblBilling[Stmt Match],ROWS(tblBilling[Stmt Match])),0),""))</f>
        <v/>
      </c>
      <c r="AA45">
        <f>ROW()-14-COUNTIF(tblBilling[Stmt Match],1)</f>
        <v/>
      </c>
    </row>
    <row r="46">
      <c r="A46" s="73">
        <f>IF($Z46&lt;&gt;"",IF(INDEX(tblBilling[Month Name],$Z46)="","",INDEX(tblBilling[Month Name],$Z46)),CHOOSE(MIN(MAX($AA46,0),5)+1,"","TOTAL","","Total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6" s="74">
        <f>IF($Z46&lt;&gt;"",IF(INDEX(tblBilling[Monthly Fee],$Z46)="","",INDEX(tblBilling[Monthly Fee],$Z46)),IF($AA46=1,SUMIFS(tblBilling[Monthly Fee],tblBilling[Stmt Match],1),""))</f>
        <v/>
      </c>
      <c r="C46" s="74">
        <f>IF($Z46&lt;&gt;"",IF(INDEX(tblBilling[Amount Paid],$Z46)="","",INDEX(tblBilling[Amount Paid],$Z46)),IF($AA46=1,SUMIFS(tblBilling[Amount Paid],tblBilling[Stmt Match],1),""))</f>
        <v/>
      </c>
      <c r="D46" s="75">
        <f>IF($Z46&lt;&gt;"",IF(INDEX(tblBilling[Last Payment Date],$Z46)="","",INDEX(tblBilling[Last Payment Date],$Z46)),"")</f>
        <v/>
      </c>
      <c r="E46" s="74">
        <f>IF($Z46&lt;&gt;"",IF(INDEX(tblBilling[Balance],$Z46)="","",INDEX(tblBilling[Balance],$Z46)),IF($AA46=1,SUMIFS(tblBilling[Balance],tblBilling[Stmt Match],1),""))</f>
        <v/>
      </c>
      <c r="F46" s="73">
        <f>IF($Z46&lt;&gt;"",IF(INDEX(tblBilling[Payment Status],$Z46)="","",INDEX(tblBilling[Payment Status],$Z46)),"")</f>
        <v/>
      </c>
      <c r="G46" s="76">
        <f>IF($Z46&lt;&gt;"",IF(INDEX(tblBilling[Payments Count],$Z46)="","",INDEX(tblBilling[Payments Count],$Z46)),"")</f>
        <v/>
      </c>
      <c r="H46" s="73">
        <f>IF($Z46&lt;&gt;"",IF(INDEX(tblBilling[Remarks],$Z46)="","",INDEX(tblBilling[Remarks],$Z46)),"")</f>
        <v/>
      </c>
      <c r="Z46">
        <f>IF(Z45="","",IFERROR(Z45+MATCH(1,INDEX(tblBilling[Stmt Match],Z45+1):INDEX(tblBilling[Stmt Match],ROWS(tblBilling[Stmt Match])),0),""))</f>
        <v/>
      </c>
      <c r="AA46">
        <f>ROW()-14-COUNTIF(tblBilling[Stmt Match],1)</f>
        <v/>
      </c>
    </row>
    <row r="47">
      <c r="A47" s="73">
        <f>IF($Z47&lt;&gt;"",IF(INDEX(tblBilling[Month Name],$Z47)="","",INDEX(tblBilling[Month Name],$Z47)),CHOOSE(MIN(MAX($AA47,0),5)+1,"","TOTAL","","Total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7" s="74">
        <f>IF($Z47&lt;&gt;"",IF(INDEX(tblBilling[Monthly Fee],$Z47)="","",INDEX(tblBilling[Monthly Fee],$Z47)),IF($AA47=1,SUMIFS(tblBilling[Monthly Fee],tblBilling[Stmt Match],1),""))</f>
        <v/>
      </c>
      <c r="C47" s="74">
        <f>IF($Z47&lt;&gt;"",IF(INDEX(tblBilling[Amount Paid],$Z47)="","",INDEX(tblBilling[Amount Paid],$Z47)),IF($AA47=1,SUMIFS(tblBilling[Amount Paid],tblBilling[Stmt Match],1),""))</f>
        <v/>
      </c>
      <c r="D47" s="75">
        <f>IF($Z47&lt;&gt;"",IF(INDEX(tblBilling[Last Payment Date],$Z47)="","",INDEX(tblBilling[Last Payment Date],$Z47)),"")</f>
        <v/>
      </c>
      <c r="E47" s="74">
        <f>IF($Z47&lt;&gt;"",IF(INDEX(tblBilling[Balance],$Z47)="","",INDEX(tblBilling[Balance],$Z47)),IF($AA47=1,SUMIFS(tblBilling[Balance],tblBilling[Stmt Match],1),""))</f>
        <v/>
      </c>
      <c r="F47" s="73">
        <f>IF($Z47&lt;&gt;"",IF(INDEX(tblBilling[Payment Status],$Z47)="","",INDEX(tblBilling[Payment Status],$Z47)),"")</f>
        <v/>
      </c>
      <c r="G47" s="76">
        <f>IF($Z47&lt;&gt;"",IF(INDEX(tblBilling[Payments Count],$Z47)="","",INDEX(tblBilling[Payments Count],$Z47)),"")</f>
        <v/>
      </c>
      <c r="H47" s="73">
        <f>IF($Z47&lt;&gt;"",IF(INDEX(tblBilling[Remarks],$Z47)="","",INDEX(tblBilling[Remarks],$Z47)),"")</f>
        <v/>
      </c>
      <c r="Z47">
        <f>IF(Z46="","",IFERROR(Z46+MATCH(1,INDEX(tblBilling[Stmt Match],Z46+1):INDEX(tblBilling[Stmt Match],ROWS(tblBilling[Stmt Match])),0),""))</f>
        <v/>
      </c>
      <c r="AA47">
        <f>ROW()-14-COUNTIF(tblBilling[Stmt Match],1)</f>
        <v/>
      </c>
    </row>
    <row r="48">
      <c r="A48" s="73">
        <f>IF($Z48&lt;&gt;"",IF(INDEX(tblBilling[Month Name],$Z48)="","",INDEX(tblBilling[Month Name],$Z48)),CHOOSE(MIN(MAX($AA48,0),5)+1,"","TOTAL","","Total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8" s="74">
        <f>IF($Z48&lt;&gt;"",IF(INDEX(tblBilling[Monthly Fee],$Z48)="","",INDEX(tblBilling[Monthly Fee],$Z48)),IF($AA48=1,SUMIFS(tblBilling[Monthly Fee],tblBilling[Stmt Match],1),""))</f>
        <v/>
      </c>
      <c r="C48" s="74">
        <f>IF($Z48&lt;&gt;"",IF(INDEX(tblBilling[Amount Paid],$Z48)="","",INDEX(tblBilling[Amount Paid],$Z48)),IF($AA48=1,SUMIFS(tblBilling[Amount Paid],tblBilling[Stmt Match],1),""))</f>
        <v/>
      </c>
      <c r="D48" s="75">
        <f>IF($Z48&lt;&gt;"",IF(INDEX(tblBilling[Last Payment Date],$Z48)="","",INDEX(tblBilling[Last Payment Date],$Z48)),"")</f>
        <v/>
      </c>
      <c r="E48" s="74">
        <f>IF($Z48&lt;&gt;"",IF(INDEX(tblBilling[Balance],$Z48)="","",INDEX(tblBilling[Balance],$Z48)),IF($AA48=1,SUMIFS(tblBilling[Balance],tblBilling[Stmt Match],1),""))</f>
        <v/>
      </c>
      <c r="F48" s="73">
        <f>IF($Z48&lt;&gt;"",IF(INDEX(tblBilling[Payment Status],$Z48)="","",INDEX(tblBilling[Payment Status],$Z48)),"")</f>
        <v/>
      </c>
      <c r="G48" s="76">
        <f>IF($Z48&lt;&gt;"",IF(INDEX(tblBilling[Payments Count],$Z48)="","",INDEX(tblBilling[Payments Count],$Z48)),"")</f>
        <v/>
      </c>
      <c r="H48" s="73">
        <f>IF($Z48&lt;&gt;"",IF(INDEX(tblBilling[Remarks],$Z48)="","",INDEX(tblBilling[Remarks],$Z48)),"")</f>
        <v/>
      </c>
      <c r="Z48">
        <f>IF(Z47="","",IFERROR(Z47+MATCH(1,INDEX(tblBilling[Stmt Match],Z47+1):INDEX(tblBilling[Stmt Match],ROWS(tblBilling[Stmt Match])),0),""))</f>
        <v/>
      </c>
      <c r="AA48">
        <f>ROW()-14-COUNTIF(tblBilling[Stmt Match],1)</f>
        <v/>
      </c>
    </row>
    <row r="49">
      <c r="A49" s="73">
        <f>IF($Z49&lt;&gt;"",IF(INDEX(tblBilling[Month Name],$Z49)="","",INDEX(tblBilling[Month Name],$Z49)),CHOOSE(MIN(MAX($AA49,0),5)+1,"","TOTAL","","Total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49" s="74">
        <f>IF($Z49&lt;&gt;"",IF(INDEX(tblBilling[Monthly Fee],$Z49)="","",INDEX(tblBilling[Monthly Fee],$Z49)),IF($AA49=1,SUMIFS(tblBilling[Monthly Fee],tblBilling[Stmt Match],1),""))</f>
        <v/>
      </c>
      <c r="C49" s="74">
        <f>IF($Z49&lt;&gt;"",IF(INDEX(tblBilling[Amount Paid],$Z49)="","",INDEX(tblBilling[Amount Paid],$Z49)),IF($AA49=1,SUMIFS(tblBilling[Amount Paid],tblBilling[Stmt Match],1),""))</f>
        <v/>
      </c>
      <c r="D49" s="75">
        <f>IF($Z49&lt;&gt;"",IF(INDEX(tblBilling[Last Payment Date],$Z49)="","",INDEX(tblBilling[Last Payment Date],$Z49)),"")</f>
        <v/>
      </c>
      <c r="E49" s="74">
        <f>IF($Z49&lt;&gt;"",IF(INDEX(tblBilling[Balance],$Z49)="","",INDEX(tblBilling[Balance],$Z49)),IF($AA49=1,SUMIFS(tblBilling[Balance],tblBilling[Stmt Match],1),""))</f>
        <v/>
      </c>
      <c r="F49" s="73">
        <f>IF($Z49&lt;&gt;"",IF(INDEX(tblBilling[Payment Status],$Z49)="","",INDEX(tblBilling[Payment Status],$Z49)),"")</f>
        <v/>
      </c>
      <c r="G49" s="76">
        <f>IF($Z49&lt;&gt;"",IF(INDEX(tblBilling[Payments Count],$Z49)="","",INDEX(tblBilling[Payments Count],$Z49)),"")</f>
        <v/>
      </c>
      <c r="H49" s="73">
        <f>IF($Z49&lt;&gt;"",IF(INDEX(tblBilling[Remarks],$Z49)="","",INDEX(tblBilling[Remarks],$Z49)),"")</f>
        <v/>
      </c>
      <c r="Z49">
        <f>IF(Z48="","",IFERROR(Z48+MATCH(1,INDEX(tblBilling[Stmt Match],Z48+1):INDEX(tblBilling[Stmt Match],ROWS(tblBilling[Stmt Match])),0),""))</f>
        <v/>
      </c>
      <c r="AA49">
        <f>ROW()-14-COUNTIF(tblBilling[Stmt Match],1)</f>
        <v/>
      </c>
    </row>
    <row r="50">
      <c r="A50" s="73">
        <f>IF($Z50&lt;&gt;"",IF(INDEX(tblBilling[Month Name],$Z50)="","",INDEX(tblBilling[Month Name],$Z50)),CHOOSE(MIN(MAX($AA50,0),5)+1,"","TOTAL","","Total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0" s="74">
        <f>IF($Z50&lt;&gt;"",IF(INDEX(tblBilling[Monthly Fee],$Z50)="","",INDEX(tblBilling[Monthly Fee],$Z50)),IF($AA50=1,SUMIFS(tblBilling[Monthly Fee],tblBilling[Stmt Match],1),""))</f>
        <v/>
      </c>
      <c r="C50" s="74">
        <f>IF($Z50&lt;&gt;"",IF(INDEX(tblBilling[Amount Paid],$Z50)="","",INDEX(tblBilling[Amount Paid],$Z50)),IF($AA50=1,SUMIFS(tblBilling[Amount Paid],tblBilling[Stmt Match],1),""))</f>
        <v/>
      </c>
      <c r="D50" s="75">
        <f>IF($Z50&lt;&gt;"",IF(INDEX(tblBilling[Last Payment Date],$Z50)="","",INDEX(tblBilling[Last Payment Date],$Z50)),"")</f>
        <v/>
      </c>
      <c r="E50" s="74">
        <f>IF($Z50&lt;&gt;"",IF(INDEX(tblBilling[Balance],$Z50)="","",INDEX(tblBilling[Balance],$Z50)),IF($AA50=1,SUMIFS(tblBilling[Balance],tblBilling[Stmt Match],1),""))</f>
        <v/>
      </c>
      <c r="F50" s="73">
        <f>IF($Z50&lt;&gt;"",IF(INDEX(tblBilling[Payment Status],$Z50)="","",INDEX(tblBilling[Payment Status],$Z50)),"")</f>
        <v/>
      </c>
      <c r="G50" s="76">
        <f>IF($Z50&lt;&gt;"",IF(INDEX(tblBilling[Payments Count],$Z50)="","",INDEX(tblBilling[Payments Count],$Z50)),"")</f>
        <v/>
      </c>
      <c r="H50" s="73">
        <f>IF($Z50&lt;&gt;"",IF(INDEX(tblBilling[Remarks],$Z50)="","",INDEX(tblBilling[Remarks],$Z50)),"")</f>
        <v/>
      </c>
      <c r="Z50">
        <f>IF(Z49="","",IFERROR(Z49+MATCH(1,INDEX(tblBilling[Stmt Match],Z49+1):INDEX(tblBilling[Stmt Match],ROWS(tblBilling[Stmt Match])),0),""))</f>
        <v/>
      </c>
      <c r="AA50">
        <f>ROW()-14-COUNTIF(tblBilling[Stmt Match],1)</f>
        <v/>
      </c>
    </row>
    <row r="51">
      <c r="A51" s="73">
        <f>IF($Z51&lt;&gt;"",IF(INDEX(tblBilling[Month Name],$Z51)="","",INDEX(tblBilling[Month Name],$Z51)),CHOOSE(MIN(MAX($AA51,0),5)+1,"","TOTAL","","Total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1" s="74">
        <f>IF($Z51&lt;&gt;"",IF(INDEX(tblBilling[Monthly Fee],$Z51)="","",INDEX(tblBilling[Monthly Fee],$Z51)),IF($AA51=1,SUMIFS(tblBilling[Monthly Fee],tblBilling[Stmt Match],1),""))</f>
        <v/>
      </c>
      <c r="C51" s="74">
        <f>IF($Z51&lt;&gt;"",IF(INDEX(tblBilling[Amount Paid],$Z51)="","",INDEX(tblBilling[Amount Paid],$Z51)),IF($AA51=1,SUMIFS(tblBilling[Amount Paid],tblBilling[Stmt Match],1),""))</f>
        <v/>
      </c>
      <c r="D51" s="75">
        <f>IF($Z51&lt;&gt;"",IF(INDEX(tblBilling[Last Payment Date],$Z51)="","",INDEX(tblBilling[Last Payment Date],$Z51)),"")</f>
        <v/>
      </c>
      <c r="E51" s="74">
        <f>IF($Z51&lt;&gt;"",IF(INDEX(tblBilling[Balance],$Z51)="","",INDEX(tblBilling[Balance],$Z51)),IF($AA51=1,SUMIFS(tblBilling[Balance],tblBilling[Stmt Match],1),""))</f>
        <v/>
      </c>
      <c r="F51" s="73">
        <f>IF($Z51&lt;&gt;"",IF(INDEX(tblBilling[Payment Status],$Z51)="","",INDEX(tblBilling[Payment Status],$Z51)),"")</f>
        <v/>
      </c>
      <c r="G51" s="76">
        <f>IF($Z51&lt;&gt;"",IF(INDEX(tblBilling[Payments Count],$Z51)="","",INDEX(tblBilling[Payments Count],$Z51)),"")</f>
        <v/>
      </c>
      <c r="H51" s="73">
        <f>IF($Z51&lt;&gt;"",IF(INDEX(tblBilling[Remarks],$Z51)="","",INDEX(tblBilling[Remarks],$Z51)),"")</f>
        <v/>
      </c>
      <c r="Z51">
        <f>IF(Z50="","",IFERROR(Z50+MATCH(1,INDEX(tblBilling[Stmt Match],Z50+1):INDEX(tblBilling[Stmt Match],ROWS(tblBilling[Stmt Match])),0),""))</f>
        <v/>
      </c>
      <c r="AA51">
        <f>ROW()-14-COUNTIF(tblBilling[Stmt Match],1)</f>
        <v/>
      </c>
    </row>
    <row r="52">
      <c r="A52" s="73">
        <f>IF($Z52&lt;&gt;"",IF(INDEX(tblBilling[Month Name],$Z52)="","",INDEX(tblBilling[Month Name],$Z52)),CHOOSE(MIN(MAX($AA52,0),5)+1,"","TOTAL","","Total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2" s="74">
        <f>IF($Z52&lt;&gt;"",IF(INDEX(tblBilling[Monthly Fee],$Z52)="","",INDEX(tblBilling[Monthly Fee],$Z52)),IF($AA52=1,SUMIFS(tblBilling[Monthly Fee],tblBilling[Stmt Match],1),""))</f>
        <v/>
      </c>
      <c r="C52" s="74">
        <f>IF($Z52&lt;&gt;"",IF(INDEX(tblBilling[Amount Paid],$Z52)="","",INDEX(tblBilling[Amount Paid],$Z52)),IF($AA52=1,SUMIFS(tblBilling[Amount Paid],tblBilling[Stmt Match],1),""))</f>
        <v/>
      </c>
      <c r="D52" s="75">
        <f>IF($Z52&lt;&gt;"",IF(INDEX(tblBilling[Last Payment Date],$Z52)="","",INDEX(tblBilling[Last Payment Date],$Z52)),"")</f>
        <v/>
      </c>
      <c r="E52" s="74">
        <f>IF($Z52&lt;&gt;"",IF(INDEX(tblBilling[Balance],$Z52)="","",INDEX(tblBilling[Balance],$Z52)),IF($AA52=1,SUMIFS(tblBilling[Balance],tblBilling[Stmt Match],1),""))</f>
        <v/>
      </c>
      <c r="F52" s="73">
        <f>IF($Z52&lt;&gt;"",IF(INDEX(tblBilling[Payment Status],$Z52)="","",INDEX(tblBilling[Payment Status],$Z52)),"")</f>
        <v/>
      </c>
      <c r="G52" s="76">
        <f>IF($Z52&lt;&gt;"",IF(INDEX(tblBilling[Payments Count],$Z52)="","",INDEX(tblBilling[Payments Count],$Z52)),"")</f>
        <v/>
      </c>
      <c r="H52" s="73">
        <f>IF($Z52&lt;&gt;"",IF(INDEX(tblBilling[Remarks],$Z52)="","",INDEX(tblBilling[Remarks],$Z52)),"")</f>
        <v/>
      </c>
      <c r="Z52">
        <f>IF(Z51="","",IFERROR(Z51+MATCH(1,INDEX(tblBilling[Stmt Match],Z51+1):INDEX(tblBilling[Stmt Match],ROWS(tblBilling[Stmt Match])),0),""))</f>
        <v/>
      </c>
      <c r="AA52">
        <f>ROW()-14-COUNTIF(tblBilling[Stmt Match],1)</f>
        <v/>
      </c>
    </row>
    <row r="53">
      <c r="A53" s="73">
        <f>IF($Z53&lt;&gt;"",IF(INDEX(tblBilling[Month Name],$Z53)="","",INDEX(tblBilling[Month Name],$Z53)),CHOOSE(MIN(MAX($AA53,0),5)+1,"","TOTAL","","Total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3" s="74">
        <f>IF($Z53&lt;&gt;"",IF(INDEX(tblBilling[Monthly Fee],$Z53)="","",INDEX(tblBilling[Monthly Fee],$Z53)),IF($AA53=1,SUMIFS(tblBilling[Monthly Fee],tblBilling[Stmt Match],1),""))</f>
        <v/>
      </c>
      <c r="C53" s="74">
        <f>IF($Z53&lt;&gt;"",IF(INDEX(tblBilling[Amount Paid],$Z53)="","",INDEX(tblBilling[Amount Paid],$Z53)),IF($AA53=1,SUMIFS(tblBilling[Amount Paid],tblBilling[Stmt Match],1),""))</f>
        <v/>
      </c>
      <c r="D53" s="75">
        <f>IF($Z53&lt;&gt;"",IF(INDEX(tblBilling[Last Payment Date],$Z53)="","",INDEX(tblBilling[Last Payment Date],$Z53)),"")</f>
        <v/>
      </c>
      <c r="E53" s="74">
        <f>IF($Z53&lt;&gt;"",IF(INDEX(tblBilling[Balance],$Z53)="","",INDEX(tblBilling[Balance],$Z53)),IF($AA53=1,SUMIFS(tblBilling[Balance],tblBilling[Stmt Match],1),""))</f>
        <v/>
      </c>
      <c r="F53" s="73">
        <f>IF($Z53&lt;&gt;"",IF(INDEX(tblBilling[Payment Status],$Z53)="","",INDEX(tblBilling[Payment Status],$Z53)),"")</f>
        <v/>
      </c>
      <c r="G53" s="76">
        <f>IF($Z53&lt;&gt;"",IF(INDEX(tblBilling[Payments Count],$Z53)="","",INDEX(tblBilling[Payments Count],$Z53)),"")</f>
        <v/>
      </c>
      <c r="H53" s="73">
        <f>IF($Z53&lt;&gt;"",IF(INDEX(tblBilling[Remarks],$Z53)="","",INDEX(tblBilling[Remarks],$Z53)),"")</f>
        <v/>
      </c>
      <c r="Z53">
        <f>IF(Z52="","",IFERROR(Z52+MATCH(1,INDEX(tblBilling[Stmt Match],Z52+1):INDEX(tblBilling[Stmt Match],ROWS(tblBilling[Stmt Match])),0),""))</f>
        <v/>
      </c>
      <c r="AA53">
        <f>ROW()-14-COUNTIF(tblBilling[Stmt Match],1)</f>
        <v/>
      </c>
    </row>
    <row r="54">
      <c r="A54" s="73">
        <f>IF($Z54&lt;&gt;"",IF(INDEX(tblBilling[Month Name],$Z54)="","",INDEX(tblBilling[Month Name],$Z54)),CHOOSE(MIN(MAX($AA54,0),5)+1,"","TOTAL","","Total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4" s="74">
        <f>IF($Z54&lt;&gt;"",IF(INDEX(tblBilling[Monthly Fee],$Z54)="","",INDEX(tblBilling[Monthly Fee],$Z54)),IF($AA54=1,SUMIFS(tblBilling[Monthly Fee],tblBilling[Stmt Match],1),""))</f>
        <v/>
      </c>
      <c r="C54" s="74">
        <f>IF($Z54&lt;&gt;"",IF(INDEX(tblBilling[Amount Paid],$Z54)="","",INDEX(tblBilling[Amount Paid],$Z54)),IF($AA54=1,SUMIFS(tblBilling[Amount Paid],tblBilling[Stmt Match],1),""))</f>
        <v/>
      </c>
      <c r="D54" s="75">
        <f>IF($Z54&lt;&gt;"",IF(INDEX(tblBilling[Last Payment Date],$Z54)="","",INDEX(tblBilling[Last Payment Date],$Z54)),"")</f>
        <v/>
      </c>
      <c r="E54" s="74">
        <f>IF($Z54&lt;&gt;"",IF(INDEX(tblBilling[Balance],$Z54)="","",INDEX(tblBilling[Balance],$Z54)),IF($AA54=1,SUMIFS(tblBilling[Balance],tblBilling[Stmt Match],1),""))</f>
        <v/>
      </c>
      <c r="F54" s="73">
        <f>IF($Z54&lt;&gt;"",IF(INDEX(tblBilling[Payment Status],$Z54)="","",INDEX(tblBilling[Payment Status],$Z54)),"")</f>
        <v/>
      </c>
      <c r="G54" s="76">
        <f>IF($Z54&lt;&gt;"",IF(INDEX(tblBilling[Payments Count],$Z54)="","",INDEX(tblBilling[Payments Count],$Z54)),"")</f>
        <v/>
      </c>
      <c r="H54" s="73">
        <f>IF($Z54&lt;&gt;"",IF(INDEX(tblBilling[Remarks],$Z54)="","",INDEX(tblBilling[Remarks],$Z54)),"")</f>
        <v/>
      </c>
      <c r="Z54">
        <f>IF(Z53="","",IFERROR(Z53+MATCH(1,INDEX(tblBilling[Stmt Match],Z53+1):INDEX(tblBilling[Stmt Match],ROWS(tblBilling[Stmt Match])),0),""))</f>
        <v/>
      </c>
      <c r="AA54">
        <f>ROW()-14-COUNTIF(tblBilling[Stmt Match],1)</f>
        <v/>
      </c>
    </row>
    <row r="55">
      <c r="A55" s="73">
        <f>IF($Z55&lt;&gt;"",IF(INDEX(tblBilling[Month Name],$Z55)="","",INDEX(tblBilling[Month Name],$Z55)),CHOOSE(MIN(MAX($AA55,0),5)+1,"","TOTAL","","Total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5" s="74">
        <f>IF($Z55&lt;&gt;"",IF(INDEX(tblBilling[Monthly Fee],$Z55)="","",INDEX(tblBilling[Monthly Fee],$Z55)),IF($AA55=1,SUMIFS(tblBilling[Monthly Fee],tblBilling[Stmt Match],1),""))</f>
        <v/>
      </c>
      <c r="C55" s="74">
        <f>IF($Z55&lt;&gt;"",IF(INDEX(tblBilling[Amount Paid],$Z55)="","",INDEX(tblBilling[Amount Paid],$Z55)),IF($AA55=1,SUMIFS(tblBilling[Amount Paid],tblBilling[Stmt Match],1),""))</f>
        <v/>
      </c>
      <c r="D55" s="75">
        <f>IF($Z55&lt;&gt;"",IF(INDEX(tblBilling[Last Payment Date],$Z55)="","",INDEX(tblBilling[Last Payment Date],$Z55)),"")</f>
        <v/>
      </c>
      <c r="E55" s="74">
        <f>IF($Z55&lt;&gt;"",IF(INDEX(tblBilling[Balance],$Z55)="","",INDEX(tblBilling[Balance],$Z55)),IF($AA55=1,SUMIFS(tblBilling[Balance],tblBilling[Stmt Match],1),""))</f>
        <v/>
      </c>
      <c r="F55" s="73">
        <f>IF($Z55&lt;&gt;"",IF(INDEX(tblBilling[Payment Status],$Z55)="","",INDEX(tblBilling[Payment Status],$Z55)),"")</f>
        <v/>
      </c>
      <c r="G55" s="76">
        <f>IF($Z55&lt;&gt;"",IF(INDEX(tblBilling[Payments Count],$Z55)="","",INDEX(tblBilling[Payments Count],$Z55)),"")</f>
        <v/>
      </c>
      <c r="H55" s="73">
        <f>IF($Z55&lt;&gt;"",IF(INDEX(tblBilling[Remarks],$Z55)="","",INDEX(tblBilling[Remarks],$Z55)),"")</f>
        <v/>
      </c>
      <c r="Z55">
        <f>IF(Z54="","",IFERROR(Z54+MATCH(1,INDEX(tblBilling[Stmt Match],Z54+1):INDEX(tblBilling[Stmt Match],ROWS(tblBilling[Stmt Match])),0),""))</f>
        <v/>
      </c>
      <c r="AA55">
        <f>ROW()-14-COUNTIF(tblBilling[Stmt Match],1)</f>
        <v/>
      </c>
    </row>
    <row r="56">
      <c r="A56" s="73">
        <f>IF($Z56&lt;&gt;"",IF(INDEX(tblBilling[Month Name],$Z56)="","",INDEX(tblBilling[Month Name],$Z56)),CHOOSE(MIN(MAX($AA56,0),5)+1,"","TOTAL","","Total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6" s="74">
        <f>IF($Z56&lt;&gt;"",IF(INDEX(tblBilling[Monthly Fee],$Z56)="","",INDEX(tblBilling[Monthly Fee],$Z56)),IF($AA56=1,SUMIFS(tblBilling[Monthly Fee],tblBilling[Stmt Match],1),""))</f>
        <v/>
      </c>
      <c r="C56" s="74">
        <f>IF($Z56&lt;&gt;"",IF(INDEX(tblBilling[Amount Paid],$Z56)="","",INDEX(tblBilling[Amount Paid],$Z56)),IF($AA56=1,SUMIFS(tblBilling[Amount Paid],tblBilling[Stmt Match],1),""))</f>
        <v/>
      </c>
      <c r="D56" s="75">
        <f>IF($Z56&lt;&gt;"",IF(INDEX(tblBilling[Last Payment Date],$Z56)="","",INDEX(tblBilling[Last Payment Date],$Z56)),"")</f>
        <v/>
      </c>
      <c r="E56" s="74">
        <f>IF($Z56&lt;&gt;"",IF(INDEX(tblBilling[Balance],$Z56)="","",INDEX(tblBilling[Balance],$Z56)),IF($AA56=1,SUMIFS(tblBilling[Balance],tblBilling[Stmt Match],1),""))</f>
        <v/>
      </c>
      <c r="F56" s="73">
        <f>IF($Z56&lt;&gt;"",IF(INDEX(tblBilling[Payment Status],$Z56)="","",INDEX(tblBilling[Payment Status],$Z56)),"")</f>
        <v/>
      </c>
      <c r="G56" s="76">
        <f>IF($Z56&lt;&gt;"",IF(INDEX(tblBilling[Payments Count],$Z56)="","",INDEX(tblBilling[Payments Count],$Z56)),"")</f>
        <v/>
      </c>
      <c r="H56" s="73">
        <f>IF($Z56&lt;&gt;"",IF(INDEX(tblBilling[Remarks],$Z56)="","",INDEX(tblBilling[Remarks],$Z56)),"")</f>
        <v/>
      </c>
      <c r="Z56">
        <f>IF(Z55="","",IFERROR(Z55+MATCH(1,INDEX(tblBilling[Stmt Match],Z55+1):INDEX(tblBilling[Stmt Match],ROWS(tblBilling[Stmt Match])),0),""))</f>
        <v/>
      </c>
      <c r="AA56">
        <f>ROW()-14-COUNTIF(tblBilling[Stmt Match],1)</f>
        <v/>
      </c>
    </row>
    <row r="57">
      <c r="A57" s="73">
        <f>IF($Z57&lt;&gt;"",IF(INDEX(tblBilling[Month Name],$Z57)="","",INDEX(tblBilling[Month Name],$Z57)),CHOOSE(MIN(MAX($AA57,0),5)+1,"","TOTAL","","Total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7" s="74">
        <f>IF($Z57&lt;&gt;"",IF(INDEX(tblBilling[Monthly Fee],$Z57)="","",INDEX(tblBilling[Monthly Fee],$Z57)),IF($AA57=1,SUMIFS(tblBilling[Monthly Fee],tblBilling[Stmt Match],1),""))</f>
        <v/>
      </c>
      <c r="C57" s="74">
        <f>IF($Z57&lt;&gt;"",IF(INDEX(tblBilling[Amount Paid],$Z57)="","",INDEX(tblBilling[Amount Paid],$Z57)),IF($AA57=1,SUMIFS(tblBilling[Amount Paid],tblBilling[Stmt Match],1),""))</f>
        <v/>
      </c>
      <c r="D57" s="75">
        <f>IF($Z57&lt;&gt;"",IF(INDEX(tblBilling[Last Payment Date],$Z57)="","",INDEX(tblBilling[Last Payment Date],$Z57)),"")</f>
        <v/>
      </c>
      <c r="E57" s="74">
        <f>IF($Z57&lt;&gt;"",IF(INDEX(tblBilling[Balance],$Z57)="","",INDEX(tblBilling[Balance],$Z57)),IF($AA57=1,SUMIFS(tblBilling[Balance],tblBilling[Stmt Match],1),""))</f>
        <v/>
      </c>
      <c r="F57" s="73">
        <f>IF($Z57&lt;&gt;"",IF(INDEX(tblBilling[Payment Status],$Z57)="","",INDEX(tblBilling[Payment Status],$Z57)),"")</f>
        <v/>
      </c>
      <c r="G57" s="76">
        <f>IF($Z57&lt;&gt;"",IF(INDEX(tblBilling[Payments Count],$Z57)="","",INDEX(tblBilling[Payments Count],$Z57)),"")</f>
        <v/>
      </c>
      <c r="H57" s="73">
        <f>IF($Z57&lt;&gt;"",IF(INDEX(tblBilling[Remarks],$Z57)="","",INDEX(tblBilling[Remarks],$Z57)),"")</f>
        <v/>
      </c>
      <c r="Z57">
        <f>IF(Z56="","",IFERROR(Z56+MATCH(1,INDEX(tblBilling[Stmt Match],Z56+1):INDEX(tblBilling[Stmt Match],ROWS(tblBilling[Stmt Match])),0),""))</f>
        <v/>
      </c>
      <c r="AA57">
        <f>ROW()-14-COUNTIF(tblBilling[Stmt Match],1)</f>
        <v/>
      </c>
    </row>
    <row r="58">
      <c r="A58" s="73">
        <f>IF($Z58&lt;&gt;"",IF(INDEX(tblBilling[Month Name],$Z58)="","",INDEX(tblBilling[Month Name],$Z58)),CHOOSE(MIN(MAX($AA58,0),5)+1,"","TOTAL","","Total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8" s="74">
        <f>IF($Z58&lt;&gt;"",IF(INDEX(tblBilling[Monthly Fee],$Z58)="","",INDEX(tblBilling[Monthly Fee],$Z58)),IF($AA58=1,SUMIFS(tblBilling[Monthly Fee],tblBilling[Stmt Match],1),""))</f>
        <v/>
      </c>
      <c r="C58" s="74">
        <f>IF($Z58&lt;&gt;"",IF(INDEX(tblBilling[Amount Paid],$Z58)="","",INDEX(tblBilling[Amount Paid],$Z58)),IF($AA58=1,SUMIFS(tblBilling[Amount Paid],tblBilling[Stmt Match],1),""))</f>
        <v/>
      </c>
      <c r="D58" s="75">
        <f>IF($Z58&lt;&gt;"",IF(INDEX(tblBilling[Last Payment Date],$Z58)="","",INDEX(tblBilling[Last Payment Date],$Z58)),"")</f>
        <v/>
      </c>
      <c r="E58" s="74">
        <f>IF($Z58&lt;&gt;"",IF(INDEX(tblBilling[Balance],$Z58)="","",INDEX(tblBilling[Balance],$Z58)),IF($AA58=1,SUMIFS(tblBilling[Balance],tblBilling[Stmt Match],1),""))</f>
        <v/>
      </c>
      <c r="F58" s="73">
        <f>IF($Z58&lt;&gt;"",IF(INDEX(tblBilling[Payment Status],$Z58)="","",INDEX(tblBilling[Payment Status],$Z58)),"")</f>
        <v/>
      </c>
      <c r="G58" s="76">
        <f>IF($Z58&lt;&gt;"",IF(INDEX(tblBilling[Payments Count],$Z58)="","",INDEX(tblBilling[Payments Count],$Z58)),"")</f>
        <v/>
      </c>
      <c r="H58" s="73">
        <f>IF($Z58&lt;&gt;"",IF(INDEX(tblBilling[Remarks],$Z58)="","",INDEX(tblBilling[Remarks],$Z58)),"")</f>
        <v/>
      </c>
      <c r="Z58">
        <f>IF(Z57="","",IFERROR(Z57+MATCH(1,INDEX(tblBilling[Stmt Match],Z57+1):INDEX(tblBilling[Stmt Match],ROWS(tblBilling[Stmt Match])),0),""))</f>
        <v/>
      </c>
      <c r="AA58">
        <f>ROW()-14-COUNTIF(tblBilling[Stmt Match],1)</f>
        <v/>
      </c>
    </row>
    <row r="59">
      <c r="A59" s="73">
        <f>IF($Z59&lt;&gt;"",IF(INDEX(tblBilling[Month Name],$Z59)="","",INDEX(tblBilling[Month Name],$Z59)),CHOOSE(MIN(MAX($AA59,0),5)+1,"","TOTAL","","Total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59" s="74">
        <f>IF($Z59&lt;&gt;"",IF(INDEX(tblBilling[Monthly Fee],$Z59)="","",INDEX(tblBilling[Monthly Fee],$Z59)),IF($AA59=1,SUMIFS(tblBilling[Monthly Fee],tblBilling[Stmt Match],1),""))</f>
        <v/>
      </c>
      <c r="C59" s="74">
        <f>IF($Z59&lt;&gt;"",IF(INDEX(tblBilling[Amount Paid],$Z59)="","",INDEX(tblBilling[Amount Paid],$Z59)),IF($AA59=1,SUMIFS(tblBilling[Amount Paid],tblBilling[Stmt Match],1),""))</f>
        <v/>
      </c>
      <c r="D59" s="75">
        <f>IF($Z59&lt;&gt;"",IF(INDEX(tblBilling[Last Payment Date],$Z59)="","",INDEX(tblBilling[Last Payment Date],$Z59)),"")</f>
        <v/>
      </c>
      <c r="E59" s="74">
        <f>IF($Z59&lt;&gt;"",IF(INDEX(tblBilling[Balance],$Z59)="","",INDEX(tblBilling[Balance],$Z59)),IF($AA59=1,SUMIFS(tblBilling[Balance],tblBilling[Stmt Match],1),""))</f>
        <v/>
      </c>
      <c r="F59" s="73">
        <f>IF($Z59&lt;&gt;"",IF(INDEX(tblBilling[Payment Status],$Z59)="","",INDEX(tblBilling[Payment Status],$Z59)),"")</f>
        <v/>
      </c>
      <c r="G59" s="76">
        <f>IF($Z59&lt;&gt;"",IF(INDEX(tblBilling[Payments Count],$Z59)="","",INDEX(tblBilling[Payments Count],$Z59)),"")</f>
        <v/>
      </c>
      <c r="H59" s="73">
        <f>IF($Z59&lt;&gt;"",IF(INDEX(tblBilling[Remarks],$Z59)="","",INDEX(tblBilling[Remarks],$Z59)),"")</f>
        <v/>
      </c>
      <c r="Z59">
        <f>IF(Z58="","",IFERROR(Z58+MATCH(1,INDEX(tblBilling[Stmt Match],Z58+1):INDEX(tblBilling[Stmt Match],ROWS(tblBilling[Stmt Match])),0),""))</f>
        <v/>
      </c>
      <c r="AA59">
        <f>ROW()-14-COUNTIF(tblBilling[Stmt Match],1)</f>
        <v/>
      </c>
    </row>
    <row r="60">
      <c r="A60" s="73">
        <f>IF($Z60&lt;&gt;"",IF(INDEX(tblBilling[Month Name],$Z60)="","",INDEX(tblBilling[Month Name],$Z60)),CHOOSE(MIN(MAX($AA60,0),5)+1,"","TOTAL","","Total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0" s="74">
        <f>IF($Z60&lt;&gt;"",IF(INDEX(tblBilling[Monthly Fee],$Z60)="","",INDEX(tblBilling[Monthly Fee],$Z60)),IF($AA60=1,SUMIFS(tblBilling[Monthly Fee],tblBilling[Stmt Match],1),""))</f>
        <v/>
      </c>
      <c r="C60" s="74">
        <f>IF($Z60&lt;&gt;"",IF(INDEX(tblBilling[Amount Paid],$Z60)="","",INDEX(tblBilling[Amount Paid],$Z60)),IF($AA60=1,SUMIFS(tblBilling[Amount Paid],tblBilling[Stmt Match],1),""))</f>
        <v/>
      </c>
      <c r="D60" s="75">
        <f>IF($Z60&lt;&gt;"",IF(INDEX(tblBilling[Last Payment Date],$Z60)="","",INDEX(tblBilling[Last Payment Date],$Z60)),"")</f>
        <v/>
      </c>
      <c r="E60" s="74">
        <f>IF($Z60&lt;&gt;"",IF(INDEX(tblBilling[Balance],$Z60)="","",INDEX(tblBilling[Balance],$Z60)),IF($AA60=1,SUMIFS(tblBilling[Balance],tblBilling[Stmt Match],1),""))</f>
        <v/>
      </c>
      <c r="F60" s="73">
        <f>IF($Z60&lt;&gt;"",IF(INDEX(tblBilling[Payment Status],$Z60)="","",INDEX(tblBilling[Payment Status],$Z60)),"")</f>
        <v/>
      </c>
      <c r="G60" s="76">
        <f>IF($Z60&lt;&gt;"",IF(INDEX(tblBilling[Payments Count],$Z60)="","",INDEX(tblBilling[Payments Count],$Z60)),"")</f>
        <v/>
      </c>
      <c r="H60" s="73">
        <f>IF($Z60&lt;&gt;"",IF(INDEX(tblBilling[Remarks],$Z60)="","",INDEX(tblBilling[Remarks],$Z60)),"")</f>
        <v/>
      </c>
      <c r="Z60">
        <f>IF(Z59="","",IFERROR(Z59+MATCH(1,INDEX(tblBilling[Stmt Match],Z59+1):INDEX(tblBilling[Stmt Match],ROWS(tblBilling[Stmt Match])),0),""))</f>
        <v/>
      </c>
      <c r="AA60">
        <f>ROW()-14-COUNTIF(tblBilling[Stmt Match],1)</f>
        <v/>
      </c>
    </row>
    <row r="61">
      <c r="A61" s="73">
        <f>IF($Z61&lt;&gt;"",IF(INDEX(tblBilling[Month Name],$Z61)="","",INDEX(tblBilling[Month Name],$Z61)),CHOOSE(MIN(MAX($AA61,0),5)+1,"","TOTAL","","Total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1" s="74">
        <f>IF($Z61&lt;&gt;"",IF(INDEX(tblBilling[Monthly Fee],$Z61)="","",INDEX(tblBilling[Monthly Fee],$Z61)),IF($AA61=1,SUMIFS(tblBilling[Monthly Fee],tblBilling[Stmt Match],1),""))</f>
        <v/>
      </c>
      <c r="C61" s="74">
        <f>IF($Z61&lt;&gt;"",IF(INDEX(tblBilling[Amount Paid],$Z61)="","",INDEX(tblBilling[Amount Paid],$Z61)),IF($AA61=1,SUMIFS(tblBilling[Amount Paid],tblBilling[Stmt Match],1),""))</f>
        <v/>
      </c>
      <c r="D61" s="75">
        <f>IF($Z61&lt;&gt;"",IF(INDEX(tblBilling[Last Payment Date],$Z61)="","",INDEX(tblBilling[Last Payment Date],$Z61)),"")</f>
        <v/>
      </c>
      <c r="E61" s="74">
        <f>IF($Z61&lt;&gt;"",IF(INDEX(tblBilling[Balance],$Z61)="","",INDEX(tblBilling[Balance],$Z61)),IF($AA61=1,SUMIFS(tblBilling[Balance],tblBilling[Stmt Match],1),""))</f>
        <v/>
      </c>
      <c r="F61" s="73">
        <f>IF($Z61&lt;&gt;"",IF(INDEX(tblBilling[Payment Status],$Z61)="","",INDEX(tblBilling[Payment Status],$Z61)),"")</f>
        <v/>
      </c>
      <c r="G61" s="76">
        <f>IF($Z61&lt;&gt;"",IF(INDEX(tblBilling[Payments Count],$Z61)="","",INDEX(tblBilling[Payments Count],$Z61)),"")</f>
        <v/>
      </c>
      <c r="H61" s="73">
        <f>IF($Z61&lt;&gt;"",IF(INDEX(tblBilling[Remarks],$Z61)="","",INDEX(tblBilling[Remarks],$Z61)),"")</f>
        <v/>
      </c>
      <c r="Z61">
        <f>IF(Z60="","",IFERROR(Z60+MATCH(1,INDEX(tblBilling[Stmt Match],Z60+1):INDEX(tblBilling[Stmt Match],ROWS(tblBilling[Stmt Match])),0),""))</f>
        <v/>
      </c>
      <c r="AA61">
        <f>ROW()-14-COUNTIF(tblBilling[Stmt Match],1)</f>
        <v/>
      </c>
    </row>
    <row r="62">
      <c r="A62" s="73">
        <f>IF($Z62&lt;&gt;"",IF(INDEX(tblBilling[Month Name],$Z62)="","",INDEX(tblBilling[Month Name],$Z62)),CHOOSE(MIN(MAX($AA62,0),5)+1,"","TOTAL","","Total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2" s="74">
        <f>IF($Z62&lt;&gt;"",IF(INDEX(tblBilling[Monthly Fee],$Z62)="","",INDEX(tblBilling[Monthly Fee],$Z62)),IF($AA62=1,SUMIFS(tblBilling[Monthly Fee],tblBilling[Stmt Match],1),""))</f>
        <v/>
      </c>
      <c r="C62" s="74">
        <f>IF($Z62&lt;&gt;"",IF(INDEX(tblBilling[Amount Paid],$Z62)="","",INDEX(tblBilling[Amount Paid],$Z62)),IF($AA62=1,SUMIFS(tblBilling[Amount Paid],tblBilling[Stmt Match],1),""))</f>
        <v/>
      </c>
      <c r="D62" s="75">
        <f>IF($Z62&lt;&gt;"",IF(INDEX(tblBilling[Last Payment Date],$Z62)="","",INDEX(tblBilling[Last Payment Date],$Z62)),"")</f>
        <v/>
      </c>
      <c r="E62" s="74">
        <f>IF($Z62&lt;&gt;"",IF(INDEX(tblBilling[Balance],$Z62)="","",INDEX(tblBilling[Balance],$Z62)),IF($AA62=1,SUMIFS(tblBilling[Balance],tblBilling[Stmt Match],1),""))</f>
        <v/>
      </c>
      <c r="F62" s="73">
        <f>IF($Z62&lt;&gt;"",IF(INDEX(tblBilling[Payment Status],$Z62)="","",INDEX(tblBilling[Payment Status],$Z62)),"")</f>
        <v/>
      </c>
      <c r="G62" s="76">
        <f>IF($Z62&lt;&gt;"",IF(INDEX(tblBilling[Payments Count],$Z62)="","",INDEX(tblBilling[Payments Count],$Z62)),"")</f>
        <v/>
      </c>
      <c r="H62" s="73">
        <f>IF($Z62&lt;&gt;"",IF(INDEX(tblBilling[Remarks],$Z62)="","",INDEX(tblBilling[Remarks],$Z62)),"")</f>
        <v/>
      </c>
      <c r="Z62">
        <f>IF(Z61="","",IFERROR(Z61+MATCH(1,INDEX(tblBilling[Stmt Match],Z61+1):INDEX(tblBilling[Stmt Match],ROWS(tblBilling[Stmt Match])),0),""))</f>
        <v/>
      </c>
      <c r="AA62">
        <f>ROW()-14-COUNTIF(tblBilling[Stmt Match],1)</f>
        <v/>
      </c>
    </row>
    <row r="63">
      <c r="A63" s="73">
        <f>IF($Z63&lt;&gt;"",IF(INDEX(tblBilling[Month Name],$Z63)="","",INDEX(tblBilling[Month Name],$Z63)),CHOOSE(MIN(MAX($AA63,0),5)+1,"","TOTAL","","Total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3" s="74">
        <f>IF($Z63&lt;&gt;"",IF(INDEX(tblBilling[Monthly Fee],$Z63)="","",INDEX(tblBilling[Monthly Fee],$Z63)),IF($AA63=1,SUMIFS(tblBilling[Monthly Fee],tblBilling[Stmt Match],1),""))</f>
        <v/>
      </c>
      <c r="C63" s="74">
        <f>IF($Z63&lt;&gt;"",IF(INDEX(tblBilling[Amount Paid],$Z63)="","",INDEX(tblBilling[Amount Paid],$Z63)),IF($AA63=1,SUMIFS(tblBilling[Amount Paid],tblBilling[Stmt Match],1),""))</f>
        <v/>
      </c>
      <c r="D63" s="75">
        <f>IF($Z63&lt;&gt;"",IF(INDEX(tblBilling[Last Payment Date],$Z63)="","",INDEX(tblBilling[Last Payment Date],$Z63)),"")</f>
        <v/>
      </c>
      <c r="E63" s="74">
        <f>IF($Z63&lt;&gt;"",IF(INDEX(tblBilling[Balance],$Z63)="","",INDEX(tblBilling[Balance],$Z63)),IF($AA63=1,SUMIFS(tblBilling[Balance],tblBilling[Stmt Match],1),""))</f>
        <v/>
      </c>
      <c r="F63" s="73">
        <f>IF($Z63&lt;&gt;"",IF(INDEX(tblBilling[Payment Status],$Z63)="","",INDEX(tblBilling[Payment Status],$Z63)),"")</f>
        <v/>
      </c>
      <c r="G63" s="76">
        <f>IF($Z63&lt;&gt;"",IF(INDEX(tblBilling[Payments Count],$Z63)="","",INDEX(tblBilling[Payments Count],$Z63)),"")</f>
        <v/>
      </c>
      <c r="H63" s="73">
        <f>IF($Z63&lt;&gt;"",IF(INDEX(tblBilling[Remarks],$Z63)="","",INDEX(tblBilling[Remarks],$Z63)),"")</f>
        <v/>
      </c>
      <c r="Z63">
        <f>IF(Z62="","",IFERROR(Z62+MATCH(1,INDEX(tblBilling[Stmt Match],Z62+1):INDEX(tblBilling[Stmt Match],ROWS(tblBilling[Stmt Match])),0),""))</f>
        <v/>
      </c>
      <c r="AA63">
        <f>ROW()-14-COUNTIF(tblBilling[Stmt Match],1)</f>
        <v/>
      </c>
    </row>
    <row r="64">
      <c r="A64" s="73">
        <f>IF($Z64&lt;&gt;"",IF(INDEX(tblBilling[Month Name],$Z64)="","",INDEX(tblBilling[Month Name],$Z64)),CHOOSE(MIN(MAX($AA64,0),5)+1,"","TOTAL","","Total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4" s="74">
        <f>IF($Z64&lt;&gt;"",IF(INDEX(tblBilling[Monthly Fee],$Z64)="","",INDEX(tblBilling[Monthly Fee],$Z64)),IF($AA64=1,SUMIFS(tblBilling[Monthly Fee],tblBilling[Stmt Match],1),""))</f>
        <v/>
      </c>
      <c r="C64" s="74">
        <f>IF($Z64&lt;&gt;"",IF(INDEX(tblBilling[Amount Paid],$Z64)="","",INDEX(tblBilling[Amount Paid],$Z64)),IF($AA64=1,SUMIFS(tblBilling[Amount Paid],tblBilling[Stmt Match],1),""))</f>
        <v/>
      </c>
      <c r="D64" s="75">
        <f>IF($Z64&lt;&gt;"",IF(INDEX(tblBilling[Last Payment Date],$Z64)="","",INDEX(tblBilling[Last Payment Date],$Z64)),"")</f>
        <v/>
      </c>
      <c r="E64" s="74">
        <f>IF($Z64&lt;&gt;"",IF(INDEX(tblBilling[Balance],$Z64)="","",INDEX(tblBilling[Balance],$Z64)),IF($AA64=1,SUMIFS(tblBilling[Balance],tblBilling[Stmt Match],1),""))</f>
        <v/>
      </c>
      <c r="F64" s="73">
        <f>IF($Z64&lt;&gt;"",IF(INDEX(tblBilling[Payment Status],$Z64)="","",INDEX(tblBilling[Payment Status],$Z64)),"")</f>
        <v/>
      </c>
      <c r="G64" s="76">
        <f>IF($Z64&lt;&gt;"",IF(INDEX(tblBilling[Payments Count],$Z64)="","",INDEX(tblBilling[Payments Count],$Z64)),"")</f>
        <v/>
      </c>
      <c r="H64" s="73">
        <f>IF($Z64&lt;&gt;"",IF(INDEX(tblBilling[Remarks],$Z64)="","",INDEX(tblBilling[Remarks],$Z64)),"")</f>
        <v/>
      </c>
      <c r="Z64">
        <f>IF(Z63="","",IFERROR(Z63+MATCH(1,INDEX(tblBilling[Stmt Match],Z63+1):INDEX(tblBilling[Stmt Match],ROWS(tblBilling[Stmt Match])),0),""))</f>
        <v/>
      </c>
      <c r="AA64">
        <f>ROW()-14-COUNTIF(tblBilling[Stmt Match],1)</f>
        <v/>
      </c>
    </row>
    <row r="65">
      <c r="A65" s="73">
        <f>IF($Z65&lt;&gt;"",IF(INDEX(tblBilling[Month Name],$Z65)="","",INDEX(tblBilling[Month Name],$Z65)),CHOOSE(MIN(MAX($AA65,0),5)+1,"","TOTAL","","Total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5" s="74">
        <f>IF($Z65&lt;&gt;"",IF(INDEX(tblBilling[Monthly Fee],$Z65)="","",INDEX(tblBilling[Monthly Fee],$Z65)),IF($AA65=1,SUMIFS(tblBilling[Monthly Fee],tblBilling[Stmt Match],1),""))</f>
        <v/>
      </c>
      <c r="C65" s="74">
        <f>IF($Z65&lt;&gt;"",IF(INDEX(tblBilling[Amount Paid],$Z65)="","",INDEX(tblBilling[Amount Paid],$Z65)),IF($AA65=1,SUMIFS(tblBilling[Amount Paid],tblBilling[Stmt Match],1),""))</f>
        <v/>
      </c>
      <c r="D65" s="75">
        <f>IF($Z65&lt;&gt;"",IF(INDEX(tblBilling[Last Payment Date],$Z65)="","",INDEX(tblBilling[Last Payment Date],$Z65)),"")</f>
        <v/>
      </c>
      <c r="E65" s="74">
        <f>IF($Z65&lt;&gt;"",IF(INDEX(tblBilling[Balance],$Z65)="","",INDEX(tblBilling[Balance],$Z65)),IF($AA65=1,SUMIFS(tblBilling[Balance],tblBilling[Stmt Match],1),""))</f>
        <v/>
      </c>
      <c r="F65" s="73">
        <f>IF($Z65&lt;&gt;"",IF(INDEX(tblBilling[Payment Status],$Z65)="","",INDEX(tblBilling[Payment Status],$Z65)),"")</f>
        <v/>
      </c>
      <c r="G65" s="76">
        <f>IF($Z65&lt;&gt;"",IF(INDEX(tblBilling[Payments Count],$Z65)="","",INDEX(tblBilling[Payments Count],$Z65)),"")</f>
        <v/>
      </c>
      <c r="H65" s="73">
        <f>IF($Z65&lt;&gt;"",IF(INDEX(tblBilling[Remarks],$Z65)="","",INDEX(tblBilling[Remarks],$Z65)),"")</f>
        <v/>
      </c>
      <c r="Z65">
        <f>IF(Z64="","",IFERROR(Z64+MATCH(1,INDEX(tblBilling[Stmt Match],Z64+1):INDEX(tblBilling[Stmt Match],ROWS(tblBilling[Stmt Match])),0),""))</f>
        <v/>
      </c>
      <c r="AA65">
        <f>ROW()-14-COUNTIF(tblBilling[Stmt Match],1)</f>
        <v/>
      </c>
    </row>
    <row r="66">
      <c r="A66" s="73">
        <f>IF($Z66&lt;&gt;"",IF(INDEX(tblBilling[Month Name],$Z66)="","",INDEX(tblBilling[Month Name],$Z66)),CHOOSE(MIN(MAX($AA66,0),5)+1,"","TOTAL","","Total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6" s="74">
        <f>IF($Z66&lt;&gt;"",IF(INDEX(tblBilling[Monthly Fee],$Z66)="","",INDEX(tblBilling[Monthly Fee],$Z66)),IF($AA66=1,SUMIFS(tblBilling[Monthly Fee],tblBilling[Stmt Match],1),""))</f>
        <v/>
      </c>
      <c r="C66" s="74">
        <f>IF($Z66&lt;&gt;"",IF(INDEX(tblBilling[Amount Paid],$Z66)="","",INDEX(tblBilling[Amount Paid],$Z66)),IF($AA66=1,SUMIFS(tblBilling[Amount Paid],tblBilling[Stmt Match],1),""))</f>
        <v/>
      </c>
      <c r="D66" s="75">
        <f>IF($Z66&lt;&gt;"",IF(INDEX(tblBilling[Last Payment Date],$Z66)="","",INDEX(tblBilling[Last Payment Date],$Z66)),"")</f>
        <v/>
      </c>
      <c r="E66" s="74">
        <f>IF($Z66&lt;&gt;"",IF(INDEX(tblBilling[Balance],$Z66)="","",INDEX(tblBilling[Balance],$Z66)),IF($AA66=1,SUMIFS(tblBilling[Balance],tblBilling[Stmt Match],1),""))</f>
        <v/>
      </c>
      <c r="F66" s="73">
        <f>IF($Z66&lt;&gt;"",IF(INDEX(tblBilling[Payment Status],$Z66)="","",INDEX(tblBilling[Payment Status],$Z66)),"")</f>
        <v/>
      </c>
      <c r="G66" s="76">
        <f>IF($Z66&lt;&gt;"",IF(INDEX(tblBilling[Payments Count],$Z66)="","",INDEX(tblBilling[Payments Count],$Z66)),"")</f>
        <v/>
      </c>
      <c r="H66" s="73">
        <f>IF($Z66&lt;&gt;"",IF(INDEX(tblBilling[Remarks],$Z66)="","",INDEX(tblBilling[Remarks],$Z66)),"")</f>
        <v/>
      </c>
      <c r="Z66">
        <f>IF(Z65="","",IFERROR(Z65+MATCH(1,INDEX(tblBilling[Stmt Match],Z65+1):INDEX(tblBilling[Stmt Match],ROWS(tblBilling[Stmt Match])),0),""))</f>
        <v/>
      </c>
      <c r="AA66">
        <f>ROW()-14-COUNTIF(tblBilling[Stmt Match],1)</f>
        <v/>
      </c>
    </row>
    <row r="67">
      <c r="A67" s="73">
        <f>IF($Z67&lt;&gt;"",IF(INDEX(tblBilling[Month Name],$Z67)="","",INDEX(tblBilling[Month Name],$Z67)),CHOOSE(MIN(MAX($AA67,0),5)+1,"","TOTAL","","Total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7" s="74">
        <f>IF($Z67&lt;&gt;"",IF(INDEX(tblBilling[Monthly Fee],$Z67)="","",INDEX(tblBilling[Monthly Fee],$Z67)),IF($AA67=1,SUMIFS(tblBilling[Monthly Fee],tblBilling[Stmt Match],1),""))</f>
        <v/>
      </c>
      <c r="C67" s="74">
        <f>IF($Z67&lt;&gt;"",IF(INDEX(tblBilling[Amount Paid],$Z67)="","",INDEX(tblBilling[Amount Paid],$Z67)),IF($AA67=1,SUMIFS(tblBilling[Amount Paid],tblBilling[Stmt Match],1),""))</f>
        <v/>
      </c>
      <c r="D67" s="75">
        <f>IF($Z67&lt;&gt;"",IF(INDEX(tblBilling[Last Payment Date],$Z67)="","",INDEX(tblBilling[Last Payment Date],$Z67)),"")</f>
        <v/>
      </c>
      <c r="E67" s="74">
        <f>IF($Z67&lt;&gt;"",IF(INDEX(tblBilling[Balance],$Z67)="","",INDEX(tblBilling[Balance],$Z67)),IF($AA67=1,SUMIFS(tblBilling[Balance],tblBilling[Stmt Match],1),""))</f>
        <v/>
      </c>
      <c r="F67" s="73">
        <f>IF($Z67&lt;&gt;"",IF(INDEX(tblBilling[Payment Status],$Z67)="","",INDEX(tblBilling[Payment Status],$Z67)),"")</f>
        <v/>
      </c>
      <c r="G67" s="76">
        <f>IF($Z67&lt;&gt;"",IF(INDEX(tblBilling[Payments Count],$Z67)="","",INDEX(tblBilling[Payments Count],$Z67)),"")</f>
        <v/>
      </c>
      <c r="H67" s="73">
        <f>IF($Z67&lt;&gt;"",IF(INDEX(tblBilling[Remarks],$Z67)="","",INDEX(tblBilling[Remarks],$Z67)),"")</f>
        <v/>
      </c>
      <c r="Z67">
        <f>IF(Z66="","",IFERROR(Z66+MATCH(1,INDEX(tblBilling[Stmt Match],Z66+1):INDEX(tblBilling[Stmt Match],ROWS(tblBilling[Stmt Match])),0),""))</f>
        <v/>
      </c>
      <c r="AA67">
        <f>ROW()-14-COUNTIF(tblBilling[Stmt Match],1)</f>
        <v/>
      </c>
    </row>
    <row r="68">
      <c r="A68" s="73">
        <f>IF($Z68&lt;&gt;"",IF(INDEX(tblBilling[Month Name],$Z68)="","",INDEX(tblBilling[Month Name],$Z68)),CHOOSE(MIN(MAX($AA68,0),5)+1,"","TOTAL","","Total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8" s="74">
        <f>IF($Z68&lt;&gt;"",IF(INDEX(tblBilling[Monthly Fee],$Z68)="","",INDEX(tblBilling[Monthly Fee],$Z68)),IF($AA68=1,SUMIFS(tblBilling[Monthly Fee],tblBilling[Stmt Match],1),""))</f>
        <v/>
      </c>
      <c r="C68" s="74">
        <f>IF($Z68&lt;&gt;"",IF(INDEX(tblBilling[Amount Paid],$Z68)="","",INDEX(tblBilling[Amount Paid],$Z68)),IF($AA68=1,SUMIFS(tblBilling[Amount Paid],tblBilling[Stmt Match],1),""))</f>
        <v/>
      </c>
      <c r="D68" s="75">
        <f>IF($Z68&lt;&gt;"",IF(INDEX(tblBilling[Last Payment Date],$Z68)="","",INDEX(tblBilling[Last Payment Date],$Z68)),"")</f>
        <v/>
      </c>
      <c r="E68" s="74">
        <f>IF($Z68&lt;&gt;"",IF(INDEX(tblBilling[Balance],$Z68)="","",INDEX(tblBilling[Balance],$Z68)),IF($AA68=1,SUMIFS(tblBilling[Balance],tblBilling[Stmt Match],1),""))</f>
        <v/>
      </c>
      <c r="F68" s="73">
        <f>IF($Z68&lt;&gt;"",IF(INDEX(tblBilling[Payment Status],$Z68)="","",INDEX(tblBilling[Payment Status],$Z68)),"")</f>
        <v/>
      </c>
      <c r="G68" s="76">
        <f>IF($Z68&lt;&gt;"",IF(INDEX(tblBilling[Payments Count],$Z68)="","",INDEX(tblBilling[Payments Count],$Z68)),"")</f>
        <v/>
      </c>
      <c r="H68" s="73">
        <f>IF($Z68&lt;&gt;"",IF(INDEX(tblBilling[Remarks],$Z68)="","",INDEX(tblBilling[Remarks],$Z68)),"")</f>
        <v/>
      </c>
      <c r="Z68">
        <f>IF(Z67="","",IFERROR(Z67+MATCH(1,INDEX(tblBilling[Stmt Match],Z67+1):INDEX(tblBilling[Stmt Match],ROWS(tblBilling[Stmt Match])),0),""))</f>
        <v/>
      </c>
      <c r="AA68">
        <f>ROW()-14-COUNTIF(tblBilling[Stmt Match],1)</f>
        <v/>
      </c>
    </row>
    <row r="69">
      <c r="A69" s="73">
        <f>IF($Z69&lt;&gt;"",IF(INDEX(tblBilling[Month Name],$Z69)="","",INDEX(tblBilling[Month Name],$Z69)),CHOOSE(MIN(MAX($AA69,0),5)+1,"","TOTAL","","Total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69" s="74">
        <f>IF($Z69&lt;&gt;"",IF(INDEX(tblBilling[Monthly Fee],$Z69)="","",INDEX(tblBilling[Monthly Fee],$Z69)),IF($AA69=1,SUMIFS(tblBilling[Monthly Fee],tblBilling[Stmt Match],1),""))</f>
        <v/>
      </c>
      <c r="C69" s="74">
        <f>IF($Z69&lt;&gt;"",IF(INDEX(tblBilling[Amount Paid],$Z69)="","",INDEX(tblBilling[Amount Paid],$Z69)),IF($AA69=1,SUMIFS(tblBilling[Amount Paid],tblBilling[Stmt Match],1),""))</f>
        <v/>
      </c>
      <c r="D69" s="75">
        <f>IF($Z69&lt;&gt;"",IF(INDEX(tblBilling[Last Payment Date],$Z69)="","",INDEX(tblBilling[Last Payment Date],$Z69)),"")</f>
        <v/>
      </c>
      <c r="E69" s="74">
        <f>IF($Z69&lt;&gt;"",IF(INDEX(tblBilling[Balance],$Z69)="","",INDEX(tblBilling[Balance],$Z69)),IF($AA69=1,SUMIFS(tblBilling[Balance],tblBilling[Stmt Match],1),""))</f>
        <v/>
      </c>
      <c r="F69" s="73">
        <f>IF($Z69&lt;&gt;"",IF(INDEX(tblBilling[Payment Status],$Z69)="","",INDEX(tblBilling[Payment Status],$Z69)),"")</f>
        <v/>
      </c>
      <c r="G69" s="76">
        <f>IF($Z69&lt;&gt;"",IF(INDEX(tblBilling[Payments Count],$Z69)="","",INDEX(tblBilling[Payments Count],$Z69)),"")</f>
        <v/>
      </c>
      <c r="H69" s="73">
        <f>IF($Z69&lt;&gt;"",IF(INDEX(tblBilling[Remarks],$Z69)="","",INDEX(tblBilling[Remarks],$Z69)),"")</f>
        <v/>
      </c>
      <c r="Z69">
        <f>IF(Z68="","",IFERROR(Z68+MATCH(1,INDEX(tblBilling[Stmt Match],Z68+1):INDEX(tblBilling[Stmt Match],ROWS(tblBilling[Stmt Match])),0),""))</f>
        <v/>
      </c>
      <c r="AA69">
        <f>ROW()-14-COUNTIF(tblBilling[Stmt Match],1)</f>
        <v/>
      </c>
    </row>
    <row r="70">
      <c r="A70" s="73">
        <f>IF($Z70&lt;&gt;"",IF(INDEX(tblBilling[Month Name],$Z70)="","",INDEX(tblBilling[Month Name],$Z70)),CHOOSE(MIN(MAX($AA70,0),5)+1,"","TOTAL","","Total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0" s="74">
        <f>IF($Z70&lt;&gt;"",IF(INDEX(tblBilling[Monthly Fee],$Z70)="","",INDEX(tblBilling[Monthly Fee],$Z70)),IF($AA70=1,SUMIFS(tblBilling[Monthly Fee],tblBilling[Stmt Match],1),""))</f>
        <v/>
      </c>
      <c r="C70" s="74">
        <f>IF($Z70&lt;&gt;"",IF(INDEX(tblBilling[Amount Paid],$Z70)="","",INDEX(tblBilling[Amount Paid],$Z70)),IF($AA70=1,SUMIFS(tblBilling[Amount Paid],tblBilling[Stmt Match],1),""))</f>
        <v/>
      </c>
      <c r="D70" s="75">
        <f>IF($Z70&lt;&gt;"",IF(INDEX(tblBilling[Last Payment Date],$Z70)="","",INDEX(tblBilling[Last Payment Date],$Z70)),"")</f>
        <v/>
      </c>
      <c r="E70" s="74">
        <f>IF($Z70&lt;&gt;"",IF(INDEX(tblBilling[Balance],$Z70)="","",INDEX(tblBilling[Balance],$Z70)),IF($AA70=1,SUMIFS(tblBilling[Balance],tblBilling[Stmt Match],1),""))</f>
        <v/>
      </c>
      <c r="F70" s="73">
        <f>IF($Z70&lt;&gt;"",IF(INDEX(tblBilling[Payment Status],$Z70)="","",INDEX(tblBilling[Payment Status],$Z70)),"")</f>
        <v/>
      </c>
      <c r="G70" s="76">
        <f>IF($Z70&lt;&gt;"",IF(INDEX(tblBilling[Payments Count],$Z70)="","",INDEX(tblBilling[Payments Count],$Z70)),"")</f>
        <v/>
      </c>
      <c r="H70" s="73">
        <f>IF($Z70&lt;&gt;"",IF(INDEX(tblBilling[Remarks],$Z70)="","",INDEX(tblBilling[Remarks],$Z70)),"")</f>
        <v/>
      </c>
      <c r="Z70">
        <f>IF(Z69="","",IFERROR(Z69+MATCH(1,INDEX(tblBilling[Stmt Match],Z69+1):INDEX(tblBilling[Stmt Match],ROWS(tblBilling[Stmt Match])),0),""))</f>
        <v/>
      </c>
      <c r="AA70">
        <f>ROW()-14-COUNTIF(tblBilling[Stmt Match],1)</f>
        <v/>
      </c>
    </row>
    <row r="71">
      <c r="A71" s="73">
        <f>IF($Z71&lt;&gt;"",IF(INDEX(tblBilling[Month Name],$Z71)="","",INDEX(tblBilling[Month Name],$Z71)),CHOOSE(MIN(MAX($AA71,0),5)+1,"","TOTAL","","Total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1" s="74">
        <f>IF($Z71&lt;&gt;"",IF(INDEX(tblBilling[Monthly Fee],$Z71)="","",INDEX(tblBilling[Monthly Fee],$Z71)),IF($AA71=1,SUMIFS(tblBilling[Monthly Fee],tblBilling[Stmt Match],1),""))</f>
        <v/>
      </c>
      <c r="C71" s="74">
        <f>IF($Z71&lt;&gt;"",IF(INDEX(tblBilling[Amount Paid],$Z71)="","",INDEX(tblBilling[Amount Paid],$Z71)),IF($AA71=1,SUMIFS(tblBilling[Amount Paid],tblBilling[Stmt Match],1),""))</f>
        <v/>
      </c>
      <c r="D71" s="75">
        <f>IF($Z71&lt;&gt;"",IF(INDEX(tblBilling[Last Payment Date],$Z71)="","",INDEX(tblBilling[Last Payment Date],$Z71)),"")</f>
        <v/>
      </c>
      <c r="E71" s="74">
        <f>IF($Z71&lt;&gt;"",IF(INDEX(tblBilling[Balance],$Z71)="","",INDEX(tblBilling[Balance],$Z71)),IF($AA71=1,SUMIFS(tblBilling[Balance],tblBilling[Stmt Match],1),""))</f>
        <v/>
      </c>
      <c r="F71" s="73">
        <f>IF($Z71&lt;&gt;"",IF(INDEX(tblBilling[Payment Status],$Z71)="","",INDEX(tblBilling[Payment Status],$Z71)),"")</f>
        <v/>
      </c>
      <c r="G71" s="76">
        <f>IF($Z71&lt;&gt;"",IF(INDEX(tblBilling[Payments Count],$Z71)="","",INDEX(tblBilling[Payments Count],$Z71)),"")</f>
        <v/>
      </c>
      <c r="H71" s="73">
        <f>IF($Z71&lt;&gt;"",IF(INDEX(tblBilling[Remarks],$Z71)="","",INDEX(tblBilling[Remarks],$Z71)),"")</f>
        <v/>
      </c>
      <c r="Z71">
        <f>IF(Z70="","",IFERROR(Z70+MATCH(1,INDEX(tblBilling[Stmt Match],Z70+1):INDEX(tblBilling[Stmt Match],ROWS(tblBilling[Stmt Match])),0),""))</f>
        <v/>
      </c>
      <c r="AA71">
        <f>ROW()-14-COUNTIF(tblBilling[Stmt Match],1)</f>
        <v/>
      </c>
    </row>
    <row r="72">
      <c r="A72" s="73">
        <f>IF($Z72&lt;&gt;"",IF(INDEX(tblBilling[Month Name],$Z72)="","",INDEX(tblBilling[Month Name],$Z72)),CHOOSE(MIN(MAX($AA72,0),5)+1,"","TOTAL","","Total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2" s="74">
        <f>IF($Z72&lt;&gt;"",IF(INDEX(tblBilling[Monthly Fee],$Z72)="","",INDEX(tblBilling[Monthly Fee],$Z72)),IF($AA72=1,SUMIFS(tblBilling[Monthly Fee],tblBilling[Stmt Match],1),""))</f>
        <v/>
      </c>
      <c r="C72" s="74">
        <f>IF($Z72&lt;&gt;"",IF(INDEX(tblBilling[Amount Paid],$Z72)="","",INDEX(tblBilling[Amount Paid],$Z72)),IF($AA72=1,SUMIFS(tblBilling[Amount Paid],tblBilling[Stmt Match],1),""))</f>
        <v/>
      </c>
      <c r="D72" s="75">
        <f>IF($Z72&lt;&gt;"",IF(INDEX(tblBilling[Last Payment Date],$Z72)="","",INDEX(tblBilling[Last Payment Date],$Z72)),"")</f>
        <v/>
      </c>
      <c r="E72" s="74">
        <f>IF($Z72&lt;&gt;"",IF(INDEX(tblBilling[Balance],$Z72)="","",INDEX(tblBilling[Balance],$Z72)),IF($AA72=1,SUMIFS(tblBilling[Balance],tblBilling[Stmt Match],1),""))</f>
        <v/>
      </c>
      <c r="F72" s="73">
        <f>IF($Z72&lt;&gt;"",IF(INDEX(tblBilling[Payment Status],$Z72)="","",INDEX(tblBilling[Payment Status],$Z72)),"")</f>
        <v/>
      </c>
      <c r="G72" s="76">
        <f>IF($Z72&lt;&gt;"",IF(INDEX(tblBilling[Payments Count],$Z72)="","",INDEX(tblBilling[Payments Count],$Z72)),"")</f>
        <v/>
      </c>
      <c r="H72" s="73">
        <f>IF($Z72&lt;&gt;"",IF(INDEX(tblBilling[Remarks],$Z72)="","",INDEX(tblBilling[Remarks],$Z72)),"")</f>
        <v/>
      </c>
      <c r="Z72">
        <f>IF(Z71="","",IFERROR(Z71+MATCH(1,INDEX(tblBilling[Stmt Match],Z71+1):INDEX(tblBilling[Stmt Match],ROWS(tblBilling[Stmt Match])),0),""))</f>
        <v/>
      </c>
      <c r="AA72">
        <f>ROW()-14-COUNTIF(tblBilling[Stmt Match],1)</f>
        <v/>
      </c>
    </row>
    <row r="73">
      <c r="A73" s="73">
        <f>IF($Z73&lt;&gt;"",IF(INDEX(tblBilling[Month Name],$Z73)="","",INDEX(tblBilling[Month Name],$Z73)),CHOOSE(MIN(MAX($AA73,0),5)+1,"","TOTAL","","Total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3" s="74">
        <f>IF($Z73&lt;&gt;"",IF(INDEX(tblBilling[Monthly Fee],$Z73)="","",INDEX(tblBilling[Monthly Fee],$Z73)),IF($AA73=1,SUMIFS(tblBilling[Monthly Fee],tblBilling[Stmt Match],1),""))</f>
        <v/>
      </c>
      <c r="C73" s="74">
        <f>IF($Z73&lt;&gt;"",IF(INDEX(tblBilling[Amount Paid],$Z73)="","",INDEX(tblBilling[Amount Paid],$Z73)),IF($AA73=1,SUMIFS(tblBilling[Amount Paid],tblBilling[Stmt Match],1),""))</f>
        <v/>
      </c>
      <c r="D73" s="75">
        <f>IF($Z73&lt;&gt;"",IF(INDEX(tblBilling[Last Payment Date],$Z73)="","",INDEX(tblBilling[Last Payment Date],$Z73)),"")</f>
        <v/>
      </c>
      <c r="E73" s="74">
        <f>IF($Z73&lt;&gt;"",IF(INDEX(tblBilling[Balance],$Z73)="","",INDEX(tblBilling[Balance],$Z73)),IF($AA73=1,SUMIFS(tblBilling[Balance],tblBilling[Stmt Match],1),""))</f>
        <v/>
      </c>
      <c r="F73" s="73">
        <f>IF($Z73&lt;&gt;"",IF(INDEX(tblBilling[Payment Status],$Z73)="","",INDEX(tblBilling[Payment Status],$Z73)),"")</f>
        <v/>
      </c>
      <c r="G73" s="76">
        <f>IF($Z73&lt;&gt;"",IF(INDEX(tblBilling[Payments Count],$Z73)="","",INDEX(tblBilling[Payments Count],$Z73)),"")</f>
        <v/>
      </c>
      <c r="H73" s="73">
        <f>IF($Z73&lt;&gt;"",IF(INDEX(tblBilling[Remarks],$Z73)="","",INDEX(tblBilling[Remarks],$Z73)),"")</f>
        <v/>
      </c>
      <c r="Z73">
        <f>IF(Z72="","",IFERROR(Z72+MATCH(1,INDEX(tblBilling[Stmt Match],Z72+1):INDEX(tblBilling[Stmt Match],ROWS(tblBilling[Stmt Match])),0),""))</f>
        <v/>
      </c>
      <c r="AA73">
        <f>ROW()-14-COUNTIF(tblBilling[Stmt Match],1)</f>
        <v/>
      </c>
    </row>
    <row r="74">
      <c r="A74" s="73">
        <f>IF($Z74&lt;&gt;"",IF(INDEX(tblBilling[Month Name],$Z74)="","",INDEX(tblBilling[Month Name],$Z74)),CHOOSE(MIN(MAX($AA74,0),5)+1,"","TOTAL","","Total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4" s="74">
        <f>IF($Z74&lt;&gt;"",IF(INDEX(tblBilling[Monthly Fee],$Z74)="","",INDEX(tblBilling[Monthly Fee],$Z74)),IF($AA74=1,SUMIFS(tblBilling[Monthly Fee],tblBilling[Stmt Match],1),""))</f>
        <v/>
      </c>
      <c r="C74" s="74">
        <f>IF($Z74&lt;&gt;"",IF(INDEX(tblBilling[Amount Paid],$Z74)="","",INDEX(tblBilling[Amount Paid],$Z74)),IF($AA74=1,SUMIFS(tblBilling[Amount Paid],tblBilling[Stmt Match],1),""))</f>
        <v/>
      </c>
      <c r="D74" s="75">
        <f>IF($Z74&lt;&gt;"",IF(INDEX(tblBilling[Last Payment Date],$Z74)="","",INDEX(tblBilling[Last Payment Date],$Z74)),"")</f>
        <v/>
      </c>
      <c r="E74" s="74">
        <f>IF($Z74&lt;&gt;"",IF(INDEX(tblBilling[Balance],$Z74)="","",INDEX(tblBilling[Balance],$Z74)),IF($AA74=1,SUMIFS(tblBilling[Balance],tblBilling[Stmt Match],1),""))</f>
        <v/>
      </c>
      <c r="F74" s="73">
        <f>IF($Z74&lt;&gt;"",IF(INDEX(tblBilling[Payment Status],$Z74)="","",INDEX(tblBilling[Payment Status],$Z74)),"")</f>
        <v/>
      </c>
      <c r="G74" s="76">
        <f>IF($Z74&lt;&gt;"",IF(INDEX(tblBilling[Payments Count],$Z74)="","",INDEX(tblBilling[Payments Count],$Z74)),"")</f>
        <v/>
      </c>
      <c r="H74" s="73">
        <f>IF($Z74&lt;&gt;"",IF(INDEX(tblBilling[Remarks],$Z74)="","",INDEX(tblBilling[Remarks],$Z74)),"")</f>
        <v/>
      </c>
      <c r="Z74">
        <f>IF(Z73="","",IFERROR(Z73+MATCH(1,INDEX(tblBilling[Stmt Match],Z73+1):INDEX(tblBilling[Stmt Match],ROWS(tblBilling[Stmt Match])),0),""))</f>
        <v/>
      </c>
      <c r="AA74">
        <f>ROW()-14-COUNTIF(tblBilling[Stmt Match],1)</f>
        <v/>
      </c>
    </row>
    <row r="75">
      <c r="A75" s="73">
        <f>IF($Z75&lt;&gt;"",IF(INDEX(tblBilling[Month Name],$Z75)="","",INDEX(tblBilling[Month Name],$Z75)),CHOOSE(MIN(MAX($AA75,0),5)+1,"","TOTAL","","Total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5" s="74">
        <f>IF($Z75&lt;&gt;"",IF(INDEX(tblBilling[Monthly Fee],$Z75)="","",INDEX(tblBilling[Monthly Fee],$Z75)),IF($AA75=1,SUMIFS(tblBilling[Monthly Fee],tblBilling[Stmt Match],1),""))</f>
        <v/>
      </c>
      <c r="C75" s="74">
        <f>IF($Z75&lt;&gt;"",IF(INDEX(tblBilling[Amount Paid],$Z75)="","",INDEX(tblBilling[Amount Paid],$Z75)),IF($AA75=1,SUMIFS(tblBilling[Amount Paid],tblBilling[Stmt Match],1),""))</f>
        <v/>
      </c>
      <c r="D75" s="75">
        <f>IF($Z75&lt;&gt;"",IF(INDEX(tblBilling[Last Payment Date],$Z75)="","",INDEX(tblBilling[Last Payment Date],$Z75)),"")</f>
        <v/>
      </c>
      <c r="E75" s="74">
        <f>IF($Z75&lt;&gt;"",IF(INDEX(tblBilling[Balance],$Z75)="","",INDEX(tblBilling[Balance],$Z75)),IF($AA75=1,SUMIFS(tblBilling[Balance],tblBilling[Stmt Match],1),""))</f>
        <v/>
      </c>
      <c r="F75" s="73">
        <f>IF($Z75&lt;&gt;"",IF(INDEX(tblBilling[Payment Status],$Z75)="","",INDEX(tblBilling[Payment Status],$Z75)),"")</f>
        <v/>
      </c>
      <c r="G75" s="76">
        <f>IF($Z75&lt;&gt;"",IF(INDEX(tblBilling[Payments Count],$Z75)="","",INDEX(tblBilling[Payments Count],$Z75)),"")</f>
        <v/>
      </c>
      <c r="H75" s="73">
        <f>IF($Z75&lt;&gt;"",IF(INDEX(tblBilling[Remarks],$Z75)="","",INDEX(tblBilling[Remarks],$Z75)),"")</f>
        <v/>
      </c>
      <c r="Z75">
        <f>IF(Z74="","",IFERROR(Z74+MATCH(1,INDEX(tblBilling[Stmt Match],Z74+1):INDEX(tblBilling[Stmt Match],ROWS(tblBilling[Stmt Match])),0),""))</f>
        <v/>
      </c>
      <c r="AA75">
        <f>ROW()-14-COUNTIF(tblBilling[Stmt Match],1)</f>
        <v/>
      </c>
    </row>
    <row r="76">
      <c r="A76" s="73">
        <f>IF($Z76&lt;&gt;"",IF(INDEX(tblBilling[Month Name],$Z76)="","",INDEX(tblBilling[Month Name],$Z76)),CHOOSE(MIN(MAX($AA76,0),5)+1,"","TOTAL","","Total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6" s="74">
        <f>IF($Z76&lt;&gt;"",IF(INDEX(tblBilling[Monthly Fee],$Z76)="","",INDEX(tblBilling[Monthly Fee],$Z76)),IF($AA76=1,SUMIFS(tblBilling[Monthly Fee],tblBilling[Stmt Match],1),""))</f>
        <v/>
      </c>
      <c r="C76" s="74">
        <f>IF($Z76&lt;&gt;"",IF(INDEX(tblBilling[Amount Paid],$Z76)="","",INDEX(tblBilling[Amount Paid],$Z76)),IF($AA76=1,SUMIFS(tblBilling[Amount Paid],tblBilling[Stmt Match],1),""))</f>
        <v/>
      </c>
      <c r="D76" s="75">
        <f>IF($Z76&lt;&gt;"",IF(INDEX(tblBilling[Last Payment Date],$Z76)="","",INDEX(tblBilling[Last Payment Date],$Z76)),"")</f>
        <v/>
      </c>
      <c r="E76" s="74">
        <f>IF($Z76&lt;&gt;"",IF(INDEX(tblBilling[Balance],$Z76)="","",INDEX(tblBilling[Balance],$Z76)),IF($AA76=1,SUMIFS(tblBilling[Balance],tblBilling[Stmt Match],1),""))</f>
        <v/>
      </c>
      <c r="F76" s="73">
        <f>IF($Z76&lt;&gt;"",IF(INDEX(tblBilling[Payment Status],$Z76)="","",INDEX(tblBilling[Payment Status],$Z76)),"")</f>
        <v/>
      </c>
      <c r="G76" s="76">
        <f>IF($Z76&lt;&gt;"",IF(INDEX(tblBilling[Payments Count],$Z76)="","",INDEX(tblBilling[Payments Count],$Z76)),"")</f>
        <v/>
      </c>
      <c r="H76" s="73">
        <f>IF($Z76&lt;&gt;"",IF(INDEX(tblBilling[Remarks],$Z76)="","",INDEX(tblBilling[Remarks],$Z76)),"")</f>
        <v/>
      </c>
      <c r="Z76">
        <f>IF(Z75="","",IFERROR(Z75+MATCH(1,INDEX(tblBilling[Stmt Match],Z75+1):INDEX(tblBilling[Stmt Match],ROWS(tblBilling[Stmt Match])),0),""))</f>
        <v/>
      </c>
      <c r="AA76">
        <f>ROW()-14-COUNTIF(tblBilling[Stmt Match],1)</f>
        <v/>
      </c>
    </row>
    <row r="77">
      <c r="A77" s="73">
        <f>IF($Z77&lt;&gt;"",IF(INDEX(tblBilling[Month Name],$Z77)="","",INDEX(tblBilling[Month Name],$Z77)),CHOOSE(MIN(MAX($AA77,0),5)+1,"","TOTAL","","Total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7" s="74">
        <f>IF($Z77&lt;&gt;"",IF(INDEX(tblBilling[Monthly Fee],$Z77)="","",INDEX(tblBilling[Monthly Fee],$Z77)),IF($AA77=1,SUMIFS(tblBilling[Monthly Fee],tblBilling[Stmt Match],1),""))</f>
        <v/>
      </c>
      <c r="C77" s="74">
        <f>IF($Z77&lt;&gt;"",IF(INDEX(tblBilling[Amount Paid],$Z77)="","",INDEX(tblBilling[Amount Paid],$Z77)),IF($AA77=1,SUMIFS(tblBilling[Amount Paid],tblBilling[Stmt Match],1),""))</f>
        <v/>
      </c>
      <c r="D77" s="75">
        <f>IF($Z77&lt;&gt;"",IF(INDEX(tblBilling[Last Payment Date],$Z77)="","",INDEX(tblBilling[Last Payment Date],$Z77)),"")</f>
        <v/>
      </c>
      <c r="E77" s="74">
        <f>IF($Z77&lt;&gt;"",IF(INDEX(tblBilling[Balance],$Z77)="","",INDEX(tblBilling[Balance],$Z77)),IF($AA77=1,SUMIFS(tblBilling[Balance],tblBilling[Stmt Match],1),""))</f>
        <v/>
      </c>
      <c r="F77" s="73">
        <f>IF($Z77&lt;&gt;"",IF(INDEX(tblBilling[Payment Status],$Z77)="","",INDEX(tblBilling[Payment Status],$Z77)),"")</f>
        <v/>
      </c>
      <c r="G77" s="76">
        <f>IF($Z77&lt;&gt;"",IF(INDEX(tblBilling[Payments Count],$Z77)="","",INDEX(tblBilling[Payments Count],$Z77)),"")</f>
        <v/>
      </c>
      <c r="H77" s="73">
        <f>IF($Z77&lt;&gt;"",IF(INDEX(tblBilling[Remarks],$Z77)="","",INDEX(tblBilling[Remarks],$Z77)),"")</f>
        <v/>
      </c>
      <c r="Z77">
        <f>IF(Z76="","",IFERROR(Z76+MATCH(1,INDEX(tblBilling[Stmt Match],Z76+1):INDEX(tblBilling[Stmt Match],ROWS(tblBilling[Stmt Match])),0),""))</f>
        <v/>
      </c>
      <c r="AA77">
        <f>ROW()-14-COUNTIF(tblBilling[Stmt Match],1)</f>
        <v/>
      </c>
    </row>
    <row r="78">
      <c r="A78" s="73">
        <f>IF($Z78&lt;&gt;"",IF(INDEX(tblBilling[Month Name],$Z78)="","",INDEX(tblBilling[Month Name],$Z78)),CHOOSE(MIN(MAX($AA78,0),5)+1,"","TOTAL","","Total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8" s="74">
        <f>IF($Z78&lt;&gt;"",IF(INDEX(tblBilling[Monthly Fee],$Z78)="","",INDEX(tblBilling[Monthly Fee],$Z78)),IF($AA78=1,SUMIFS(tblBilling[Monthly Fee],tblBilling[Stmt Match],1),""))</f>
        <v/>
      </c>
      <c r="C78" s="74">
        <f>IF($Z78&lt;&gt;"",IF(INDEX(tblBilling[Amount Paid],$Z78)="","",INDEX(tblBilling[Amount Paid],$Z78)),IF($AA78=1,SUMIFS(tblBilling[Amount Paid],tblBilling[Stmt Match],1),""))</f>
        <v/>
      </c>
      <c r="D78" s="75">
        <f>IF($Z78&lt;&gt;"",IF(INDEX(tblBilling[Last Payment Date],$Z78)="","",INDEX(tblBilling[Last Payment Date],$Z78)),"")</f>
        <v/>
      </c>
      <c r="E78" s="74">
        <f>IF($Z78&lt;&gt;"",IF(INDEX(tblBilling[Balance],$Z78)="","",INDEX(tblBilling[Balance],$Z78)),IF($AA78=1,SUMIFS(tblBilling[Balance],tblBilling[Stmt Match],1),""))</f>
        <v/>
      </c>
      <c r="F78" s="73">
        <f>IF($Z78&lt;&gt;"",IF(INDEX(tblBilling[Payment Status],$Z78)="","",INDEX(tblBilling[Payment Status],$Z78)),"")</f>
        <v/>
      </c>
      <c r="G78" s="76">
        <f>IF($Z78&lt;&gt;"",IF(INDEX(tblBilling[Payments Count],$Z78)="","",INDEX(tblBilling[Payments Count],$Z78)),"")</f>
        <v/>
      </c>
      <c r="H78" s="73">
        <f>IF($Z78&lt;&gt;"",IF(INDEX(tblBilling[Remarks],$Z78)="","",INDEX(tblBilling[Remarks],$Z78)),"")</f>
        <v/>
      </c>
      <c r="Z78">
        <f>IF(Z77="","",IFERROR(Z77+MATCH(1,INDEX(tblBilling[Stmt Match],Z77+1):INDEX(tblBilling[Stmt Match],ROWS(tblBilling[Stmt Match])),0),""))</f>
        <v/>
      </c>
      <c r="AA78">
        <f>ROW()-14-COUNTIF(tblBilling[Stmt Match],1)</f>
        <v/>
      </c>
    </row>
    <row r="79">
      <c r="A79" s="73">
        <f>IF($Z79&lt;&gt;"",IF(INDEX(tblBilling[Month Name],$Z79)="","",INDEX(tblBilling[Month Name],$Z79)),CHOOSE(MIN(MAX($AA79,0),5)+1,"","TOTAL","","Total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79" s="74">
        <f>IF($Z79&lt;&gt;"",IF(INDEX(tblBilling[Monthly Fee],$Z79)="","",INDEX(tblBilling[Monthly Fee],$Z79)),IF($AA79=1,SUMIFS(tblBilling[Monthly Fee],tblBilling[Stmt Match],1),""))</f>
        <v/>
      </c>
      <c r="C79" s="74">
        <f>IF($Z79&lt;&gt;"",IF(INDEX(tblBilling[Amount Paid],$Z79)="","",INDEX(tblBilling[Amount Paid],$Z79)),IF($AA79=1,SUMIFS(tblBilling[Amount Paid],tblBilling[Stmt Match],1),""))</f>
        <v/>
      </c>
      <c r="D79" s="75">
        <f>IF($Z79&lt;&gt;"",IF(INDEX(tblBilling[Last Payment Date],$Z79)="","",INDEX(tblBilling[Last Payment Date],$Z79)),"")</f>
        <v/>
      </c>
      <c r="E79" s="74">
        <f>IF($Z79&lt;&gt;"",IF(INDEX(tblBilling[Balance],$Z79)="","",INDEX(tblBilling[Balance],$Z79)),IF($AA79=1,SUMIFS(tblBilling[Balance],tblBilling[Stmt Match],1),""))</f>
        <v/>
      </c>
      <c r="F79" s="73">
        <f>IF($Z79&lt;&gt;"",IF(INDEX(tblBilling[Payment Status],$Z79)="","",INDEX(tblBilling[Payment Status],$Z79)),"")</f>
        <v/>
      </c>
      <c r="G79" s="76">
        <f>IF($Z79&lt;&gt;"",IF(INDEX(tblBilling[Payments Count],$Z79)="","",INDEX(tblBilling[Payments Count],$Z79)),"")</f>
        <v/>
      </c>
      <c r="H79" s="73">
        <f>IF($Z79&lt;&gt;"",IF(INDEX(tblBilling[Remarks],$Z79)="","",INDEX(tblBilling[Remarks],$Z79)),"")</f>
        <v/>
      </c>
      <c r="Z79">
        <f>IF(Z78="","",IFERROR(Z78+MATCH(1,INDEX(tblBilling[Stmt Match],Z78+1):INDEX(tblBilling[Stmt Match],ROWS(tblBilling[Stmt Match])),0),""))</f>
        <v/>
      </c>
      <c r="AA79">
        <f>ROW()-14-COUNTIF(tblBilling[Stmt Match],1)</f>
        <v/>
      </c>
    </row>
    <row r="80">
      <c r="A80" s="73">
        <f>IF($Z80&lt;&gt;"",IF(INDEX(tblBilling[Month Name],$Z80)="","",INDEX(tblBilling[Month Name],$Z80)),CHOOSE(MIN(MAX($AA80,0),5)+1,"","TOTAL","","Total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0" s="74">
        <f>IF($Z80&lt;&gt;"",IF(INDEX(tblBilling[Monthly Fee],$Z80)="","",INDEX(tblBilling[Monthly Fee],$Z80)),IF($AA80=1,SUMIFS(tblBilling[Monthly Fee],tblBilling[Stmt Match],1),""))</f>
        <v/>
      </c>
      <c r="C80" s="74">
        <f>IF($Z80&lt;&gt;"",IF(INDEX(tblBilling[Amount Paid],$Z80)="","",INDEX(tblBilling[Amount Paid],$Z80)),IF($AA80=1,SUMIFS(tblBilling[Amount Paid],tblBilling[Stmt Match],1),""))</f>
        <v/>
      </c>
      <c r="D80" s="75">
        <f>IF($Z80&lt;&gt;"",IF(INDEX(tblBilling[Last Payment Date],$Z80)="","",INDEX(tblBilling[Last Payment Date],$Z80)),"")</f>
        <v/>
      </c>
      <c r="E80" s="74">
        <f>IF($Z80&lt;&gt;"",IF(INDEX(tblBilling[Balance],$Z80)="","",INDEX(tblBilling[Balance],$Z80)),IF($AA80=1,SUMIFS(tblBilling[Balance],tblBilling[Stmt Match],1),""))</f>
        <v/>
      </c>
      <c r="F80" s="73">
        <f>IF($Z80&lt;&gt;"",IF(INDEX(tblBilling[Payment Status],$Z80)="","",INDEX(tblBilling[Payment Status],$Z80)),"")</f>
        <v/>
      </c>
      <c r="G80" s="76">
        <f>IF($Z80&lt;&gt;"",IF(INDEX(tblBilling[Payments Count],$Z80)="","",INDEX(tblBilling[Payments Count],$Z80)),"")</f>
        <v/>
      </c>
      <c r="H80" s="73">
        <f>IF($Z80&lt;&gt;"",IF(INDEX(tblBilling[Remarks],$Z80)="","",INDEX(tblBilling[Remarks],$Z80)),"")</f>
        <v/>
      </c>
      <c r="Z80">
        <f>IF(Z79="","",IFERROR(Z79+MATCH(1,INDEX(tblBilling[Stmt Match],Z79+1):INDEX(tblBilling[Stmt Match],ROWS(tblBilling[Stmt Match])),0),""))</f>
        <v/>
      </c>
      <c r="AA80">
        <f>ROW()-14-COUNTIF(tblBilling[Stmt Match],1)</f>
        <v/>
      </c>
    </row>
    <row r="81">
      <c r="A81" s="73">
        <f>IF($Z81&lt;&gt;"",IF(INDEX(tblBilling[Month Name],$Z81)="","",INDEX(tblBilling[Month Name],$Z81)),CHOOSE(MIN(MAX($AA81,0),5)+1,"","TOTAL","","Total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1" s="74">
        <f>IF($Z81&lt;&gt;"",IF(INDEX(tblBilling[Monthly Fee],$Z81)="","",INDEX(tblBilling[Monthly Fee],$Z81)),IF($AA81=1,SUMIFS(tblBilling[Monthly Fee],tblBilling[Stmt Match],1),""))</f>
        <v/>
      </c>
      <c r="C81" s="74">
        <f>IF($Z81&lt;&gt;"",IF(INDEX(tblBilling[Amount Paid],$Z81)="","",INDEX(tblBilling[Amount Paid],$Z81)),IF($AA81=1,SUMIFS(tblBilling[Amount Paid],tblBilling[Stmt Match],1),""))</f>
        <v/>
      </c>
      <c r="D81" s="75">
        <f>IF($Z81&lt;&gt;"",IF(INDEX(tblBilling[Last Payment Date],$Z81)="","",INDEX(tblBilling[Last Payment Date],$Z81)),"")</f>
        <v/>
      </c>
      <c r="E81" s="74">
        <f>IF($Z81&lt;&gt;"",IF(INDEX(tblBilling[Balance],$Z81)="","",INDEX(tblBilling[Balance],$Z81)),IF($AA81=1,SUMIFS(tblBilling[Balance],tblBilling[Stmt Match],1),""))</f>
        <v/>
      </c>
      <c r="F81" s="73">
        <f>IF($Z81&lt;&gt;"",IF(INDEX(tblBilling[Payment Status],$Z81)="","",INDEX(tblBilling[Payment Status],$Z81)),"")</f>
        <v/>
      </c>
      <c r="G81" s="76">
        <f>IF($Z81&lt;&gt;"",IF(INDEX(tblBilling[Payments Count],$Z81)="","",INDEX(tblBilling[Payments Count],$Z81)),"")</f>
        <v/>
      </c>
      <c r="H81" s="73">
        <f>IF($Z81&lt;&gt;"",IF(INDEX(tblBilling[Remarks],$Z81)="","",INDEX(tblBilling[Remarks],$Z81)),"")</f>
        <v/>
      </c>
      <c r="Z81">
        <f>IF(Z80="","",IFERROR(Z80+MATCH(1,INDEX(tblBilling[Stmt Match],Z80+1):INDEX(tblBilling[Stmt Match],ROWS(tblBilling[Stmt Match])),0),""))</f>
        <v/>
      </c>
      <c r="AA81">
        <f>ROW()-14-COUNTIF(tblBilling[Stmt Match],1)</f>
        <v/>
      </c>
    </row>
    <row r="82">
      <c r="A82" s="73">
        <f>IF($Z82&lt;&gt;"",IF(INDEX(tblBilling[Month Name],$Z82)="","",INDEX(tblBilling[Month Name],$Z82)),CHOOSE(MIN(MAX($AA82,0),5)+1,"","TOTAL","","Total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2" s="74">
        <f>IF($Z82&lt;&gt;"",IF(INDEX(tblBilling[Monthly Fee],$Z82)="","",INDEX(tblBilling[Monthly Fee],$Z82)),IF($AA82=1,SUMIFS(tblBilling[Monthly Fee],tblBilling[Stmt Match],1),""))</f>
        <v/>
      </c>
      <c r="C82" s="74">
        <f>IF($Z82&lt;&gt;"",IF(INDEX(tblBilling[Amount Paid],$Z82)="","",INDEX(tblBilling[Amount Paid],$Z82)),IF($AA82=1,SUMIFS(tblBilling[Amount Paid],tblBilling[Stmt Match],1),""))</f>
        <v/>
      </c>
      <c r="D82" s="75">
        <f>IF($Z82&lt;&gt;"",IF(INDEX(tblBilling[Last Payment Date],$Z82)="","",INDEX(tblBilling[Last Payment Date],$Z82)),"")</f>
        <v/>
      </c>
      <c r="E82" s="74">
        <f>IF($Z82&lt;&gt;"",IF(INDEX(tblBilling[Balance],$Z82)="","",INDEX(tblBilling[Balance],$Z82)),IF($AA82=1,SUMIFS(tblBilling[Balance],tblBilling[Stmt Match],1),""))</f>
        <v/>
      </c>
      <c r="F82" s="73">
        <f>IF($Z82&lt;&gt;"",IF(INDEX(tblBilling[Payment Status],$Z82)="","",INDEX(tblBilling[Payment Status],$Z82)),"")</f>
        <v/>
      </c>
      <c r="G82" s="76">
        <f>IF($Z82&lt;&gt;"",IF(INDEX(tblBilling[Payments Count],$Z82)="","",INDEX(tblBilling[Payments Count],$Z82)),"")</f>
        <v/>
      </c>
      <c r="H82" s="73">
        <f>IF($Z82&lt;&gt;"",IF(INDEX(tblBilling[Remarks],$Z82)="","",INDEX(tblBilling[Remarks],$Z82)),"")</f>
        <v/>
      </c>
      <c r="Z82">
        <f>IF(Z81="","",IFERROR(Z81+MATCH(1,INDEX(tblBilling[Stmt Match],Z81+1):INDEX(tblBilling[Stmt Match],ROWS(tblBilling[Stmt Match])),0),""))</f>
        <v/>
      </c>
      <c r="AA82">
        <f>ROW()-14-COUNTIF(tblBilling[Stmt Match],1)</f>
        <v/>
      </c>
    </row>
    <row r="83">
      <c r="A83" s="73">
        <f>IF($Z83&lt;&gt;"",IF(INDEX(tblBilling[Month Name],$Z83)="","",INDEX(tblBilling[Month Name],$Z83)),CHOOSE(MIN(MAX($AA83,0),5)+1,"","TOTAL","","Total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3" s="74">
        <f>IF($Z83&lt;&gt;"",IF(INDEX(tblBilling[Monthly Fee],$Z83)="","",INDEX(tblBilling[Monthly Fee],$Z83)),IF($AA83=1,SUMIFS(tblBilling[Monthly Fee],tblBilling[Stmt Match],1),""))</f>
        <v/>
      </c>
      <c r="C83" s="74">
        <f>IF($Z83&lt;&gt;"",IF(INDEX(tblBilling[Amount Paid],$Z83)="","",INDEX(tblBilling[Amount Paid],$Z83)),IF($AA83=1,SUMIFS(tblBilling[Amount Paid],tblBilling[Stmt Match],1),""))</f>
        <v/>
      </c>
      <c r="D83" s="75">
        <f>IF($Z83&lt;&gt;"",IF(INDEX(tblBilling[Last Payment Date],$Z83)="","",INDEX(tblBilling[Last Payment Date],$Z83)),"")</f>
        <v/>
      </c>
      <c r="E83" s="74">
        <f>IF($Z83&lt;&gt;"",IF(INDEX(tblBilling[Balance],$Z83)="","",INDEX(tblBilling[Balance],$Z83)),IF($AA83=1,SUMIFS(tblBilling[Balance],tblBilling[Stmt Match],1),""))</f>
        <v/>
      </c>
      <c r="F83" s="73">
        <f>IF($Z83&lt;&gt;"",IF(INDEX(tblBilling[Payment Status],$Z83)="","",INDEX(tblBilling[Payment Status],$Z83)),"")</f>
        <v/>
      </c>
      <c r="G83" s="76">
        <f>IF($Z83&lt;&gt;"",IF(INDEX(tblBilling[Payments Count],$Z83)="","",INDEX(tblBilling[Payments Count],$Z83)),"")</f>
        <v/>
      </c>
      <c r="H83" s="73">
        <f>IF($Z83&lt;&gt;"",IF(INDEX(tblBilling[Remarks],$Z83)="","",INDEX(tblBilling[Remarks],$Z83)),"")</f>
        <v/>
      </c>
      <c r="Z83">
        <f>IF(Z82="","",IFERROR(Z82+MATCH(1,INDEX(tblBilling[Stmt Match],Z82+1):INDEX(tblBilling[Stmt Match],ROWS(tblBilling[Stmt Match])),0),""))</f>
        <v/>
      </c>
      <c r="AA83">
        <f>ROW()-14-COUNTIF(tblBilling[Stmt Match],1)</f>
        <v/>
      </c>
    </row>
    <row r="84">
      <c r="A84" s="73">
        <f>IF($Z84&lt;&gt;"",IF(INDEX(tblBilling[Month Name],$Z84)="","",INDEX(tblBilling[Month Name],$Z84)),CHOOSE(MIN(MAX($AA84,0),5)+1,"","TOTAL","","Total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4" s="74">
        <f>IF($Z84&lt;&gt;"",IF(INDEX(tblBilling[Monthly Fee],$Z84)="","",INDEX(tblBilling[Monthly Fee],$Z84)),IF($AA84=1,SUMIFS(tblBilling[Monthly Fee],tblBilling[Stmt Match],1),""))</f>
        <v/>
      </c>
      <c r="C84" s="74">
        <f>IF($Z84&lt;&gt;"",IF(INDEX(tblBilling[Amount Paid],$Z84)="","",INDEX(tblBilling[Amount Paid],$Z84)),IF($AA84=1,SUMIFS(tblBilling[Amount Paid],tblBilling[Stmt Match],1),""))</f>
        <v/>
      </c>
      <c r="D84" s="75">
        <f>IF($Z84&lt;&gt;"",IF(INDEX(tblBilling[Last Payment Date],$Z84)="","",INDEX(tblBilling[Last Payment Date],$Z84)),"")</f>
        <v/>
      </c>
      <c r="E84" s="74">
        <f>IF($Z84&lt;&gt;"",IF(INDEX(tblBilling[Balance],$Z84)="","",INDEX(tblBilling[Balance],$Z84)),IF($AA84=1,SUMIFS(tblBilling[Balance],tblBilling[Stmt Match],1),""))</f>
        <v/>
      </c>
      <c r="F84" s="73">
        <f>IF($Z84&lt;&gt;"",IF(INDEX(tblBilling[Payment Status],$Z84)="","",INDEX(tblBilling[Payment Status],$Z84)),"")</f>
        <v/>
      </c>
      <c r="G84" s="76">
        <f>IF($Z84&lt;&gt;"",IF(INDEX(tblBilling[Payments Count],$Z84)="","",INDEX(tblBilling[Payments Count],$Z84)),"")</f>
        <v/>
      </c>
      <c r="H84" s="73">
        <f>IF($Z84&lt;&gt;"",IF(INDEX(tblBilling[Remarks],$Z84)="","",INDEX(tblBilling[Remarks],$Z84)),"")</f>
        <v/>
      </c>
      <c r="Z84">
        <f>IF(Z83="","",IFERROR(Z83+MATCH(1,INDEX(tblBilling[Stmt Match],Z83+1):INDEX(tblBilling[Stmt Match],ROWS(tblBilling[Stmt Match])),0),""))</f>
        <v/>
      </c>
      <c r="AA84">
        <f>ROW()-14-COUNTIF(tblBilling[Stmt Match],1)</f>
        <v/>
      </c>
    </row>
    <row r="85">
      <c r="A85" s="73">
        <f>IF($Z85&lt;&gt;"",IF(INDEX(tblBilling[Month Name],$Z85)="","",INDEX(tblBilling[Month Name],$Z85)),CHOOSE(MIN(MAX($AA85,0),5)+1,"","TOTAL","","Total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5" s="74">
        <f>IF($Z85&lt;&gt;"",IF(INDEX(tblBilling[Monthly Fee],$Z85)="","",INDEX(tblBilling[Monthly Fee],$Z85)),IF($AA85=1,SUMIFS(tblBilling[Monthly Fee],tblBilling[Stmt Match],1),""))</f>
        <v/>
      </c>
      <c r="C85" s="74">
        <f>IF($Z85&lt;&gt;"",IF(INDEX(tblBilling[Amount Paid],$Z85)="","",INDEX(tblBilling[Amount Paid],$Z85)),IF($AA85=1,SUMIFS(tblBilling[Amount Paid],tblBilling[Stmt Match],1),""))</f>
        <v/>
      </c>
      <c r="D85" s="75">
        <f>IF($Z85&lt;&gt;"",IF(INDEX(tblBilling[Last Payment Date],$Z85)="","",INDEX(tblBilling[Last Payment Date],$Z85)),"")</f>
        <v/>
      </c>
      <c r="E85" s="74">
        <f>IF($Z85&lt;&gt;"",IF(INDEX(tblBilling[Balance],$Z85)="","",INDEX(tblBilling[Balance],$Z85)),IF($AA85=1,SUMIFS(tblBilling[Balance],tblBilling[Stmt Match],1),""))</f>
        <v/>
      </c>
      <c r="F85" s="73">
        <f>IF($Z85&lt;&gt;"",IF(INDEX(tblBilling[Payment Status],$Z85)="","",INDEX(tblBilling[Payment Status],$Z85)),"")</f>
        <v/>
      </c>
      <c r="G85" s="76">
        <f>IF($Z85&lt;&gt;"",IF(INDEX(tblBilling[Payments Count],$Z85)="","",INDEX(tblBilling[Payments Count],$Z85)),"")</f>
        <v/>
      </c>
      <c r="H85" s="73">
        <f>IF($Z85&lt;&gt;"",IF(INDEX(tblBilling[Remarks],$Z85)="","",INDEX(tblBilling[Remarks],$Z85)),"")</f>
        <v/>
      </c>
      <c r="Z85">
        <f>IF(Z84="","",IFERROR(Z84+MATCH(1,INDEX(tblBilling[Stmt Match],Z84+1):INDEX(tblBilling[Stmt Match],ROWS(tblBilling[Stmt Match])),0),""))</f>
        <v/>
      </c>
      <c r="AA85">
        <f>ROW()-14-COUNTIF(tblBilling[Stmt Match],1)</f>
        <v/>
      </c>
    </row>
    <row r="86">
      <c r="A86" s="73">
        <f>IF($Z86&lt;&gt;"",IF(INDEX(tblBilling[Month Name],$Z86)="","",INDEX(tblBilling[Month Name],$Z86)),CHOOSE(MIN(MAX($AA86,0),5)+1,"","TOTAL","","Total Billing: "&amp;CFG_CurrencySymbol&amp;" "&amp;TEXT(SUMIFS(tblBilling[Monthly Fee],tblBilling[Stmt Match],1),"#,##0"),"Total Paid: "&amp;CFG_CurrencySymbol&amp;" "&amp;TEXT(SUMIFS(tblBilling[Amount Paid],tblBilling[Stmt Match],1),"#,##0"),"Total Outstanding: "&amp;CFG_CurrencySymbol&amp;" "&amp;TEXT(SUMIFS(tblBilling[Balance],tblBilling[Stmt Match],1),"#,##0")))</f>
        <v/>
      </c>
      <c r="B86" s="74">
        <f>IF($Z86&lt;&gt;"",IF(INDEX(tblBilling[Monthly Fee],$Z86)="","",INDEX(tblBilling[Monthly Fee],$Z86)),IF($AA86=1,SUMIFS(tblBilling[Monthly Fee],tblBilling[Stmt Match],1),""))</f>
        <v/>
      </c>
      <c r="C86" s="74">
        <f>IF($Z86&lt;&gt;"",IF(INDEX(tblBilling[Amount Paid],$Z86)="","",INDEX(tblBilling[Amount Paid],$Z86)),IF($AA86=1,SUMIFS(tblBilling[Amount Paid],tblBilling[Stmt Match],1),""))</f>
        <v/>
      </c>
      <c r="D86" s="75">
        <f>IF($Z86&lt;&gt;"",IF(INDEX(tblBilling[Last Payment Date],$Z86)="","",INDEX(tblBilling[Last Payment Date],$Z86)),"")</f>
        <v/>
      </c>
      <c r="E86" s="74">
        <f>IF($Z86&lt;&gt;"",IF(INDEX(tblBilling[Balance],$Z86)="","",INDEX(tblBilling[Balance],$Z86)),IF($AA86=1,SUMIFS(tblBilling[Balance],tblBilling[Stmt Match],1),""))</f>
        <v/>
      </c>
      <c r="F86" s="73">
        <f>IF($Z86&lt;&gt;"",IF(INDEX(tblBilling[Payment Status],$Z86)="","",INDEX(tblBilling[Payment Status],$Z86)),"")</f>
        <v/>
      </c>
      <c r="G86" s="76">
        <f>IF($Z86&lt;&gt;"",IF(INDEX(tblBilling[Payments Count],$Z86)="","",INDEX(tblBilling[Payments Count],$Z86)),"")</f>
        <v/>
      </c>
      <c r="H86" s="73">
        <f>IF($Z86&lt;&gt;"",IF(INDEX(tblBilling[Remarks],$Z86)="","",INDEX(tblBilling[Remarks],$Z86)),"")</f>
        <v/>
      </c>
      <c r="Z86">
        <f>IF(Z85="","",IFERROR(Z85+MATCH(1,INDEX(tblBilling[Stmt Match],Z85+1):INDEX(tblBilling[Stmt Match],ROWS(tblBilling[Stmt Match])),0),""))</f>
        <v/>
      </c>
      <c r="AA86">
        <f>ROW()-14-COUNTIF(tblBilling[Stmt Match],1)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A11:B11"/>
    <mergeCell ref="C9:E9"/>
    <mergeCell ref="A1:H1"/>
    <mergeCell ref="C12:E12"/>
    <mergeCell ref="A6:B6"/>
    <mergeCell ref="C11:E11"/>
    <mergeCell ref="A7:B7"/>
    <mergeCell ref="C8:E8"/>
    <mergeCell ref="C7:E7"/>
    <mergeCell ref="A12:B12"/>
    <mergeCell ref="A3:H3"/>
    <mergeCell ref="A2:H2"/>
    <mergeCell ref="A5:B5"/>
    <mergeCell ref="A8:B8"/>
    <mergeCell ref="C6:E6"/>
    <mergeCell ref="C5:E5"/>
    <mergeCell ref="A10:B10"/>
    <mergeCell ref="A9:B9"/>
    <mergeCell ref="C10:E10"/>
  </mergeCells>
  <conditionalFormatting sqref="A15:H86">
    <cfRule type="expression" priority="1" dxfId="0">
      <formula>$Z15&lt;&gt;""</formula>
    </cfRule>
    <cfRule type="expression" priority="2" dxfId="8">
      <formula>$AA15=1</formula>
    </cfRule>
    <cfRule type="expression" priority="3" dxfId="10">
      <formula>$AA15&gt;=3</formula>
    </cfRule>
  </conditionalFormatting>
  <dataValidations count="2">
    <dataValidation sqref="K3" showDropDown="0" showInputMessage="0" showErrorMessage="0" allowBlank="0" type="list">
      <formula1>L_MonthsAll</formula1>
    </dataValidation>
    <dataValidation sqref="K4" showDropDown="0" showInputMessage="0" showErrorMessage="0" allowBlank="0" type="list">
      <formula1>L_MonthsAll</formula1>
    </dataValidation>
  </dataValidations>
  <hyperlinks>
    <hyperlink ref="J6" location="'HOME'!A1" display="◄ HOME"/>
  </hyperlinks>
  <printOptions horizontalCentered="1"/>
  <pageMargins left="0.4" right="0.4" top="0.5" bottom="0.6" header="0.25" footer="0.25"/>
  <pageSetup orientation="portrait" paperSize="9" fitToHeight="0" fitToWidth="1"/>
  <headerFooter>
    <oddHeader/>
    <oddFooter>&amp;L&amp;9 Computer generated statement&amp;R&amp;9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3" customWidth="1" min="4" max="4"/>
    <col width="12" customWidth="1" min="5" max="5"/>
    <col width="13" customWidth="1" min="6" max="6"/>
    <col width="12" customWidth="1" min="7" max="7"/>
    <col width="15" customWidth="1" min="8" max="8"/>
    <col width="13" customWidth="1" min="9" max="9"/>
    <col width="14" customWidth="1" min="10" max="10"/>
    <col width="34" customWidth="1" min="11" max="11"/>
  </cols>
  <sheetData>
    <row r="1">
      <c r="A1" s="13" t="inlineStr">
        <is>
          <t>CASH RECONCILIATION</t>
        </is>
      </c>
      <c r="L1" s="9" t="inlineStr">
        <is>
          <t>◄ HOME</t>
        </is>
      </c>
    </row>
    <row r="2">
      <c r="A2" s="16" t="inlineStr">
        <is>
          <t>Expected = cash payments recorded under the collector for that month. Enter the cash actually handed over in Actual Cash Submitted.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Month</t>
        </is>
      </c>
      <c r="B4" s="29" t="inlineStr">
        <is>
          <t>Collector ID</t>
        </is>
      </c>
      <c r="C4" s="30" t="inlineStr">
        <is>
          <t>Collector Name</t>
        </is>
      </c>
      <c r="D4" s="30" t="inlineStr">
        <is>
          <t>Expected Collection</t>
        </is>
      </c>
      <c r="E4" s="30" t="inlineStr">
        <is>
          <t>Non Cash Collected</t>
        </is>
      </c>
      <c r="F4" s="29" t="inlineStr">
        <is>
          <t>Actual Cash Submitted</t>
        </is>
      </c>
      <c r="G4" s="30" t="inlineStr">
        <is>
          <t>Cash Difference</t>
        </is>
      </c>
      <c r="H4" s="30" t="inlineStr">
        <is>
          <t>Reconciliation Status</t>
        </is>
      </c>
      <c r="I4" s="29" t="inlineStr">
        <is>
          <t>Submission Date</t>
        </is>
      </c>
      <c r="J4" s="29" t="inlineStr">
        <is>
          <t>Received By</t>
        </is>
      </c>
      <c r="K4" s="29" t="inlineStr">
        <is>
          <t>Remarks</t>
        </is>
      </c>
    </row>
    <row r="5">
      <c r="A5" s="32" t="n"/>
      <c r="B5" s="32" t="n"/>
      <c r="C5" s="33">
        <f>IFERROR(INDEX(tblCollectors[Collector Name],MATCH(tblCash[[#This Row],[Collector ID]],tblCollectors[Collector ID],0)),"")</f>
        <v/>
      </c>
      <c r="D5" s="34">
        <f>SUMIFS(tblPayments[Amount],tblPayments[Collector ID],tblCash[[#This Row],[Collector ID]],tblPayments[Month],tblCash[[#This Row],[Month]],tblPayments[Payment Method],"Cash",tblPayments[Voided],"&lt;&gt;Yes")</f>
        <v/>
      </c>
      <c r="E5" s="34">
        <f>SUMIFS(tblPayments[Amount],tblPayments[Collector ID],tblCash[[#This Row],[Collector ID]],tblPayments[Month],tblCash[[#This Row],[Month]],tblPayments[Voided],"&lt;&gt;Yes")-tblCash[[#This Row],[Expected Collection]]</f>
        <v/>
      </c>
      <c r="G5" s="93">
        <f>IF(tblCash[[#This Row],[Actual Cash Submitted]]="","",tblCash[[#This Row],[Actual Cash Submitted]]-tblCash[[#This Row],[Expected Collection]])</f>
        <v/>
      </c>
      <c r="H5" s="33">
        <f>IF(tblCash[[#This Row],[Actual Cash Submitted]]="","NOT SUBMITTED",IF(tblCash[[#This Row],[Cash Difference]]=0,"MATCHED","CASH DIFFERENCE"))</f>
        <v/>
      </c>
    </row>
    <row r="6">
      <c r="A6" s="32" t="n"/>
      <c r="B6" s="32" t="n"/>
    </row>
    <row r="7">
      <c r="A7" s="32" t="n"/>
      <c r="B7" s="32" t="n"/>
    </row>
    <row r="8">
      <c r="A8" s="32" t="n"/>
      <c r="B8" s="32" t="n"/>
    </row>
    <row r="9">
      <c r="A9" s="32" t="n"/>
      <c r="B9" s="32" t="n"/>
    </row>
    <row r="10">
      <c r="A10" s="32" t="n"/>
      <c r="B10" s="32" t="n"/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G5:G5004">
    <cfRule type="expression" priority="1" dxfId="1">
      <formula>AND(G5&lt;&gt;"",G5&lt;0)</formula>
    </cfRule>
    <cfRule type="expression" priority="2" dxfId="11">
      <formula>AND(G5&lt;&gt;"",G5&gt;0)</formula>
    </cfRule>
    <cfRule type="expression" priority="3" dxfId="5">
      <formula>AND(G5&lt;&gt;"",G5=0)</formula>
    </cfRule>
  </conditionalFormatting>
  <conditionalFormatting sqref="H5:H5004">
    <cfRule type="cellIs" priority="4" operator="equal" dxfId="3">
      <formula>"CASH DIFFERENCE"</formula>
    </cfRule>
    <cfRule type="cellIs" priority="5" operator="equal" dxfId="5">
      <formula>"MATCHED"</formula>
    </cfRule>
  </conditionalFormatting>
  <dataValidations count="4">
    <dataValidation sqref="A5:A5004" showDropDown="0" showInputMessage="0" showErrorMessage="1" allowBlank="1" errorTitle="CITY LINKS" error="Choose a month in the format YYYY-MM, e.g. 2026-10." type="list">
      <formula1>L_Months</formula1>
    </dataValidation>
    <dataValidation sqref="B5:B5004" showDropDown="0" showInputMessage="0" showErrorMessage="1" allowBlank="1" errorTitle="CITY LINKS" error="This Collector ID does not exist. Add it in COLLECTORS first." type="list">
      <formula1>L_CollectorIDs</formula1>
    </dataValidation>
    <dataValidation sqref="F5:F5004" showDropDown="0" showInputMessage="0" showErrorMessage="1" allowBlank="1" errorTitle="CITY LINKS" error="Amount cannot be negative." type="decimal" operator="greaterThanOrEqual">
      <formula1>0</formula1>
    </dataValidation>
    <dataValidation sqref="I5:I5004" showDropDown="0" showInputMessage="0" showErrorMessage="1" allowBlank="1" errorTitle="CITY LINKS" error="Enter a valid date, e.g. 15-10-2026." type="date" operator="between">
      <formula1>36526</formula1>
      <formula2>73051</formula2>
    </dataValidation>
  </dataValidations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2" customWidth="1" min="4" max="4"/>
    <col width="9" customWidth="1" min="5" max="5"/>
    <col width="10" customWidth="1" min="6" max="6"/>
    <col width="16" customWidth="1" min="7" max="7"/>
    <col width="12" customWidth="1" min="8" max="8"/>
    <col width="12" customWidth="1" min="9" max="9"/>
    <col width="26" customWidth="1" min="10" max="10"/>
    <col width="18" customWidth="1" min="11" max="11"/>
  </cols>
  <sheetData>
    <row r="1">
      <c r="A1" s="13" t="inlineStr">
        <is>
          <t>RECOVERY ASSIGNMENTS</t>
        </is>
      </c>
      <c r="L1" s="9" t="inlineStr">
        <is>
          <t>◄ HOME</t>
        </is>
      </c>
    </row>
    <row r="2">
      <c r="A2" s="16" t="inlineStr">
        <is>
          <t>Which recovery boy collects which customer in which month. Old assignments are marked Reassigned, never deleted.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Assignment ID</t>
        </is>
      </c>
      <c r="B4" s="29" t="inlineStr">
        <is>
          <t>Month</t>
        </is>
      </c>
      <c r="C4" s="29" t="inlineStr">
        <is>
          <t>Customer ID</t>
        </is>
      </c>
      <c r="D4" s="30" t="inlineStr">
        <is>
          <t>Customer Name</t>
        </is>
      </c>
      <c r="E4" s="30" t="inlineStr">
        <is>
          <t>Location Code</t>
        </is>
      </c>
      <c r="F4" s="29" t="inlineStr">
        <is>
          <t>Collector ID</t>
        </is>
      </c>
      <c r="G4" s="30" t="inlineStr">
        <is>
          <t>Collector Name</t>
        </is>
      </c>
      <c r="H4" s="29" t="inlineStr">
        <is>
          <t>Assigned Date</t>
        </is>
      </c>
      <c r="I4" s="29" t="inlineStr">
        <is>
          <t>Assignment Status</t>
        </is>
      </c>
      <c r="J4" s="29" t="inlineStr">
        <is>
          <t>Remarks</t>
        </is>
      </c>
      <c r="K4" s="30" t="inlineStr">
        <is>
          <t>Key</t>
        </is>
      </c>
    </row>
    <row r="5">
      <c r="A5" s="32" t="n"/>
      <c r="B5" s="32" t="n"/>
      <c r="C5" s="32" t="n"/>
      <c r="D5" s="33">
        <f>IFERROR(INDEX(tblCustomers[Customer Name],MATCH(tblAssignments[[#This Row],[Customer ID]],tblCustomers[Customer ID],0)),"CUSTOMER NOT FOUND")</f>
        <v/>
      </c>
      <c r="E5" s="33">
        <f>IFERROR(INDEX(tblCustomers[Location Code],MATCH(tblAssignments[[#This Row],[Customer ID]],tblCustomers[Customer ID],0)),"")</f>
        <v/>
      </c>
      <c r="F5" s="32" t="n"/>
      <c r="G5" s="33">
        <f>IFERROR(INDEX(tblCollectors[Collector Name],MATCH(tblAssignments[[#This Row],[Collector ID]],tblCollectors[Collector ID],0)),"COLLECTOR NOT FOUND")</f>
        <v/>
      </c>
      <c r="K5" s="33">
        <f>IF(OR(tblAssignments[[#This Row],[Assignment Status]]="Reassigned",tblAssignments[[#This Row],[Assignment Status]]="Cancelled"),"",tblAssignments[[#This Row],[Month]]&amp;"|"&amp;tblAssignments[[#This Row],[Customer ID]])</f>
        <v/>
      </c>
    </row>
    <row r="6">
      <c r="A6" s="32" t="n"/>
      <c r="B6" s="32" t="n"/>
      <c r="C6" s="32" t="n"/>
      <c r="F6" s="32" t="n"/>
    </row>
    <row r="7">
      <c r="A7" s="32" t="n"/>
      <c r="B7" s="32" t="n"/>
      <c r="C7" s="32" t="n"/>
      <c r="F7" s="32" t="n"/>
    </row>
    <row r="8">
      <c r="A8" s="32" t="n"/>
      <c r="B8" s="32" t="n"/>
      <c r="C8" s="32" t="n"/>
      <c r="F8" s="32" t="n"/>
    </row>
    <row r="9">
      <c r="A9" s="32" t="n"/>
      <c r="B9" s="32" t="n"/>
      <c r="C9" s="32" t="n"/>
      <c r="F9" s="32" t="n"/>
    </row>
    <row r="10">
      <c r="A10" s="32" t="n"/>
      <c r="B10" s="32" t="n"/>
      <c r="C10" s="32" t="n"/>
      <c r="F10" s="32" t="n"/>
    </row>
    <row r="11">
      <c r="A11" s="32" t="n"/>
      <c r="B11" s="32" t="n"/>
      <c r="C11" s="32" t="n"/>
      <c r="F11" s="32" t="n"/>
    </row>
    <row r="12">
      <c r="A12" s="32" t="n"/>
      <c r="B12" s="32" t="n"/>
      <c r="C12" s="32" t="n"/>
      <c r="F12" s="32" t="n"/>
    </row>
    <row r="13">
      <c r="A13" s="32" t="n"/>
      <c r="B13" s="32" t="n"/>
      <c r="C13" s="32" t="n"/>
      <c r="F13" s="32" t="n"/>
    </row>
    <row r="14">
      <c r="A14" s="32" t="n"/>
      <c r="B14" s="32" t="n"/>
      <c r="C14" s="32" t="n"/>
      <c r="F14" s="32" t="n"/>
    </row>
    <row r="15">
      <c r="A15" s="32" t="n"/>
      <c r="B15" s="32" t="n"/>
      <c r="C15" s="32" t="n"/>
      <c r="F15" s="32" t="n"/>
    </row>
    <row r="16">
      <c r="A16" s="32" t="n"/>
      <c r="B16" s="32" t="n"/>
      <c r="C16" s="32" t="n"/>
      <c r="F16" s="32" t="n"/>
    </row>
    <row r="17">
      <c r="A17" s="32" t="n"/>
      <c r="B17" s="32" t="n"/>
      <c r="C17" s="32" t="n"/>
      <c r="F17" s="32" t="n"/>
    </row>
    <row r="18">
      <c r="A18" s="32" t="n"/>
      <c r="B18" s="32" t="n"/>
      <c r="C18" s="32" t="n"/>
      <c r="F18" s="32" t="n"/>
    </row>
    <row r="19">
      <c r="A19" s="32" t="n"/>
      <c r="B19" s="32" t="n"/>
      <c r="C19" s="32" t="n"/>
      <c r="F19" s="32" t="n"/>
    </row>
    <row r="20">
      <c r="A20" s="32" t="n"/>
      <c r="B20" s="32" t="n"/>
      <c r="C20" s="32" t="n"/>
      <c r="F20" s="32" t="n"/>
    </row>
    <row r="21">
      <c r="A21" s="32" t="n"/>
      <c r="B21" s="32" t="n"/>
      <c r="C21" s="32" t="n"/>
      <c r="F21" s="32" t="n"/>
    </row>
    <row r="22">
      <c r="A22" s="32" t="n"/>
      <c r="B22" s="32" t="n"/>
      <c r="C22" s="32" t="n"/>
      <c r="F22" s="32" t="n"/>
    </row>
    <row r="23">
      <c r="A23" s="32" t="n"/>
      <c r="B23" s="32" t="n"/>
      <c r="C23" s="32" t="n"/>
      <c r="F23" s="32" t="n"/>
    </row>
    <row r="24">
      <c r="A24" s="32" t="n"/>
      <c r="B24" s="32" t="n"/>
      <c r="C24" s="32" t="n"/>
      <c r="F24" s="32" t="n"/>
    </row>
    <row r="25">
      <c r="A25" s="32" t="n"/>
      <c r="B25" s="32" t="n"/>
      <c r="C25" s="32" t="n"/>
      <c r="F25" s="32" t="n"/>
    </row>
    <row r="26">
      <c r="A26" s="32" t="n"/>
      <c r="B26" s="32" t="n"/>
      <c r="C26" s="32" t="n"/>
      <c r="F26" s="32" t="n"/>
    </row>
    <row r="27">
      <c r="A27" s="32" t="n"/>
      <c r="B27" s="32" t="n"/>
      <c r="C27" s="32" t="n"/>
      <c r="F27" s="32" t="n"/>
    </row>
    <row r="28">
      <c r="A28" s="32" t="n"/>
      <c r="B28" s="32" t="n"/>
      <c r="C28" s="32" t="n"/>
      <c r="F28" s="32" t="n"/>
    </row>
    <row r="29">
      <c r="A29" s="32" t="n"/>
      <c r="B29" s="32" t="n"/>
      <c r="C29" s="32" t="n"/>
      <c r="F29" s="32" t="n"/>
    </row>
    <row r="30">
      <c r="A30" s="32" t="n"/>
      <c r="B30" s="32" t="n"/>
      <c r="C30" s="32" t="n"/>
      <c r="F30" s="32" t="n"/>
    </row>
    <row r="31">
      <c r="A31" s="32" t="n"/>
      <c r="B31" s="32" t="n"/>
      <c r="C31" s="32" t="n"/>
      <c r="F31" s="32" t="n"/>
    </row>
    <row r="32">
      <c r="A32" s="32" t="n"/>
      <c r="B32" s="32" t="n"/>
      <c r="C32" s="32" t="n"/>
      <c r="F32" s="32" t="n"/>
    </row>
    <row r="33">
      <c r="A33" s="32" t="n"/>
      <c r="B33" s="32" t="n"/>
      <c r="C33" s="32" t="n"/>
      <c r="F33" s="32" t="n"/>
    </row>
    <row r="34">
      <c r="A34" s="32" t="n"/>
      <c r="B34" s="32" t="n"/>
      <c r="C34" s="32" t="n"/>
      <c r="F34" s="32" t="n"/>
    </row>
    <row r="35">
      <c r="A35" s="32" t="n"/>
      <c r="B35" s="32" t="n"/>
      <c r="C35" s="32" t="n"/>
      <c r="F35" s="32" t="n"/>
    </row>
    <row r="36">
      <c r="A36" s="32" t="n"/>
      <c r="B36" s="32" t="n"/>
      <c r="C36" s="32" t="n"/>
      <c r="F36" s="32" t="n"/>
    </row>
    <row r="37">
      <c r="A37" s="32" t="n"/>
      <c r="B37" s="32" t="n"/>
      <c r="C37" s="32" t="n"/>
      <c r="F37" s="32" t="n"/>
    </row>
    <row r="38">
      <c r="A38" s="32" t="n"/>
      <c r="B38" s="32" t="n"/>
      <c r="C38" s="32" t="n"/>
      <c r="F38" s="32" t="n"/>
    </row>
    <row r="39">
      <c r="A39" s="32" t="n"/>
      <c r="B39" s="32" t="n"/>
      <c r="C39" s="32" t="n"/>
      <c r="F39" s="32" t="n"/>
    </row>
    <row r="40">
      <c r="A40" s="32" t="n"/>
      <c r="B40" s="32" t="n"/>
      <c r="C40" s="32" t="n"/>
      <c r="F40" s="32" t="n"/>
    </row>
    <row r="41">
      <c r="A41" s="32" t="n"/>
      <c r="B41" s="32" t="n"/>
      <c r="C41" s="32" t="n"/>
      <c r="F41" s="32" t="n"/>
    </row>
    <row r="42">
      <c r="A42" s="32" t="n"/>
      <c r="B42" s="32" t="n"/>
      <c r="C42" s="32" t="n"/>
      <c r="F42" s="32" t="n"/>
    </row>
    <row r="43">
      <c r="A43" s="32" t="n"/>
      <c r="B43" s="32" t="n"/>
      <c r="C43" s="32" t="n"/>
      <c r="F43" s="32" t="n"/>
    </row>
    <row r="44">
      <c r="A44" s="32" t="n"/>
      <c r="B44" s="32" t="n"/>
      <c r="C44" s="32" t="n"/>
      <c r="F44" s="32" t="n"/>
    </row>
    <row r="45">
      <c r="A45" s="32" t="n"/>
      <c r="B45" s="32" t="n"/>
      <c r="C45" s="32" t="n"/>
      <c r="F45" s="32" t="n"/>
    </row>
    <row r="46">
      <c r="A46" s="32" t="n"/>
      <c r="B46" s="32" t="n"/>
      <c r="C46" s="32" t="n"/>
      <c r="F46" s="32" t="n"/>
    </row>
    <row r="47">
      <c r="A47" s="32" t="n"/>
      <c r="B47" s="32" t="n"/>
      <c r="C47" s="32" t="n"/>
      <c r="F47" s="32" t="n"/>
    </row>
    <row r="48">
      <c r="A48" s="32" t="n"/>
      <c r="B48" s="32" t="n"/>
      <c r="C48" s="32" t="n"/>
      <c r="F48" s="32" t="n"/>
    </row>
    <row r="49">
      <c r="A49" s="32" t="n"/>
      <c r="B49" s="32" t="n"/>
      <c r="C49" s="32" t="n"/>
      <c r="F49" s="32" t="n"/>
    </row>
    <row r="50">
      <c r="A50" s="32" t="n"/>
      <c r="B50" s="32" t="n"/>
      <c r="C50" s="32" t="n"/>
      <c r="F50" s="32" t="n"/>
    </row>
    <row r="51">
      <c r="A51" s="32" t="n"/>
      <c r="B51" s="32" t="n"/>
      <c r="C51" s="32" t="n"/>
      <c r="F51" s="32" t="n"/>
    </row>
    <row r="52">
      <c r="A52" s="32" t="n"/>
      <c r="B52" s="32" t="n"/>
      <c r="C52" s="32" t="n"/>
      <c r="F52" s="32" t="n"/>
    </row>
    <row r="53">
      <c r="A53" s="32" t="n"/>
      <c r="B53" s="32" t="n"/>
      <c r="C53" s="32" t="n"/>
      <c r="F53" s="32" t="n"/>
    </row>
    <row r="54">
      <c r="A54" s="32" t="n"/>
      <c r="B54" s="32" t="n"/>
      <c r="C54" s="32" t="n"/>
      <c r="F54" s="32" t="n"/>
    </row>
    <row r="55">
      <c r="A55" s="32" t="n"/>
      <c r="B55" s="32" t="n"/>
      <c r="C55" s="32" t="n"/>
      <c r="F55" s="32" t="n"/>
    </row>
    <row r="56">
      <c r="A56" s="32" t="n"/>
      <c r="B56" s="32" t="n"/>
      <c r="C56" s="32" t="n"/>
      <c r="F56" s="32" t="n"/>
    </row>
    <row r="57">
      <c r="A57" s="32" t="n"/>
      <c r="B57" s="32" t="n"/>
      <c r="C57" s="32" t="n"/>
      <c r="F57" s="32" t="n"/>
    </row>
    <row r="58">
      <c r="A58" s="32" t="n"/>
      <c r="B58" s="32" t="n"/>
      <c r="C58" s="32" t="n"/>
      <c r="F58" s="32" t="n"/>
    </row>
    <row r="59">
      <c r="A59" s="32" t="n"/>
      <c r="B59" s="32" t="n"/>
      <c r="C59" s="32" t="n"/>
      <c r="F59" s="32" t="n"/>
    </row>
    <row r="60">
      <c r="A60" s="32" t="n"/>
      <c r="B60" s="32" t="n"/>
      <c r="C60" s="32" t="n"/>
      <c r="F60" s="32" t="n"/>
    </row>
    <row r="61">
      <c r="A61" s="32" t="n"/>
      <c r="B61" s="32" t="n"/>
      <c r="C61" s="32" t="n"/>
      <c r="F61" s="32" t="n"/>
    </row>
    <row r="62">
      <c r="A62" s="32" t="n"/>
      <c r="B62" s="32" t="n"/>
      <c r="C62" s="32" t="n"/>
      <c r="F62" s="32" t="n"/>
    </row>
    <row r="63">
      <c r="A63" s="32" t="n"/>
      <c r="B63" s="32" t="n"/>
      <c r="C63" s="32" t="n"/>
      <c r="F63" s="32" t="n"/>
    </row>
    <row r="64">
      <c r="A64" s="32" t="n"/>
      <c r="B64" s="32" t="n"/>
      <c r="C64" s="32" t="n"/>
      <c r="F64" s="32" t="n"/>
    </row>
    <row r="65">
      <c r="A65" s="32" t="n"/>
      <c r="B65" s="32" t="n"/>
      <c r="C65" s="32" t="n"/>
      <c r="F65" s="32" t="n"/>
    </row>
    <row r="66">
      <c r="A66" s="32" t="n"/>
      <c r="B66" s="32" t="n"/>
      <c r="C66" s="32" t="n"/>
      <c r="F66" s="32" t="n"/>
    </row>
    <row r="67">
      <c r="A67" s="32" t="n"/>
      <c r="B67" s="32" t="n"/>
      <c r="C67" s="32" t="n"/>
      <c r="F67" s="32" t="n"/>
    </row>
    <row r="68">
      <c r="A68" s="32" t="n"/>
      <c r="B68" s="32" t="n"/>
      <c r="C68" s="32" t="n"/>
      <c r="F68" s="32" t="n"/>
    </row>
    <row r="69">
      <c r="A69" s="32" t="n"/>
      <c r="B69" s="32" t="n"/>
      <c r="C69" s="32" t="n"/>
      <c r="F69" s="32" t="n"/>
    </row>
    <row r="70">
      <c r="A70" s="32" t="n"/>
      <c r="B70" s="32" t="n"/>
      <c r="C70" s="32" t="n"/>
      <c r="F70" s="32" t="n"/>
    </row>
    <row r="71">
      <c r="A71" s="32" t="n"/>
      <c r="B71" s="32" t="n"/>
      <c r="C71" s="32" t="n"/>
      <c r="F71" s="32" t="n"/>
    </row>
    <row r="72">
      <c r="A72" s="32" t="n"/>
      <c r="B72" s="32" t="n"/>
      <c r="C72" s="32" t="n"/>
      <c r="F72" s="32" t="n"/>
    </row>
    <row r="73">
      <c r="A73" s="32" t="n"/>
      <c r="B73" s="32" t="n"/>
      <c r="C73" s="32" t="n"/>
      <c r="F73" s="32" t="n"/>
    </row>
    <row r="74">
      <c r="A74" s="32" t="n"/>
      <c r="B74" s="32" t="n"/>
      <c r="C74" s="32" t="n"/>
      <c r="F74" s="32" t="n"/>
    </row>
    <row r="75">
      <c r="A75" s="32" t="n"/>
      <c r="B75" s="32" t="n"/>
      <c r="C75" s="32" t="n"/>
      <c r="F75" s="32" t="n"/>
    </row>
    <row r="76">
      <c r="A76" s="32" t="n"/>
      <c r="B76" s="32" t="n"/>
      <c r="C76" s="32" t="n"/>
      <c r="F76" s="32" t="n"/>
    </row>
    <row r="77">
      <c r="A77" s="32" t="n"/>
      <c r="B77" s="32" t="n"/>
      <c r="C77" s="32" t="n"/>
      <c r="F77" s="32" t="n"/>
    </row>
    <row r="78">
      <c r="A78" s="32" t="n"/>
      <c r="B78" s="32" t="n"/>
      <c r="C78" s="32" t="n"/>
      <c r="F78" s="32" t="n"/>
    </row>
    <row r="79">
      <c r="A79" s="32" t="n"/>
      <c r="B79" s="32" t="n"/>
      <c r="C79" s="32" t="n"/>
      <c r="F79" s="32" t="n"/>
    </row>
    <row r="80">
      <c r="A80" s="32" t="n"/>
      <c r="B80" s="32" t="n"/>
      <c r="C80" s="32" t="n"/>
      <c r="F80" s="32" t="n"/>
    </row>
    <row r="81">
      <c r="A81" s="32" t="n"/>
      <c r="B81" s="32" t="n"/>
      <c r="C81" s="32" t="n"/>
      <c r="F81" s="32" t="n"/>
    </row>
    <row r="82">
      <c r="A82" s="32" t="n"/>
      <c r="B82" s="32" t="n"/>
      <c r="C82" s="32" t="n"/>
      <c r="F82" s="32" t="n"/>
    </row>
    <row r="83">
      <c r="A83" s="32" t="n"/>
      <c r="B83" s="32" t="n"/>
      <c r="C83" s="32" t="n"/>
      <c r="F83" s="32" t="n"/>
    </row>
    <row r="84">
      <c r="A84" s="32" t="n"/>
      <c r="B84" s="32" t="n"/>
      <c r="C84" s="32" t="n"/>
      <c r="F84" s="32" t="n"/>
    </row>
    <row r="85">
      <c r="A85" s="32" t="n"/>
      <c r="B85" s="32" t="n"/>
      <c r="C85" s="32" t="n"/>
      <c r="F85" s="32" t="n"/>
    </row>
    <row r="86">
      <c r="A86" s="32" t="n"/>
      <c r="B86" s="32" t="n"/>
      <c r="C86" s="32" t="n"/>
      <c r="F86" s="32" t="n"/>
    </row>
    <row r="87">
      <c r="A87" s="32" t="n"/>
      <c r="B87" s="32" t="n"/>
      <c r="C87" s="32" t="n"/>
      <c r="F87" s="32" t="n"/>
    </row>
    <row r="88">
      <c r="A88" s="32" t="n"/>
      <c r="B88" s="32" t="n"/>
      <c r="C88" s="32" t="n"/>
      <c r="F88" s="32" t="n"/>
    </row>
    <row r="89">
      <c r="A89" s="32" t="n"/>
      <c r="B89" s="32" t="n"/>
      <c r="C89" s="32" t="n"/>
      <c r="F89" s="32" t="n"/>
    </row>
    <row r="90">
      <c r="A90" s="32" t="n"/>
      <c r="B90" s="32" t="n"/>
      <c r="C90" s="32" t="n"/>
      <c r="F90" s="32" t="n"/>
    </row>
    <row r="91">
      <c r="A91" s="32" t="n"/>
      <c r="B91" s="32" t="n"/>
      <c r="C91" s="32" t="n"/>
      <c r="F91" s="32" t="n"/>
    </row>
    <row r="92">
      <c r="A92" s="32" t="n"/>
      <c r="B92" s="32" t="n"/>
      <c r="C92" s="32" t="n"/>
      <c r="F92" s="32" t="n"/>
    </row>
    <row r="93">
      <c r="A93" s="32" t="n"/>
      <c r="B93" s="32" t="n"/>
      <c r="C93" s="32" t="n"/>
      <c r="F93" s="32" t="n"/>
    </row>
    <row r="94">
      <c r="A94" s="32" t="n"/>
      <c r="B94" s="32" t="n"/>
      <c r="C94" s="32" t="n"/>
      <c r="F94" s="32" t="n"/>
    </row>
    <row r="95">
      <c r="A95" s="32" t="n"/>
      <c r="B95" s="32" t="n"/>
      <c r="C95" s="32" t="n"/>
      <c r="F95" s="32" t="n"/>
    </row>
    <row r="96">
      <c r="A96" s="32" t="n"/>
      <c r="B96" s="32" t="n"/>
      <c r="C96" s="32" t="n"/>
      <c r="F96" s="32" t="n"/>
    </row>
    <row r="97">
      <c r="A97" s="32" t="n"/>
      <c r="B97" s="32" t="n"/>
      <c r="C97" s="32" t="n"/>
      <c r="F97" s="32" t="n"/>
    </row>
    <row r="98">
      <c r="A98" s="32" t="n"/>
      <c r="B98" s="32" t="n"/>
      <c r="C98" s="32" t="n"/>
      <c r="F98" s="32" t="n"/>
    </row>
    <row r="99">
      <c r="A99" s="32" t="n"/>
      <c r="B99" s="32" t="n"/>
      <c r="C99" s="32" t="n"/>
      <c r="F99" s="32" t="n"/>
    </row>
    <row r="100">
      <c r="A100" s="32" t="n"/>
      <c r="B100" s="32" t="n"/>
      <c r="C100" s="32" t="n"/>
      <c r="F100" s="32" t="n"/>
    </row>
    <row r="101">
      <c r="A101" s="32" t="n"/>
      <c r="B101" s="32" t="n"/>
      <c r="C101" s="32" t="n"/>
      <c r="F101" s="32" t="n"/>
    </row>
    <row r="102">
      <c r="A102" s="32" t="n"/>
      <c r="B102" s="32" t="n"/>
      <c r="C102" s="32" t="n"/>
      <c r="F102" s="32" t="n"/>
    </row>
    <row r="103">
      <c r="A103" s="32" t="n"/>
      <c r="B103" s="32" t="n"/>
      <c r="C103" s="32" t="n"/>
      <c r="F103" s="32" t="n"/>
    </row>
    <row r="104">
      <c r="A104" s="32" t="n"/>
      <c r="B104" s="32" t="n"/>
      <c r="C104" s="32" t="n"/>
      <c r="F104" s="32" t="n"/>
    </row>
    <row r="105">
      <c r="A105" s="32" t="n"/>
      <c r="B105" s="32" t="n"/>
      <c r="C105" s="32" t="n"/>
      <c r="F105" s="32" t="n"/>
    </row>
    <row r="106">
      <c r="A106" s="32" t="n"/>
      <c r="B106" s="32" t="n"/>
      <c r="C106" s="32" t="n"/>
      <c r="F106" s="32" t="n"/>
    </row>
    <row r="107">
      <c r="A107" s="32" t="n"/>
      <c r="B107" s="32" t="n"/>
      <c r="C107" s="32" t="n"/>
      <c r="F107" s="32" t="n"/>
    </row>
    <row r="108">
      <c r="A108" s="32" t="n"/>
      <c r="B108" s="32" t="n"/>
      <c r="C108" s="32" t="n"/>
      <c r="F108" s="32" t="n"/>
    </row>
    <row r="109">
      <c r="A109" s="32" t="n"/>
      <c r="B109" s="32" t="n"/>
      <c r="C109" s="32" t="n"/>
      <c r="F109" s="32" t="n"/>
    </row>
    <row r="110">
      <c r="A110" s="32" t="n"/>
      <c r="B110" s="32" t="n"/>
      <c r="C110" s="32" t="n"/>
      <c r="F110" s="32" t="n"/>
    </row>
    <row r="111">
      <c r="A111" s="32" t="n"/>
      <c r="B111" s="32" t="n"/>
      <c r="C111" s="32" t="n"/>
      <c r="F111" s="32" t="n"/>
    </row>
    <row r="112">
      <c r="A112" s="32" t="n"/>
      <c r="B112" s="32" t="n"/>
      <c r="C112" s="32" t="n"/>
      <c r="F112" s="32" t="n"/>
    </row>
    <row r="113">
      <c r="A113" s="32" t="n"/>
      <c r="B113" s="32" t="n"/>
      <c r="C113" s="32" t="n"/>
      <c r="F113" s="32" t="n"/>
    </row>
    <row r="114">
      <c r="A114" s="32" t="n"/>
      <c r="B114" s="32" t="n"/>
      <c r="C114" s="32" t="n"/>
      <c r="F114" s="32" t="n"/>
    </row>
    <row r="115">
      <c r="A115" s="32" t="n"/>
      <c r="B115" s="32" t="n"/>
      <c r="C115" s="32" t="n"/>
      <c r="F115" s="32" t="n"/>
    </row>
    <row r="116">
      <c r="A116" s="32" t="n"/>
      <c r="B116" s="32" t="n"/>
      <c r="C116" s="32" t="n"/>
      <c r="F116" s="32" t="n"/>
    </row>
    <row r="117">
      <c r="A117" s="32" t="n"/>
      <c r="B117" s="32" t="n"/>
      <c r="C117" s="32" t="n"/>
      <c r="F117" s="32" t="n"/>
    </row>
    <row r="118">
      <c r="A118" s="32" t="n"/>
      <c r="B118" s="32" t="n"/>
      <c r="C118" s="32" t="n"/>
      <c r="F118" s="32" t="n"/>
    </row>
    <row r="119">
      <c r="A119" s="32" t="n"/>
      <c r="B119" s="32" t="n"/>
      <c r="C119" s="32" t="n"/>
      <c r="F119" s="32" t="n"/>
    </row>
    <row r="120">
      <c r="A120" s="32" t="n"/>
      <c r="B120" s="32" t="n"/>
      <c r="C120" s="32" t="n"/>
      <c r="F120" s="32" t="n"/>
    </row>
    <row r="121">
      <c r="A121" s="32" t="n"/>
      <c r="B121" s="32" t="n"/>
      <c r="C121" s="32" t="n"/>
      <c r="F121" s="32" t="n"/>
    </row>
    <row r="122">
      <c r="A122" s="32" t="n"/>
      <c r="B122" s="32" t="n"/>
      <c r="C122" s="32" t="n"/>
      <c r="F122" s="32" t="n"/>
    </row>
    <row r="123">
      <c r="A123" s="32" t="n"/>
      <c r="B123" s="32" t="n"/>
      <c r="C123" s="32" t="n"/>
      <c r="F123" s="32" t="n"/>
    </row>
    <row r="124">
      <c r="A124" s="32" t="n"/>
      <c r="B124" s="32" t="n"/>
      <c r="C124" s="32" t="n"/>
      <c r="F124" s="32" t="n"/>
    </row>
    <row r="125">
      <c r="A125" s="32" t="n"/>
      <c r="B125" s="32" t="n"/>
      <c r="C125" s="32" t="n"/>
      <c r="F125" s="32" t="n"/>
    </row>
    <row r="126">
      <c r="A126" s="32" t="n"/>
      <c r="B126" s="32" t="n"/>
      <c r="C126" s="32" t="n"/>
      <c r="F126" s="32" t="n"/>
    </row>
    <row r="127">
      <c r="A127" s="32" t="n"/>
      <c r="B127" s="32" t="n"/>
      <c r="C127" s="32" t="n"/>
      <c r="F127" s="32" t="n"/>
    </row>
    <row r="128">
      <c r="A128" s="32" t="n"/>
      <c r="B128" s="32" t="n"/>
      <c r="C128" s="32" t="n"/>
      <c r="F128" s="32" t="n"/>
    </row>
    <row r="129">
      <c r="A129" s="32" t="n"/>
      <c r="B129" s="32" t="n"/>
      <c r="C129" s="32" t="n"/>
      <c r="F129" s="32" t="n"/>
    </row>
    <row r="130">
      <c r="A130" s="32" t="n"/>
      <c r="B130" s="32" t="n"/>
      <c r="C130" s="32" t="n"/>
      <c r="F130" s="32" t="n"/>
    </row>
    <row r="131">
      <c r="A131" s="32" t="n"/>
      <c r="B131" s="32" t="n"/>
      <c r="C131" s="32" t="n"/>
      <c r="F131" s="32" t="n"/>
    </row>
    <row r="132">
      <c r="A132" s="32" t="n"/>
      <c r="B132" s="32" t="n"/>
      <c r="C132" s="32" t="n"/>
      <c r="F132" s="32" t="n"/>
    </row>
    <row r="133">
      <c r="A133" s="32" t="n"/>
      <c r="B133" s="32" t="n"/>
      <c r="C133" s="32" t="n"/>
      <c r="F133" s="32" t="n"/>
    </row>
    <row r="134">
      <c r="A134" s="32" t="n"/>
      <c r="B134" s="32" t="n"/>
      <c r="C134" s="32" t="n"/>
      <c r="F134" s="32" t="n"/>
    </row>
    <row r="135">
      <c r="A135" s="32" t="n"/>
      <c r="B135" s="32" t="n"/>
      <c r="C135" s="32" t="n"/>
      <c r="F135" s="32" t="n"/>
    </row>
    <row r="136">
      <c r="A136" s="32" t="n"/>
      <c r="B136" s="32" t="n"/>
      <c r="C136" s="32" t="n"/>
      <c r="F136" s="32" t="n"/>
    </row>
    <row r="137">
      <c r="A137" s="32" t="n"/>
      <c r="B137" s="32" t="n"/>
      <c r="C137" s="32" t="n"/>
      <c r="F137" s="32" t="n"/>
    </row>
    <row r="138">
      <c r="A138" s="32" t="n"/>
      <c r="B138" s="32" t="n"/>
      <c r="C138" s="32" t="n"/>
      <c r="F138" s="32" t="n"/>
    </row>
    <row r="139">
      <c r="A139" s="32" t="n"/>
      <c r="B139" s="32" t="n"/>
      <c r="C139" s="32" t="n"/>
      <c r="F139" s="32" t="n"/>
    </row>
    <row r="140">
      <c r="A140" s="32" t="n"/>
      <c r="B140" s="32" t="n"/>
      <c r="C140" s="32" t="n"/>
      <c r="F140" s="32" t="n"/>
    </row>
    <row r="141">
      <c r="A141" s="32" t="n"/>
      <c r="B141" s="32" t="n"/>
      <c r="C141" s="32" t="n"/>
      <c r="F141" s="32" t="n"/>
    </row>
    <row r="142">
      <c r="A142" s="32" t="n"/>
      <c r="B142" s="32" t="n"/>
      <c r="C142" s="32" t="n"/>
      <c r="F142" s="32" t="n"/>
    </row>
    <row r="143">
      <c r="A143" s="32" t="n"/>
      <c r="B143" s="32" t="n"/>
      <c r="C143" s="32" t="n"/>
      <c r="F143" s="32" t="n"/>
    </row>
    <row r="144">
      <c r="A144" s="32" t="n"/>
      <c r="B144" s="32" t="n"/>
      <c r="C144" s="32" t="n"/>
      <c r="F144" s="32" t="n"/>
    </row>
    <row r="145">
      <c r="A145" s="32" t="n"/>
      <c r="B145" s="32" t="n"/>
      <c r="C145" s="32" t="n"/>
      <c r="F145" s="32" t="n"/>
    </row>
    <row r="146">
      <c r="A146" s="32" t="n"/>
      <c r="B146" s="32" t="n"/>
      <c r="C146" s="32" t="n"/>
      <c r="F146" s="32" t="n"/>
    </row>
    <row r="147">
      <c r="A147" s="32" t="n"/>
      <c r="B147" s="32" t="n"/>
      <c r="C147" s="32" t="n"/>
      <c r="F147" s="32" t="n"/>
    </row>
    <row r="148">
      <c r="A148" s="32" t="n"/>
      <c r="B148" s="32" t="n"/>
      <c r="C148" s="32" t="n"/>
      <c r="F148" s="32" t="n"/>
    </row>
    <row r="149">
      <c r="A149" s="32" t="n"/>
      <c r="B149" s="32" t="n"/>
      <c r="C149" s="32" t="n"/>
      <c r="F149" s="32" t="n"/>
    </row>
    <row r="150">
      <c r="A150" s="32" t="n"/>
      <c r="B150" s="32" t="n"/>
      <c r="C150" s="32" t="n"/>
      <c r="F150" s="32" t="n"/>
    </row>
    <row r="151">
      <c r="A151" s="32" t="n"/>
      <c r="B151" s="32" t="n"/>
      <c r="C151" s="32" t="n"/>
      <c r="F151" s="32" t="n"/>
    </row>
    <row r="152">
      <c r="A152" s="32" t="n"/>
      <c r="B152" s="32" t="n"/>
      <c r="C152" s="32" t="n"/>
      <c r="F152" s="32" t="n"/>
    </row>
    <row r="153">
      <c r="A153" s="32" t="n"/>
      <c r="B153" s="32" t="n"/>
      <c r="C153" s="32" t="n"/>
      <c r="F153" s="32" t="n"/>
    </row>
    <row r="154">
      <c r="A154" s="32" t="n"/>
      <c r="B154" s="32" t="n"/>
      <c r="C154" s="32" t="n"/>
      <c r="F154" s="32" t="n"/>
    </row>
    <row r="155">
      <c r="A155" s="32" t="n"/>
      <c r="B155" s="32" t="n"/>
      <c r="C155" s="32" t="n"/>
      <c r="F155" s="32" t="n"/>
    </row>
    <row r="156">
      <c r="A156" s="32" t="n"/>
      <c r="B156" s="32" t="n"/>
      <c r="C156" s="32" t="n"/>
      <c r="F156" s="32" t="n"/>
    </row>
    <row r="157">
      <c r="A157" s="32" t="n"/>
      <c r="B157" s="32" t="n"/>
      <c r="C157" s="32" t="n"/>
      <c r="F157" s="32" t="n"/>
    </row>
    <row r="158">
      <c r="A158" s="32" t="n"/>
      <c r="B158" s="32" t="n"/>
      <c r="C158" s="32" t="n"/>
      <c r="F158" s="32" t="n"/>
    </row>
    <row r="159">
      <c r="A159" s="32" t="n"/>
      <c r="B159" s="32" t="n"/>
      <c r="C159" s="32" t="n"/>
      <c r="F159" s="32" t="n"/>
    </row>
    <row r="160">
      <c r="A160" s="32" t="n"/>
      <c r="B160" s="32" t="n"/>
      <c r="C160" s="32" t="n"/>
      <c r="F160" s="32" t="n"/>
    </row>
    <row r="161">
      <c r="A161" s="32" t="n"/>
      <c r="B161" s="32" t="n"/>
      <c r="C161" s="32" t="n"/>
      <c r="F161" s="32" t="n"/>
    </row>
    <row r="162">
      <c r="A162" s="32" t="n"/>
      <c r="B162" s="32" t="n"/>
      <c r="C162" s="32" t="n"/>
      <c r="F162" s="32" t="n"/>
    </row>
    <row r="163">
      <c r="A163" s="32" t="n"/>
      <c r="B163" s="32" t="n"/>
      <c r="C163" s="32" t="n"/>
      <c r="F163" s="32" t="n"/>
    </row>
    <row r="164">
      <c r="A164" s="32" t="n"/>
      <c r="B164" s="32" t="n"/>
      <c r="C164" s="32" t="n"/>
      <c r="F164" s="32" t="n"/>
    </row>
    <row r="165">
      <c r="A165" s="32" t="n"/>
      <c r="B165" s="32" t="n"/>
      <c r="C165" s="32" t="n"/>
      <c r="F165" s="32" t="n"/>
    </row>
    <row r="166">
      <c r="A166" s="32" t="n"/>
      <c r="B166" s="32" t="n"/>
      <c r="C166" s="32" t="n"/>
      <c r="F166" s="32" t="n"/>
    </row>
    <row r="167">
      <c r="A167" s="32" t="n"/>
      <c r="B167" s="32" t="n"/>
      <c r="C167" s="32" t="n"/>
      <c r="F167" s="32" t="n"/>
    </row>
    <row r="168">
      <c r="A168" s="32" t="n"/>
      <c r="B168" s="32" t="n"/>
      <c r="C168" s="32" t="n"/>
      <c r="F168" s="32" t="n"/>
    </row>
    <row r="169">
      <c r="A169" s="32" t="n"/>
      <c r="B169" s="32" t="n"/>
      <c r="C169" s="32" t="n"/>
      <c r="F169" s="32" t="n"/>
    </row>
    <row r="170">
      <c r="A170" s="32" t="n"/>
      <c r="B170" s="32" t="n"/>
      <c r="C170" s="32" t="n"/>
      <c r="F170" s="32" t="n"/>
    </row>
    <row r="171">
      <c r="A171" s="32" t="n"/>
      <c r="B171" s="32" t="n"/>
      <c r="C171" s="32" t="n"/>
      <c r="F171" s="32" t="n"/>
    </row>
    <row r="172">
      <c r="A172" s="32" t="n"/>
      <c r="B172" s="32" t="n"/>
      <c r="C172" s="32" t="n"/>
      <c r="F172" s="32" t="n"/>
    </row>
    <row r="173">
      <c r="A173" s="32" t="n"/>
      <c r="B173" s="32" t="n"/>
      <c r="C173" s="32" t="n"/>
      <c r="F173" s="32" t="n"/>
    </row>
    <row r="174">
      <c r="A174" s="32" t="n"/>
      <c r="B174" s="32" t="n"/>
      <c r="C174" s="32" t="n"/>
      <c r="F174" s="32" t="n"/>
    </row>
    <row r="175">
      <c r="A175" s="32" t="n"/>
      <c r="B175" s="32" t="n"/>
      <c r="C175" s="32" t="n"/>
      <c r="F175" s="32" t="n"/>
    </row>
    <row r="176">
      <c r="A176" s="32" t="n"/>
      <c r="B176" s="32" t="n"/>
      <c r="C176" s="32" t="n"/>
      <c r="F176" s="32" t="n"/>
    </row>
    <row r="177">
      <c r="A177" s="32" t="n"/>
      <c r="B177" s="32" t="n"/>
      <c r="C177" s="32" t="n"/>
      <c r="F177" s="32" t="n"/>
    </row>
    <row r="178">
      <c r="A178" s="32" t="n"/>
      <c r="B178" s="32" t="n"/>
      <c r="C178" s="32" t="n"/>
      <c r="F178" s="32" t="n"/>
    </row>
    <row r="179">
      <c r="A179" s="32" t="n"/>
      <c r="B179" s="32" t="n"/>
      <c r="C179" s="32" t="n"/>
      <c r="F179" s="32" t="n"/>
    </row>
    <row r="180">
      <c r="A180" s="32" t="n"/>
      <c r="B180" s="32" t="n"/>
      <c r="C180" s="32" t="n"/>
      <c r="F180" s="32" t="n"/>
    </row>
    <row r="181">
      <c r="A181" s="32" t="n"/>
      <c r="B181" s="32" t="n"/>
      <c r="C181" s="32" t="n"/>
      <c r="F181" s="32" t="n"/>
    </row>
    <row r="182">
      <c r="A182" s="32" t="n"/>
      <c r="B182" s="32" t="n"/>
      <c r="C182" s="32" t="n"/>
      <c r="F182" s="32" t="n"/>
    </row>
    <row r="183">
      <c r="A183" s="32" t="n"/>
      <c r="B183" s="32" t="n"/>
      <c r="C183" s="32" t="n"/>
      <c r="F183" s="32" t="n"/>
    </row>
    <row r="184">
      <c r="A184" s="32" t="n"/>
      <c r="B184" s="32" t="n"/>
      <c r="C184" s="32" t="n"/>
      <c r="F184" s="32" t="n"/>
    </row>
    <row r="185">
      <c r="A185" s="32" t="n"/>
      <c r="B185" s="32" t="n"/>
      <c r="C185" s="32" t="n"/>
      <c r="F185" s="32" t="n"/>
    </row>
    <row r="186">
      <c r="A186" s="32" t="n"/>
      <c r="B186" s="32" t="n"/>
      <c r="C186" s="32" t="n"/>
      <c r="F186" s="32" t="n"/>
    </row>
    <row r="187">
      <c r="A187" s="32" t="n"/>
      <c r="B187" s="32" t="n"/>
      <c r="C187" s="32" t="n"/>
      <c r="F187" s="32" t="n"/>
    </row>
    <row r="188">
      <c r="A188" s="32" t="n"/>
      <c r="B188" s="32" t="n"/>
      <c r="C188" s="32" t="n"/>
      <c r="F188" s="32" t="n"/>
    </row>
    <row r="189">
      <c r="A189" s="32" t="n"/>
      <c r="B189" s="32" t="n"/>
      <c r="C189" s="32" t="n"/>
      <c r="F189" s="32" t="n"/>
    </row>
    <row r="190">
      <c r="A190" s="32" t="n"/>
      <c r="B190" s="32" t="n"/>
      <c r="C190" s="32" t="n"/>
      <c r="F190" s="32" t="n"/>
    </row>
    <row r="191">
      <c r="A191" s="32" t="n"/>
      <c r="B191" s="32" t="n"/>
      <c r="C191" s="32" t="n"/>
      <c r="F191" s="32" t="n"/>
    </row>
    <row r="192">
      <c r="A192" s="32" t="n"/>
      <c r="B192" s="32" t="n"/>
      <c r="C192" s="32" t="n"/>
      <c r="F192" s="32" t="n"/>
    </row>
    <row r="193">
      <c r="A193" s="32" t="n"/>
      <c r="B193" s="32" t="n"/>
      <c r="C193" s="32" t="n"/>
      <c r="F193" s="32" t="n"/>
    </row>
    <row r="194">
      <c r="A194" s="32" t="n"/>
      <c r="B194" s="32" t="n"/>
      <c r="C194" s="32" t="n"/>
      <c r="F194" s="32" t="n"/>
    </row>
    <row r="195">
      <c r="A195" s="32" t="n"/>
      <c r="B195" s="32" t="n"/>
      <c r="C195" s="32" t="n"/>
      <c r="F195" s="32" t="n"/>
    </row>
    <row r="196">
      <c r="A196" s="32" t="n"/>
      <c r="B196" s="32" t="n"/>
      <c r="C196" s="32" t="n"/>
      <c r="F196" s="32" t="n"/>
    </row>
    <row r="197">
      <c r="A197" s="32" t="n"/>
      <c r="B197" s="32" t="n"/>
      <c r="C197" s="32" t="n"/>
      <c r="F197" s="32" t="n"/>
    </row>
    <row r="198">
      <c r="A198" s="32" t="n"/>
      <c r="B198" s="32" t="n"/>
      <c r="C198" s="32" t="n"/>
      <c r="F198" s="32" t="n"/>
    </row>
    <row r="199">
      <c r="A199" s="32" t="n"/>
      <c r="B199" s="32" t="n"/>
      <c r="C199" s="32" t="n"/>
      <c r="F199" s="32" t="n"/>
    </row>
    <row r="200">
      <c r="A200" s="32" t="n"/>
      <c r="B200" s="32" t="n"/>
      <c r="C200" s="32" t="n"/>
      <c r="F200" s="32" t="n"/>
    </row>
    <row r="201">
      <c r="A201" s="32" t="n"/>
      <c r="B201" s="32" t="n"/>
      <c r="C201" s="32" t="n"/>
      <c r="F201" s="32" t="n"/>
    </row>
    <row r="202">
      <c r="A202" s="32" t="n"/>
      <c r="B202" s="32" t="n"/>
      <c r="C202" s="32" t="n"/>
      <c r="F202" s="32" t="n"/>
    </row>
    <row r="203">
      <c r="A203" s="32" t="n"/>
      <c r="B203" s="32" t="n"/>
      <c r="C203" s="32" t="n"/>
      <c r="F203" s="32" t="n"/>
    </row>
    <row r="204">
      <c r="A204" s="32" t="n"/>
      <c r="B204" s="32" t="n"/>
      <c r="C204" s="32" t="n"/>
      <c r="F204" s="32" t="n"/>
    </row>
  </sheetData>
  <dataValidations count="4">
    <dataValidation sqref="B5:B60004" showDropDown="0" showInputMessage="0" showErrorMessage="1" allowBlank="1" errorTitle="CITY LINKS" error="Choose a month in the format YYYY-MM, e.g. 2026-10." type="list">
      <formula1>L_Months</formula1>
    </dataValidation>
    <dataValidation sqref="F5:F60004" showDropDown="0" showInputMessage="0" showErrorMessage="1" allowBlank="1" errorTitle="CITY LINKS" error="This Collector ID does not exist. Add it in COLLECTORS first." type="list">
      <formula1>L_CollectorIDs</formula1>
    </dataValidation>
    <dataValidation sqref="H5:H60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I5:I60004" showDropDown="0" showInputMessage="0" showErrorMessage="1" allowBlank="1" errorTitle="CITY LINKS" error="Choose a status from the list." type="list">
      <formula1>L_AssignStatus</formula1>
    </dataValidation>
  </dataValidations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4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  <col width="14" customWidth="1" min="10" max="10"/>
  </cols>
  <sheetData>
    <row r="1">
      <c r="A1" s="13" t="inlineStr">
        <is>
          <t>REPORTS</t>
        </is>
      </c>
      <c r="J1" s="9" t="inlineStr">
        <is>
          <t>◄ HOME</t>
        </is>
      </c>
    </row>
    <row r="2">
      <c r="A2" s="16" t="inlineStr">
        <is>
          <t>Monthly comparison and street-wise report. Full report packs (Excel) are exported by the menu program.</t>
        </is>
      </c>
    </row>
    <row r="4">
      <c r="B4" s="7" t="inlineStr">
        <is>
          <t>MONTHLY COMPARISON</t>
        </is>
      </c>
      <c r="C4" s="8" t="n"/>
      <c r="D4" s="8" t="n"/>
      <c r="E4" s="8" t="n"/>
      <c r="F4" s="8" t="n"/>
    </row>
    <row r="5">
      <c r="B5" s="4" t="inlineStr">
        <is>
          <t>Month A</t>
        </is>
      </c>
      <c r="C5" s="14" t="inlineStr"/>
    </row>
    <row r="6">
      <c r="B6" s="4" t="inlineStr">
        <is>
          <t>Month B</t>
        </is>
      </c>
      <c r="C6" s="14">
        <f>CFG_CurrentMonth</f>
        <v/>
      </c>
    </row>
    <row r="8">
      <c r="B8" s="23" t="inlineStr">
        <is>
          <t>Metric</t>
        </is>
      </c>
      <c r="C8" s="23" t="inlineStr">
        <is>
          <t>Month A</t>
        </is>
      </c>
      <c r="D8" s="23" t="inlineStr">
        <is>
          <t>Month B</t>
        </is>
      </c>
      <c r="E8" s="23" t="inlineStr">
        <is>
          <t>Change</t>
        </is>
      </c>
      <c r="F8" s="23" t="inlineStr">
        <is>
          <t>Change %</t>
        </is>
      </c>
    </row>
    <row r="9">
      <c r="B9" s="78" t="inlineStr">
        <is>
          <t>Customers Billed</t>
        </is>
      </c>
      <c r="C9" s="79">
        <f>COUNTIF(tblBilling[Month],$C$5)</f>
        <v/>
      </c>
      <c r="D9" s="79">
        <f>COUNTIF(tblBilling[Month],$C$6)</f>
        <v/>
      </c>
      <c r="E9" s="79">
        <f>D9-C9</f>
        <v/>
      </c>
      <c r="F9" s="80">
        <f>IF(N(C9)=0,"",(D9-C9)/C9)</f>
        <v/>
      </c>
    </row>
    <row r="10">
      <c r="B10" s="78" t="inlineStr">
        <is>
          <t>Billing</t>
        </is>
      </c>
      <c r="C10" s="42">
        <f>SUMIFS(tblBilling[Monthly Fee],tblBilling[Month],$C$5)</f>
        <v/>
      </c>
      <c r="D10" s="42">
        <f>SUMIFS(tblBilling[Monthly Fee],tblBilling[Month],$C$6)</f>
        <v/>
      </c>
      <c r="E10" s="42">
        <f>D10-C10</f>
        <v/>
      </c>
      <c r="F10" s="80">
        <f>IF(N(C10)=0,"",(D10-C10)/C10)</f>
        <v/>
      </c>
    </row>
    <row r="11">
      <c r="B11" s="78" t="inlineStr">
        <is>
          <t>Recovered</t>
        </is>
      </c>
      <c r="C11" s="42">
        <f>SUMIFS(tblBilling[Amount Paid],tblBilling[Month],$C$5)</f>
        <v/>
      </c>
      <c r="D11" s="42">
        <f>SUMIFS(tblBilling[Amount Paid],tblBilling[Month],$C$6)</f>
        <v/>
      </c>
      <c r="E11" s="42">
        <f>D11-C11</f>
        <v/>
      </c>
      <c r="F11" s="80">
        <f>IF(N(C11)=0,"",(D11-C11)/C11)</f>
        <v/>
      </c>
    </row>
    <row r="12">
      <c r="B12" s="78" t="inlineStr">
        <is>
          <t>Pending (Balance)</t>
        </is>
      </c>
      <c r="C12" s="42">
        <f>SUMIFS(tblBilling[Balance],tblBilling[Month],$C$5)</f>
        <v/>
      </c>
      <c r="D12" s="42">
        <f>SUMIFS(tblBilling[Balance],tblBilling[Month],$C$6)</f>
        <v/>
      </c>
      <c r="E12" s="42">
        <f>D12-C12</f>
        <v/>
      </c>
      <c r="F12" s="80">
        <f>IF(N(C12)=0,"",(D12-C12)/C12)</f>
        <v/>
      </c>
    </row>
    <row r="13">
      <c r="B13" s="78" t="inlineStr">
        <is>
          <t>Paid Customers</t>
        </is>
      </c>
      <c r="C13" s="79">
        <f>COUNTIFS(tblBilling[Month],$C$5,tblBilling[Payment Status],"PAID")</f>
        <v/>
      </c>
      <c r="D13" s="79">
        <f>COUNTIFS(tblBilling[Month],$C$6,tblBilling[Payment Status],"PAID")</f>
        <v/>
      </c>
      <c r="E13" s="79">
        <f>D13-C13</f>
        <v/>
      </c>
      <c r="F13" s="80">
        <f>IF(N(C13)=0,"",(D13-C13)/C13)</f>
        <v/>
      </c>
    </row>
    <row r="14">
      <c r="B14" s="78" t="inlineStr">
        <is>
          <t>Partial Customers</t>
        </is>
      </c>
      <c r="C14" s="79">
        <f>COUNTIFS(tblBilling[Month],$C$5,tblBilling[Payment Status],"PARTIAL")</f>
        <v/>
      </c>
      <c r="D14" s="79">
        <f>COUNTIFS(tblBilling[Month],$C$6,tblBilling[Payment Status],"PARTIAL")</f>
        <v/>
      </c>
      <c r="E14" s="79">
        <f>D14-C14</f>
        <v/>
      </c>
      <c r="F14" s="80">
        <f>IF(N(C14)=0,"",(D14-C14)/C14)</f>
        <v/>
      </c>
    </row>
    <row r="15">
      <c r="B15" s="78" t="inlineStr">
        <is>
          <t>Pending Customers</t>
        </is>
      </c>
      <c r="C15" s="79">
        <f>COUNTIFS(tblBilling[Month],$C$5,tblBilling[Payment Status],"PENDING")</f>
        <v/>
      </c>
      <c r="D15" s="79">
        <f>COUNTIFS(tblBilling[Month],$C$6,tblBilling[Payment Status],"PENDING")</f>
        <v/>
      </c>
      <c r="E15" s="79">
        <f>D15-C15</f>
        <v/>
      </c>
      <c r="F15" s="80">
        <f>IF(N(C15)=0,"",(D15-C15)/C15)</f>
        <v/>
      </c>
    </row>
    <row r="16">
      <c r="B16" s="78" t="inlineStr">
        <is>
          <t>Recovery %</t>
        </is>
      </c>
      <c r="C16" s="94">
        <f>IF(SUMIFS(tblBilling[Monthly Fee],tblBilling[Month],$C$5)=0,0,SUMIFS(tblBilling[Amount Paid],tblBilling[Month],$C$5)/SUMIFS(tblBilling[Monthly Fee],tblBilling[Month],$C$5))</f>
        <v/>
      </c>
      <c r="D16" s="94">
        <f>IF(SUMIFS(tblBilling[Monthly Fee],tblBilling[Month],$C$6)=0,0,SUMIFS(tblBilling[Amount Paid],tblBilling[Month],$C$6)/SUMIFS(tblBilling[Monthly Fee],tblBilling[Month],$C$6))</f>
        <v/>
      </c>
      <c r="E16" s="80">
        <f>D16-C16</f>
        <v/>
      </c>
      <c r="F16" s="80">
        <f>IF(N(C16)=0,"",(D16-C16)/C16)</f>
        <v/>
      </c>
    </row>
    <row r="18">
      <c r="B18" s="16" t="inlineStr">
        <is>
          <t>Month-by-month totals for every generated month are in MONTHS (Monthly Archive).</t>
        </is>
      </c>
    </row>
    <row r="19">
      <c r="B19" s="9" t="inlineStr">
        <is>
          <t>► Open Monthly Archive</t>
        </is>
      </c>
    </row>
    <row r="21">
      <c r="B21" s="7" t="inlineStr">
        <is>
          <t>STREET / LOCATION-WISE REPORT (month below)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4" t="inlineStr">
        <is>
          <t>Month</t>
        </is>
      </c>
      <c r="C22" s="14">
        <f>CFG_CurrentMonth</f>
        <v/>
      </c>
    </row>
    <row r="23">
      <c r="B23" s="23" t="inlineStr">
        <is>
          <t>Location</t>
        </is>
      </c>
      <c r="C23" s="23" t="inlineStr">
        <is>
          <t>Full Address</t>
        </is>
      </c>
      <c r="D23" s="23" t="inlineStr">
        <is>
          <t>Billed</t>
        </is>
      </c>
      <c r="E23" s="23" t="inlineStr">
        <is>
          <t>Billing</t>
        </is>
      </c>
      <c r="F23" s="23" t="inlineStr">
        <is>
          <t>Recovered</t>
        </is>
      </c>
      <c r="G23" s="23" t="inlineStr">
        <is>
          <t>Pending</t>
        </is>
      </c>
      <c r="H23" s="23" t="inlineStr">
        <is>
          <t>Recovery %</t>
        </is>
      </c>
      <c r="I23" s="23" t="inlineStr">
        <is>
          <t>Unpaid Customers</t>
        </is>
      </c>
      <c r="J23" s="23" t="inlineStr">
        <is>
          <t>Active Customers</t>
        </is>
      </c>
    </row>
    <row r="24">
      <c r="B24">
        <f>IFERROR(INDEX(tblLocations[Location Code],1)&amp;"","")</f>
        <v/>
      </c>
      <c r="C24">
        <f>IF($B24="","",INDEX(tblLocations[Full Address],1))</f>
        <v/>
      </c>
      <c r="D24" s="24">
        <f>IF($B24="","",COUNTIFS(tblBilling[Month],$C$22,tblBilling[Location Code],$B24))</f>
        <v/>
      </c>
      <c r="E24" s="25">
        <f>IF($B24="","",SUMIFS(tblBilling[Monthly Fee],tblBilling[Month],$C$22,tblBilling[Location Code],$B24))</f>
        <v/>
      </c>
      <c r="F24" s="25">
        <f>IF($B24="","",SUMIFS(tblBilling[Amount Paid],tblBilling[Month],$C$22,tblBilling[Location Code],$B24))</f>
        <v/>
      </c>
      <c r="G24" s="25">
        <f>IF($B24="","",SUMIFS(tblBilling[Balance],tblBilling[Month],$C$22,tblBilling[Location Code],$B24))</f>
        <v/>
      </c>
      <c r="H24" s="91">
        <f>IF(OR($B24="",N(E24)=0),"",F24/E24)</f>
        <v/>
      </c>
      <c r="I24" s="24">
        <f>IF($B24="","",COUNTIFS(tblBilling[Month],$C$22,tblBilling[Location Code],$B24,tblBilling[Balance],"&gt;0"))</f>
        <v/>
      </c>
      <c r="J24" s="24">
        <f>IF($B24="","",COUNTIFS(tblCustomers[Location Code],$B24,tblCustomers[Customer Status],"Active"))</f>
        <v/>
      </c>
    </row>
    <row r="25">
      <c r="B25">
        <f>IFERROR(INDEX(tblLocations[Location Code],2)&amp;"","")</f>
        <v/>
      </c>
      <c r="C25">
        <f>IF($B25="","",INDEX(tblLocations[Full Address],2))</f>
        <v/>
      </c>
      <c r="D25" s="24">
        <f>IF($B25="","",COUNTIFS(tblBilling[Month],$C$22,tblBilling[Location Code],$B25))</f>
        <v/>
      </c>
      <c r="E25" s="25">
        <f>IF($B25="","",SUMIFS(tblBilling[Monthly Fee],tblBilling[Month],$C$22,tblBilling[Location Code],$B25))</f>
        <v/>
      </c>
      <c r="F25" s="25">
        <f>IF($B25="","",SUMIFS(tblBilling[Amount Paid],tblBilling[Month],$C$22,tblBilling[Location Code],$B25))</f>
        <v/>
      </c>
      <c r="G25" s="25">
        <f>IF($B25="","",SUMIFS(tblBilling[Balance],tblBilling[Month],$C$22,tblBilling[Location Code],$B25))</f>
        <v/>
      </c>
      <c r="H25" s="91">
        <f>IF(OR($B25="",N(E25)=0),"",F25/E25)</f>
        <v/>
      </c>
      <c r="I25" s="24">
        <f>IF($B25="","",COUNTIFS(tblBilling[Month],$C$22,tblBilling[Location Code],$B25,tblBilling[Balance],"&gt;0"))</f>
        <v/>
      </c>
      <c r="J25" s="24">
        <f>IF($B25="","",COUNTIFS(tblCustomers[Location Code],$B25,tblCustomers[Customer Status],"Active"))</f>
        <v/>
      </c>
    </row>
    <row r="26">
      <c r="B26">
        <f>IFERROR(INDEX(tblLocations[Location Code],3)&amp;"","")</f>
        <v/>
      </c>
      <c r="C26">
        <f>IF($B26="","",INDEX(tblLocations[Full Address],3))</f>
        <v/>
      </c>
      <c r="D26" s="24">
        <f>IF($B26="","",COUNTIFS(tblBilling[Month],$C$22,tblBilling[Location Code],$B26))</f>
        <v/>
      </c>
      <c r="E26" s="25">
        <f>IF($B26="","",SUMIFS(tblBilling[Monthly Fee],tblBilling[Month],$C$22,tblBilling[Location Code],$B26))</f>
        <v/>
      </c>
      <c r="F26" s="25">
        <f>IF($B26="","",SUMIFS(tblBilling[Amount Paid],tblBilling[Month],$C$22,tblBilling[Location Code],$B26))</f>
        <v/>
      </c>
      <c r="G26" s="25">
        <f>IF($B26="","",SUMIFS(tblBilling[Balance],tblBilling[Month],$C$22,tblBilling[Location Code],$B26))</f>
        <v/>
      </c>
      <c r="H26" s="91">
        <f>IF(OR($B26="",N(E26)=0),"",F26/E26)</f>
        <v/>
      </c>
      <c r="I26" s="24">
        <f>IF($B26="","",COUNTIFS(tblBilling[Month],$C$22,tblBilling[Location Code],$B26,tblBilling[Balance],"&gt;0"))</f>
        <v/>
      </c>
      <c r="J26" s="24">
        <f>IF($B26="","",COUNTIFS(tblCustomers[Location Code],$B26,tblCustomers[Customer Status],"Active"))</f>
        <v/>
      </c>
    </row>
    <row r="27">
      <c r="B27">
        <f>IFERROR(INDEX(tblLocations[Location Code],4)&amp;"","")</f>
        <v/>
      </c>
      <c r="C27">
        <f>IF($B27="","",INDEX(tblLocations[Full Address],4))</f>
        <v/>
      </c>
      <c r="D27" s="24">
        <f>IF($B27="","",COUNTIFS(tblBilling[Month],$C$22,tblBilling[Location Code],$B27))</f>
        <v/>
      </c>
      <c r="E27" s="25">
        <f>IF($B27="","",SUMIFS(tblBilling[Monthly Fee],tblBilling[Month],$C$22,tblBilling[Location Code],$B27))</f>
        <v/>
      </c>
      <c r="F27" s="25">
        <f>IF($B27="","",SUMIFS(tblBilling[Amount Paid],tblBilling[Month],$C$22,tblBilling[Location Code],$B27))</f>
        <v/>
      </c>
      <c r="G27" s="25">
        <f>IF($B27="","",SUMIFS(tblBilling[Balance],tblBilling[Month],$C$22,tblBilling[Location Code],$B27))</f>
        <v/>
      </c>
      <c r="H27" s="91">
        <f>IF(OR($B27="",N(E27)=0),"",F27/E27)</f>
        <v/>
      </c>
      <c r="I27" s="24">
        <f>IF($B27="","",COUNTIFS(tblBilling[Month],$C$22,tblBilling[Location Code],$B27,tblBilling[Balance],"&gt;0"))</f>
        <v/>
      </c>
      <c r="J27" s="24">
        <f>IF($B27="","",COUNTIFS(tblCustomers[Location Code],$B27,tblCustomers[Customer Status],"Active"))</f>
        <v/>
      </c>
    </row>
    <row r="28">
      <c r="B28">
        <f>IFERROR(INDEX(tblLocations[Location Code],5)&amp;"","")</f>
        <v/>
      </c>
      <c r="C28">
        <f>IF($B28="","",INDEX(tblLocations[Full Address],5))</f>
        <v/>
      </c>
      <c r="D28" s="24">
        <f>IF($B28="","",COUNTIFS(tblBilling[Month],$C$22,tblBilling[Location Code],$B28))</f>
        <v/>
      </c>
      <c r="E28" s="25">
        <f>IF($B28="","",SUMIFS(tblBilling[Monthly Fee],tblBilling[Month],$C$22,tblBilling[Location Code],$B28))</f>
        <v/>
      </c>
      <c r="F28" s="25">
        <f>IF($B28="","",SUMIFS(tblBilling[Amount Paid],tblBilling[Month],$C$22,tblBilling[Location Code],$B28))</f>
        <v/>
      </c>
      <c r="G28" s="25">
        <f>IF($B28="","",SUMIFS(tblBilling[Balance],tblBilling[Month],$C$22,tblBilling[Location Code],$B28))</f>
        <v/>
      </c>
      <c r="H28" s="91">
        <f>IF(OR($B28="",N(E28)=0),"",F28/E28)</f>
        <v/>
      </c>
      <c r="I28" s="24">
        <f>IF($B28="","",COUNTIFS(tblBilling[Month],$C$22,tblBilling[Location Code],$B28,tblBilling[Balance],"&gt;0"))</f>
        <v/>
      </c>
      <c r="J28" s="24">
        <f>IF($B28="","",COUNTIFS(tblCustomers[Location Code],$B28,tblCustomers[Customer Status],"Active"))</f>
        <v/>
      </c>
    </row>
    <row r="29">
      <c r="B29">
        <f>IFERROR(INDEX(tblLocations[Location Code],6)&amp;"","")</f>
        <v/>
      </c>
      <c r="C29">
        <f>IF($B29="","",INDEX(tblLocations[Full Address],6))</f>
        <v/>
      </c>
      <c r="D29" s="24">
        <f>IF($B29="","",COUNTIFS(tblBilling[Month],$C$22,tblBilling[Location Code],$B29))</f>
        <v/>
      </c>
      <c r="E29" s="25">
        <f>IF($B29="","",SUMIFS(tblBilling[Monthly Fee],tblBilling[Month],$C$22,tblBilling[Location Code],$B29))</f>
        <v/>
      </c>
      <c r="F29" s="25">
        <f>IF($B29="","",SUMIFS(tblBilling[Amount Paid],tblBilling[Month],$C$22,tblBilling[Location Code],$B29))</f>
        <v/>
      </c>
      <c r="G29" s="25">
        <f>IF($B29="","",SUMIFS(tblBilling[Balance],tblBilling[Month],$C$22,tblBilling[Location Code],$B29))</f>
        <v/>
      </c>
      <c r="H29" s="91">
        <f>IF(OR($B29="",N(E29)=0),"",F29/E29)</f>
        <v/>
      </c>
      <c r="I29" s="24">
        <f>IF($B29="","",COUNTIFS(tblBilling[Month],$C$22,tblBilling[Location Code],$B29,tblBilling[Balance],"&gt;0"))</f>
        <v/>
      </c>
      <c r="J29" s="24">
        <f>IF($B29="","",COUNTIFS(tblCustomers[Location Code],$B29,tblCustomers[Customer Status],"Active"))</f>
        <v/>
      </c>
    </row>
    <row r="30">
      <c r="B30">
        <f>IFERROR(INDEX(tblLocations[Location Code],7)&amp;"","")</f>
        <v/>
      </c>
      <c r="C30">
        <f>IF($B30="","",INDEX(tblLocations[Full Address],7))</f>
        <v/>
      </c>
      <c r="D30" s="24">
        <f>IF($B30="","",COUNTIFS(tblBilling[Month],$C$22,tblBilling[Location Code],$B30))</f>
        <v/>
      </c>
      <c r="E30" s="25">
        <f>IF($B30="","",SUMIFS(tblBilling[Monthly Fee],tblBilling[Month],$C$22,tblBilling[Location Code],$B30))</f>
        <v/>
      </c>
      <c r="F30" s="25">
        <f>IF($B30="","",SUMIFS(tblBilling[Amount Paid],tblBilling[Month],$C$22,tblBilling[Location Code],$B30))</f>
        <v/>
      </c>
      <c r="G30" s="25">
        <f>IF($B30="","",SUMIFS(tblBilling[Balance],tblBilling[Month],$C$22,tblBilling[Location Code],$B30))</f>
        <v/>
      </c>
      <c r="H30" s="91">
        <f>IF(OR($B30="",N(E30)=0),"",F30/E30)</f>
        <v/>
      </c>
      <c r="I30" s="24">
        <f>IF($B30="","",COUNTIFS(tblBilling[Month],$C$22,tblBilling[Location Code],$B30,tblBilling[Balance],"&gt;0"))</f>
        <v/>
      </c>
      <c r="J30" s="24">
        <f>IF($B30="","",COUNTIFS(tblCustomers[Location Code],$B30,tblCustomers[Customer Status],"Active"))</f>
        <v/>
      </c>
    </row>
    <row r="31">
      <c r="B31">
        <f>IFERROR(INDEX(tblLocations[Location Code],8)&amp;"","")</f>
        <v/>
      </c>
      <c r="C31">
        <f>IF($B31="","",INDEX(tblLocations[Full Address],8))</f>
        <v/>
      </c>
      <c r="D31" s="24">
        <f>IF($B31="","",COUNTIFS(tblBilling[Month],$C$22,tblBilling[Location Code],$B31))</f>
        <v/>
      </c>
      <c r="E31" s="25">
        <f>IF($B31="","",SUMIFS(tblBilling[Monthly Fee],tblBilling[Month],$C$22,tblBilling[Location Code],$B31))</f>
        <v/>
      </c>
      <c r="F31" s="25">
        <f>IF($B31="","",SUMIFS(tblBilling[Amount Paid],tblBilling[Month],$C$22,tblBilling[Location Code],$B31))</f>
        <v/>
      </c>
      <c r="G31" s="25">
        <f>IF($B31="","",SUMIFS(tblBilling[Balance],tblBilling[Month],$C$22,tblBilling[Location Code],$B31))</f>
        <v/>
      </c>
      <c r="H31" s="91">
        <f>IF(OR($B31="",N(E31)=0),"",F31/E31)</f>
        <v/>
      </c>
      <c r="I31" s="24">
        <f>IF($B31="","",COUNTIFS(tblBilling[Month],$C$22,tblBilling[Location Code],$B31,tblBilling[Balance],"&gt;0"))</f>
        <v/>
      </c>
      <c r="J31" s="24">
        <f>IF($B31="","",COUNTIFS(tblCustomers[Location Code],$B31,tblCustomers[Customer Status],"Active"))</f>
        <v/>
      </c>
    </row>
    <row r="32">
      <c r="B32">
        <f>IFERROR(INDEX(tblLocations[Location Code],9)&amp;"","")</f>
        <v/>
      </c>
      <c r="C32">
        <f>IF($B32="","",INDEX(tblLocations[Full Address],9))</f>
        <v/>
      </c>
      <c r="D32" s="24">
        <f>IF($B32="","",COUNTIFS(tblBilling[Month],$C$22,tblBilling[Location Code],$B32))</f>
        <v/>
      </c>
      <c r="E32" s="25">
        <f>IF($B32="","",SUMIFS(tblBilling[Monthly Fee],tblBilling[Month],$C$22,tblBilling[Location Code],$B32))</f>
        <v/>
      </c>
      <c r="F32" s="25">
        <f>IF($B32="","",SUMIFS(tblBilling[Amount Paid],tblBilling[Month],$C$22,tblBilling[Location Code],$B32))</f>
        <v/>
      </c>
      <c r="G32" s="25">
        <f>IF($B32="","",SUMIFS(tblBilling[Balance],tblBilling[Month],$C$22,tblBilling[Location Code],$B32))</f>
        <v/>
      </c>
      <c r="H32" s="91">
        <f>IF(OR($B32="",N(E32)=0),"",F32/E32)</f>
        <v/>
      </c>
      <c r="I32" s="24">
        <f>IF($B32="","",COUNTIFS(tblBilling[Month],$C$22,tblBilling[Location Code],$B32,tblBilling[Balance],"&gt;0"))</f>
        <v/>
      </c>
      <c r="J32" s="24">
        <f>IF($B32="","",COUNTIFS(tblCustomers[Location Code],$B32,tblCustomers[Customer Status],"Active"))</f>
        <v/>
      </c>
    </row>
    <row r="33">
      <c r="B33">
        <f>IFERROR(INDEX(tblLocations[Location Code],10)&amp;"","")</f>
        <v/>
      </c>
      <c r="C33">
        <f>IF($B33="","",INDEX(tblLocations[Full Address],10))</f>
        <v/>
      </c>
      <c r="D33" s="24">
        <f>IF($B33="","",COUNTIFS(tblBilling[Month],$C$22,tblBilling[Location Code],$B33))</f>
        <v/>
      </c>
      <c r="E33" s="25">
        <f>IF($B33="","",SUMIFS(tblBilling[Monthly Fee],tblBilling[Month],$C$22,tblBilling[Location Code],$B33))</f>
        <v/>
      </c>
      <c r="F33" s="25">
        <f>IF($B33="","",SUMIFS(tblBilling[Amount Paid],tblBilling[Month],$C$22,tblBilling[Location Code],$B33))</f>
        <v/>
      </c>
      <c r="G33" s="25">
        <f>IF($B33="","",SUMIFS(tblBilling[Balance],tblBilling[Month],$C$22,tblBilling[Location Code],$B33))</f>
        <v/>
      </c>
      <c r="H33" s="91">
        <f>IF(OR($B33="",N(E33)=0),"",F33/E33)</f>
        <v/>
      </c>
      <c r="I33" s="24">
        <f>IF($B33="","",COUNTIFS(tblBilling[Month],$C$22,tblBilling[Location Code],$B33,tblBilling[Balance],"&gt;0"))</f>
        <v/>
      </c>
      <c r="J33" s="24">
        <f>IF($B33="","",COUNTIFS(tblCustomers[Location Code],$B33,tblCustomers[Customer Status],"Active"))</f>
        <v/>
      </c>
    </row>
    <row r="34">
      <c r="B34">
        <f>IFERROR(INDEX(tblLocations[Location Code],11)&amp;"","")</f>
        <v/>
      </c>
      <c r="C34">
        <f>IF($B34="","",INDEX(tblLocations[Full Address],11))</f>
        <v/>
      </c>
      <c r="D34" s="24">
        <f>IF($B34="","",COUNTIFS(tblBilling[Month],$C$22,tblBilling[Location Code],$B34))</f>
        <v/>
      </c>
      <c r="E34" s="25">
        <f>IF($B34="","",SUMIFS(tblBilling[Monthly Fee],tblBilling[Month],$C$22,tblBilling[Location Code],$B34))</f>
        <v/>
      </c>
      <c r="F34" s="25">
        <f>IF($B34="","",SUMIFS(tblBilling[Amount Paid],tblBilling[Month],$C$22,tblBilling[Location Code],$B34))</f>
        <v/>
      </c>
      <c r="G34" s="25">
        <f>IF($B34="","",SUMIFS(tblBilling[Balance],tblBilling[Month],$C$22,tblBilling[Location Code],$B34))</f>
        <v/>
      </c>
      <c r="H34" s="91">
        <f>IF(OR($B34="",N(E34)=0),"",F34/E34)</f>
        <v/>
      </c>
      <c r="I34" s="24">
        <f>IF($B34="","",COUNTIFS(tblBilling[Month],$C$22,tblBilling[Location Code],$B34,tblBilling[Balance],"&gt;0"))</f>
        <v/>
      </c>
      <c r="J34" s="24">
        <f>IF($B34="","",COUNTIFS(tblCustomers[Location Code],$B34,tblCustomers[Customer Status],"Active"))</f>
        <v/>
      </c>
    </row>
    <row r="35">
      <c r="B35">
        <f>IFERROR(INDEX(tblLocations[Location Code],12)&amp;"","")</f>
        <v/>
      </c>
      <c r="C35">
        <f>IF($B35="","",INDEX(tblLocations[Full Address],12))</f>
        <v/>
      </c>
      <c r="D35" s="24">
        <f>IF($B35="","",COUNTIFS(tblBilling[Month],$C$22,tblBilling[Location Code],$B35))</f>
        <v/>
      </c>
      <c r="E35" s="25">
        <f>IF($B35="","",SUMIFS(tblBilling[Monthly Fee],tblBilling[Month],$C$22,tblBilling[Location Code],$B35))</f>
        <v/>
      </c>
      <c r="F35" s="25">
        <f>IF($B35="","",SUMIFS(tblBilling[Amount Paid],tblBilling[Month],$C$22,tblBilling[Location Code],$B35))</f>
        <v/>
      </c>
      <c r="G35" s="25">
        <f>IF($B35="","",SUMIFS(tblBilling[Balance],tblBilling[Month],$C$22,tblBilling[Location Code],$B35))</f>
        <v/>
      </c>
      <c r="H35" s="91">
        <f>IF(OR($B35="",N(E35)=0),"",F35/E35)</f>
        <v/>
      </c>
      <c r="I35" s="24">
        <f>IF($B35="","",COUNTIFS(tblBilling[Month],$C$22,tblBilling[Location Code],$B35,tblBilling[Balance],"&gt;0"))</f>
        <v/>
      </c>
      <c r="J35" s="24">
        <f>IF($B35="","",COUNTIFS(tblCustomers[Location Code],$B35,tblCustomers[Customer Status],"Active"))</f>
        <v/>
      </c>
    </row>
    <row r="36">
      <c r="B36">
        <f>IFERROR(INDEX(tblLocations[Location Code],13)&amp;"","")</f>
        <v/>
      </c>
      <c r="C36">
        <f>IF($B36="","",INDEX(tblLocations[Full Address],13))</f>
        <v/>
      </c>
      <c r="D36" s="24">
        <f>IF($B36="","",COUNTIFS(tblBilling[Month],$C$22,tblBilling[Location Code],$B36))</f>
        <v/>
      </c>
      <c r="E36" s="25">
        <f>IF($B36="","",SUMIFS(tblBilling[Monthly Fee],tblBilling[Month],$C$22,tblBilling[Location Code],$B36))</f>
        <v/>
      </c>
      <c r="F36" s="25">
        <f>IF($B36="","",SUMIFS(tblBilling[Amount Paid],tblBilling[Month],$C$22,tblBilling[Location Code],$B36))</f>
        <v/>
      </c>
      <c r="G36" s="25">
        <f>IF($B36="","",SUMIFS(tblBilling[Balance],tblBilling[Month],$C$22,tblBilling[Location Code],$B36))</f>
        <v/>
      </c>
      <c r="H36" s="91">
        <f>IF(OR($B36="",N(E36)=0),"",F36/E36)</f>
        <v/>
      </c>
      <c r="I36" s="24">
        <f>IF($B36="","",COUNTIFS(tblBilling[Month],$C$22,tblBilling[Location Code],$B36,tblBilling[Balance],"&gt;0"))</f>
        <v/>
      </c>
      <c r="J36" s="24">
        <f>IF($B36="","",COUNTIFS(tblCustomers[Location Code],$B36,tblCustomers[Customer Status],"Active"))</f>
        <v/>
      </c>
    </row>
    <row r="37">
      <c r="B37">
        <f>IFERROR(INDEX(tblLocations[Location Code],14)&amp;"","")</f>
        <v/>
      </c>
      <c r="C37">
        <f>IF($B37="","",INDEX(tblLocations[Full Address],14))</f>
        <v/>
      </c>
      <c r="D37" s="24">
        <f>IF($B37="","",COUNTIFS(tblBilling[Month],$C$22,tblBilling[Location Code],$B37))</f>
        <v/>
      </c>
      <c r="E37" s="25">
        <f>IF($B37="","",SUMIFS(tblBilling[Monthly Fee],tblBilling[Month],$C$22,tblBilling[Location Code],$B37))</f>
        <v/>
      </c>
      <c r="F37" s="25">
        <f>IF($B37="","",SUMIFS(tblBilling[Amount Paid],tblBilling[Month],$C$22,tblBilling[Location Code],$B37))</f>
        <v/>
      </c>
      <c r="G37" s="25">
        <f>IF($B37="","",SUMIFS(tblBilling[Balance],tblBilling[Month],$C$22,tblBilling[Location Code],$B37))</f>
        <v/>
      </c>
      <c r="H37" s="91">
        <f>IF(OR($B37="",N(E37)=0),"",F37/E37)</f>
        <v/>
      </c>
      <c r="I37" s="24">
        <f>IF($B37="","",COUNTIFS(tblBilling[Month],$C$22,tblBilling[Location Code],$B37,tblBilling[Balance],"&gt;0"))</f>
        <v/>
      </c>
      <c r="J37" s="24">
        <f>IF($B37="","",COUNTIFS(tblCustomers[Location Code],$B37,tblCustomers[Customer Status],"Active"))</f>
        <v/>
      </c>
    </row>
    <row r="38">
      <c r="B38">
        <f>IFERROR(INDEX(tblLocations[Location Code],15)&amp;"","")</f>
        <v/>
      </c>
      <c r="C38">
        <f>IF($B38="","",INDEX(tblLocations[Full Address],15))</f>
        <v/>
      </c>
      <c r="D38" s="24">
        <f>IF($B38="","",COUNTIFS(tblBilling[Month],$C$22,tblBilling[Location Code],$B38))</f>
        <v/>
      </c>
      <c r="E38" s="25">
        <f>IF($B38="","",SUMIFS(tblBilling[Monthly Fee],tblBilling[Month],$C$22,tblBilling[Location Code],$B38))</f>
        <v/>
      </c>
      <c r="F38" s="25">
        <f>IF($B38="","",SUMIFS(tblBilling[Amount Paid],tblBilling[Month],$C$22,tblBilling[Location Code],$B38))</f>
        <v/>
      </c>
      <c r="G38" s="25">
        <f>IF($B38="","",SUMIFS(tblBilling[Balance],tblBilling[Month],$C$22,tblBilling[Location Code],$B38))</f>
        <v/>
      </c>
      <c r="H38" s="91">
        <f>IF(OR($B38="",N(E38)=0),"",F38/E38)</f>
        <v/>
      </c>
      <c r="I38" s="24">
        <f>IF($B38="","",COUNTIFS(tblBilling[Month],$C$22,tblBilling[Location Code],$B38,tblBilling[Balance],"&gt;0"))</f>
        <v/>
      </c>
      <c r="J38" s="24">
        <f>IF($B38="","",COUNTIFS(tblCustomers[Location Code],$B38,tblCustomers[Customer Status],"Active"))</f>
        <v/>
      </c>
    </row>
    <row r="39">
      <c r="B39">
        <f>IFERROR(INDEX(tblLocations[Location Code],16)&amp;"","")</f>
        <v/>
      </c>
      <c r="C39">
        <f>IF($B39="","",INDEX(tblLocations[Full Address],16))</f>
        <v/>
      </c>
      <c r="D39" s="24">
        <f>IF($B39="","",COUNTIFS(tblBilling[Month],$C$22,tblBilling[Location Code],$B39))</f>
        <v/>
      </c>
      <c r="E39" s="25">
        <f>IF($B39="","",SUMIFS(tblBilling[Monthly Fee],tblBilling[Month],$C$22,tblBilling[Location Code],$B39))</f>
        <v/>
      </c>
      <c r="F39" s="25">
        <f>IF($B39="","",SUMIFS(tblBilling[Amount Paid],tblBilling[Month],$C$22,tblBilling[Location Code],$B39))</f>
        <v/>
      </c>
      <c r="G39" s="25">
        <f>IF($B39="","",SUMIFS(tblBilling[Balance],tblBilling[Month],$C$22,tblBilling[Location Code],$B39))</f>
        <v/>
      </c>
      <c r="H39" s="91">
        <f>IF(OR($B39="",N(E39)=0),"",F39/E39)</f>
        <v/>
      </c>
      <c r="I39" s="24">
        <f>IF($B39="","",COUNTIFS(tblBilling[Month],$C$22,tblBilling[Location Code],$B39,tblBilling[Balance],"&gt;0"))</f>
        <v/>
      </c>
      <c r="J39" s="24">
        <f>IF($B39="","",COUNTIFS(tblCustomers[Location Code],$B39,tblCustomers[Customer Status],"Active"))</f>
        <v/>
      </c>
    </row>
    <row r="40">
      <c r="B40">
        <f>IFERROR(INDEX(tblLocations[Location Code],17)&amp;"","")</f>
        <v/>
      </c>
      <c r="C40">
        <f>IF($B40="","",INDEX(tblLocations[Full Address],17))</f>
        <v/>
      </c>
      <c r="D40" s="24">
        <f>IF($B40="","",COUNTIFS(tblBilling[Month],$C$22,tblBilling[Location Code],$B40))</f>
        <v/>
      </c>
      <c r="E40" s="25">
        <f>IF($B40="","",SUMIFS(tblBilling[Monthly Fee],tblBilling[Month],$C$22,tblBilling[Location Code],$B40))</f>
        <v/>
      </c>
      <c r="F40" s="25">
        <f>IF($B40="","",SUMIFS(tblBilling[Amount Paid],tblBilling[Month],$C$22,tblBilling[Location Code],$B40))</f>
        <v/>
      </c>
      <c r="G40" s="25">
        <f>IF($B40="","",SUMIFS(tblBilling[Balance],tblBilling[Month],$C$22,tblBilling[Location Code],$B40))</f>
        <v/>
      </c>
      <c r="H40" s="91">
        <f>IF(OR($B40="",N(E40)=0),"",F40/E40)</f>
        <v/>
      </c>
      <c r="I40" s="24">
        <f>IF($B40="","",COUNTIFS(tblBilling[Month],$C$22,tblBilling[Location Code],$B40,tblBilling[Balance],"&gt;0"))</f>
        <v/>
      </c>
      <c r="J40" s="24">
        <f>IF($B40="","",COUNTIFS(tblCustomers[Location Code],$B40,tblCustomers[Customer Status],"Active"))</f>
        <v/>
      </c>
    </row>
    <row r="41">
      <c r="B41">
        <f>IFERROR(INDEX(tblLocations[Location Code],18)&amp;"","")</f>
        <v/>
      </c>
      <c r="C41">
        <f>IF($B41="","",INDEX(tblLocations[Full Address],18))</f>
        <v/>
      </c>
      <c r="D41" s="24">
        <f>IF($B41="","",COUNTIFS(tblBilling[Month],$C$22,tblBilling[Location Code],$B41))</f>
        <v/>
      </c>
      <c r="E41" s="25">
        <f>IF($B41="","",SUMIFS(tblBilling[Monthly Fee],tblBilling[Month],$C$22,tblBilling[Location Code],$B41))</f>
        <v/>
      </c>
      <c r="F41" s="25">
        <f>IF($B41="","",SUMIFS(tblBilling[Amount Paid],tblBilling[Month],$C$22,tblBilling[Location Code],$B41))</f>
        <v/>
      </c>
      <c r="G41" s="25">
        <f>IF($B41="","",SUMIFS(tblBilling[Balance],tblBilling[Month],$C$22,tblBilling[Location Code],$B41))</f>
        <v/>
      </c>
      <c r="H41" s="91">
        <f>IF(OR($B41="",N(E41)=0),"",F41/E41)</f>
        <v/>
      </c>
      <c r="I41" s="24">
        <f>IF($B41="","",COUNTIFS(tblBilling[Month],$C$22,tblBilling[Location Code],$B41,tblBilling[Balance],"&gt;0"))</f>
        <v/>
      </c>
      <c r="J41" s="24">
        <f>IF($B41="","",COUNTIFS(tblCustomers[Location Code],$B41,tblCustomers[Customer Status],"Active"))</f>
        <v/>
      </c>
    </row>
    <row r="42">
      <c r="B42">
        <f>IFERROR(INDEX(tblLocations[Location Code],19)&amp;"","")</f>
        <v/>
      </c>
      <c r="C42">
        <f>IF($B42="","",INDEX(tblLocations[Full Address],19))</f>
        <v/>
      </c>
      <c r="D42" s="24">
        <f>IF($B42="","",COUNTIFS(tblBilling[Month],$C$22,tblBilling[Location Code],$B42))</f>
        <v/>
      </c>
      <c r="E42" s="25">
        <f>IF($B42="","",SUMIFS(tblBilling[Monthly Fee],tblBilling[Month],$C$22,tblBilling[Location Code],$B42))</f>
        <v/>
      </c>
      <c r="F42" s="25">
        <f>IF($B42="","",SUMIFS(tblBilling[Amount Paid],tblBilling[Month],$C$22,tblBilling[Location Code],$B42))</f>
        <v/>
      </c>
      <c r="G42" s="25">
        <f>IF($B42="","",SUMIFS(tblBilling[Balance],tblBilling[Month],$C$22,tblBilling[Location Code],$B42))</f>
        <v/>
      </c>
      <c r="H42" s="91">
        <f>IF(OR($B42="",N(E42)=0),"",F42/E42)</f>
        <v/>
      </c>
      <c r="I42" s="24">
        <f>IF($B42="","",COUNTIFS(tblBilling[Month],$C$22,tblBilling[Location Code],$B42,tblBilling[Balance],"&gt;0"))</f>
        <v/>
      </c>
      <c r="J42" s="24">
        <f>IF($B42="","",COUNTIFS(tblCustomers[Location Code],$B42,tblCustomers[Customer Status],"Active"))</f>
        <v/>
      </c>
    </row>
    <row r="43">
      <c r="B43">
        <f>IFERROR(INDEX(tblLocations[Location Code],20)&amp;"","")</f>
        <v/>
      </c>
      <c r="C43">
        <f>IF($B43="","",INDEX(tblLocations[Full Address],20))</f>
        <v/>
      </c>
      <c r="D43" s="24">
        <f>IF($B43="","",COUNTIFS(tblBilling[Month],$C$22,tblBilling[Location Code],$B43))</f>
        <v/>
      </c>
      <c r="E43" s="25">
        <f>IF($B43="","",SUMIFS(tblBilling[Monthly Fee],tblBilling[Month],$C$22,tblBilling[Location Code],$B43))</f>
        <v/>
      </c>
      <c r="F43" s="25">
        <f>IF($B43="","",SUMIFS(tblBilling[Amount Paid],tblBilling[Month],$C$22,tblBilling[Location Code],$B43))</f>
        <v/>
      </c>
      <c r="G43" s="25">
        <f>IF($B43="","",SUMIFS(tblBilling[Balance],tblBilling[Month],$C$22,tblBilling[Location Code],$B43))</f>
        <v/>
      </c>
      <c r="H43" s="91">
        <f>IF(OR($B43="",N(E43)=0),"",F43/E43)</f>
        <v/>
      </c>
      <c r="I43" s="24">
        <f>IF($B43="","",COUNTIFS(tblBilling[Month],$C$22,tblBilling[Location Code],$B43,tblBilling[Balance],"&gt;0"))</f>
        <v/>
      </c>
      <c r="J43" s="24">
        <f>IF($B43="","",COUNTIFS(tblCustomers[Location Code],$B43,tblCustomers[Customer Status],"Active"))</f>
        <v/>
      </c>
    </row>
    <row r="44">
      <c r="B44">
        <f>IFERROR(INDEX(tblLocations[Location Code],21)&amp;"","")</f>
        <v/>
      </c>
      <c r="C44">
        <f>IF($B44="","",INDEX(tblLocations[Full Address],21))</f>
        <v/>
      </c>
      <c r="D44" s="24">
        <f>IF($B44="","",COUNTIFS(tblBilling[Month],$C$22,tblBilling[Location Code],$B44))</f>
        <v/>
      </c>
      <c r="E44" s="25">
        <f>IF($B44="","",SUMIFS(tblBilling[Monthly Fee],tblBilling[Month],$C$22,tblBilling[Location Code],$B44))</f>
        <v/>
      </c>
      <c r="F44" s="25">
        <f>IF($B44="","",SUMIFS(tblBilling[Amount Paid],tblBilling[Month],$C$22,tblBilling[Location Code],$B44))</f>
        <v/>
      </c>
      <c r="G44" s="25">
        <f>IF($B44="","",SUMIFS(tblBilling[Balance],tblBilling[Month],$C$22,tblBilling[Location Code],$B44))</f>
        <v/>
      </c>
      <c r="H44" s="91">
        <f>IF(OR($B44="",N(E44)=0),"",F44/E44)</f>
        <v/>
      </c>
      <c r="I44" s="24">
        <f>IF($B44="","",COUNTIFS(tblBilling[Month],$C$22,tblBilling[Location Code],$B44,tblBilling[Balance],"&gt;0"))</f>
        <v/>
      </c>
      <c r="J44" s="24">
        <f>IF($B44="","",COUNTIFS(tblCustomers[Location Code],$B44,tblCustomers[Customer Status],"Active"))</f>
        <v/>
      </c>
    </row>
    <row r="45">
      <c r="B45">
        <f>IFERROR(INDEX(tblLocations[Location Code],22)&amp;"","")</f>
        <v/>
      </c>
      <c r="C45">
        <f>IF($B45="","",INDEX(tblLocations[Full Address],22))</f>
        <v/>
      </c>
      <c r="D45" s="24">
        <f>IF($B45="","",COUNTIFS(tblBilling[Month],$C$22,tblBilling[Location Code],$B45))</f>
        <v/>
      </c>
      <c r="E45" s="25">
        <f>IF($B45="","",SUMIFS(tblBilling[Monthly Fee],tblBilling[Month],$C$22,tblBilling[Location Code],$B45))</f>
        <v/>
      </c>
      <c r="F45" s="25">
        <f>IF($B45="","",SUMIFS(tblBilling[Amount Paid],tblBilling[Month],$C$22,tblBilling[Location Code],$B45))</f>
        <v/>
      </c>
      <c r="G45" s="25">
        <f>IF($B45="","",SUMIFS(tblBilling[Balance],tblBilling[Month],$C$22,tblBilling[Location Code],$B45))</f>
        <v/>
      </c>
      <c r="H45" s="91">
        <f>IF(OR($B45="",N(E45)=0),"",F45/E45)</f>
        <v/>
      </c>
      <c r="I45" s="24">
        <f>IF($B45="","",COUNTIFS(tblBilling[Month],$C$22,tblBilling[Location Code],$B45,tblBilling[Balance],"&gt;0"))</f>
        <v/>
      </c>
      <c r="J45" s="24">
        <f>IF($B45="","",COUNTIFS(tblCustomers[Location Code],$B45,tblCustomers[Customer Status],"Active"))</f>
        <v/>
      </c>
    </row>
    <row r="46">
      <c r="B46">
        <f>IFERROR(INDEX(tblLocations[Location Code],23)&amp;"","")</f>
        <v/>
      </c>
      <c r="C46">
        <f>IF($B46="","",INDEX(tblLocations[Full Address],23))</f>
        <v/>
      </c>
      <c r="D46" s="24">
        <f>IF($B46="","",COUNTIFS(tblBilling[Month],$C$22,tblBilling[Location Code],$B46))</f>
        <v/>
      </c>
      <c r="E46" s="25">
        <f>IF($B46="","",SUMIFS(tblBilling[Monthly Fee],tblBilling[Month],$C$22,tblBilling[Location Code],$B46))</f>
        <v/>
      </c>
      <c r="F46" s="25">
        <f>IF($B46="","",SUMIFS(tblBilling[Amount Paid],tblBilling[Month],$C$22,tblBilling[Location Code],$B46))</f>
        <v/>
      </c>
      <c r="G46" s="25">
        <f>IF($B46="","",SUMIFS(tblBilling[Balance],tblBilling[Month],$C$22,tblBilling[Location Code],$B46))</f>
        <v/>
      </c>
      <c r="H46" s="91">
        <f>IF(OR($B46="",N(E46)=0),"",F46/E46)</f>
        <v/>
      </c>
      <c r="I46" s="24">
        <f>IF($B46="","",COUNTIFS(tblBilling[Month],$C$22,tblBilling[Location Code],$B46,tblBilling[Balance],"&gt;0"))</f>
        <v/>
      </c>
      <c r="J46" s="24">
        <f>IF($B46="","",COUNTIFS(tblCustomers[Location Code],$B46,tblCustomers[Customer Status],"Active"))</f>
        <v/>
      </c>
    </row>
    <row r="47">
      <c r="B47">
        <f>IFERROR(INDEX(tblLocations[Location Code],24)&amp;"","")</f>
        <v/>
      </c>
      <c r="C47">
        <f>IF($B47="","",INDEX(tblLocations[Full Address],24))</f>
        <v/>
      </c>
      <c r="D47" s="24">
        <f>IF($B47="","",COUNTIFS(tblBilling[Month],$C$22,tblBilling[Location Code],$B47))</f>
        <v/>
      </c>
      <c r="E47" s="25">
        <f>IF($B47="","",SUMIFS(tblBilling[Monthly Fee],tblBilling[Month],$C$22,tblBilling[Location Code],$B47))</f>
        <v/>
      </c>
      <c r="F47" s="25">
        <f>IF($B47="","",SUMIFS(tblBilling[Amount Paid],tblBilling[Month],$C$22,tblBilling[Location Code],$B47))</f>
        <v/>
      </c>
      <c r="G47" s="25">
        <f>IF($B47="","",SUMIFS(tblBilling[Balance],tblBilling[Month],$C$22,tblBilling[Location Code],$B47))</f>
        <v/>
      </c>
      <c r="H47" s="91">
        <f>IF(OR($B47="",N(E47)=0),"",F47/E47)</f>
        <v/>
      </c>
      <c r="I47" s="24">
        <f>IF($B47="","",COUNTIFS(tblBilling[Month],$C$22,tblBilling[Location Code],$B47,tblBilling[Balance],"&gt;0"))</f>
        <v/>
      </c>
      <c r="J47" s="24">
        <f>IF($B47="","",COUNTIFS(tblCustomers[Location Code],$B47,tblCustomers[Customer Status],"Active"))</f>
        <v/>
      </c>
    </row>
    <row r="48">
      <c r="B48">
        <f>IFERROR(INDEX(tblLocations[Location Code],25)&amp;"","")</f>
        <v/>
      </c>
      <c r="C48">
        <f>IF($B48="","",INDEX(tblLocations[Full Address],25))</f>
        <v/>
      </c>
      <c r="D48" s="24">
        <f>IF($B48="","",COUNTIFS(tblBilling[Month],$C$22,tblBilling[Location Code],$B48))</f>
        <v/>
      </c>
      <c r="E48" s="25">
        <f>IF($B48="","",SUMIFS(tblBilling[Monthly Fee],tblBilling[Month],$C$22,tblBilling[Location Code],$B48))</f>
        <v/>
      </c>
      <c r="F48" s="25">
        <f>IF($B48="","",SUMIFS(tblBilling[Amount Paid],tblBilling[Month],$C$22,tblBilling[Location Code],$B48))</f>
        <v/>
      </c>
      <c r="G48" s="25">
        <f>IF($B48="","",SUMIFS(tblBilling[Balance],tblBilling[Month],$C$22,tblBilling[Location Code],$B48))</f>
        <v/>
      </c>
      <c r="H48" s="91">
        <f>IF(OR($B48="",N(E48)=0),"",F48/E48)</f>
        <v/>
      </c>
      <c r="I48" s="24">
        <f>IF($B48="","",COUNTIFS(tblBilling[Month],$C$22,tblBilling[Location Code],$B48,tblBilling[Balance],"&gt;0"))</f>
        <v/>
      </c>
      <c r="J48" s="24">
        <f>IF($B48="","",COUNTIFS(tblCustomers[Location Code],$B48,tblCustomers[Customer Status],"Active"))</f>
        <v/>
      </c>
    </row>
    <row r="49">
      <c r="B49">
        <f>IFERROR(INDEX(tblLocations[Location Code],26)&amp;"","")</f>
        <v/>
      </c>
      <c r="C49">
        <f>IF($B49="","",INDEX(tblLocations[Full Address],26))</f>
        <v/>
      </c>
      <c r="D49" s="24">
        <f>IF($B49="","",COUNTIFS(tblBilling[Month],$C$22,tblBilling[Location Code],$B49))</f>
        <v/>
      </c>
      <c r="E49" s="25">
        <f>IF($B49="","",SUMIFS(tblBilling[Monthly Fee],tblBilling[Month],$C$22,tblBilling[Location Code],$B49))</f>
        <v/>
      </c>
      <c r="F49" s="25">
        <f>IF($B49="","",SUMIFS(tblBilling[Amount Paid],tblBilling[Month],$C$22,tblBilling[Location Code],$B49))</f>
        <v/>
      </c>
      <c r="G49" s="25">
        <f>IF($B49="","",SUMIFS(tblBilling[Balance],tblBilling[Month],$C$22,tblBilling[Location Code],$B49))</f>
        <v/>
      </c>
      <c r="H49" s="91">
        <f>IF(OR($B49="",N(E49)=0),"",F49/E49)</f>
        <v/>
      </c>
      <c r="I49" s="24">
        <f>IF($B49="","",COUNTIFS(tblBilling[Month],$C$22,tblBilling[Location Code],$B49,tblBilling[Balance],"&gt;0"))</f>
        <v/>
      </c>
      <c r="J49" s="24">
        <f>IF($B49="","",COUNTIFS(tblCustomers[Location Code],$B49,tblCustomers[Customer Status],"Active"))</f>
        <v/>
      </c>
    </row>
    <row r="50">
      <c r="B50">
        <f>IFERROR(INDEX(tblLocations[Location Code],27)&amp;"","")</f>
        <v/>
      </c>
      <c r="C50">
        <f>IF($B50="","",INDEX(tblLocations[Full Address],27))</f>
        <v/>
      </c>
      <c r="D50" s="24">
        <f>IF($B50="","",COUNTIFS(tblBilling[Month],$C$22,tblBilling[Location Code],$B50))</f>
        <v/>
      </c>
      <c r="E50" s="25">
        <f>IF($B50="","",SUMIFS(tblBilling[Monthly Fee],tblBilling[Month],$C$22,tblBilling[Location Code],$B50))</f>
        <v/>
      </c>
      <c r="F50" s="25">
        <f>IF($B50="","",SUMIFS(tblBilling[Amount Paid],tblBilling[Month],$C$22,tblBilling[Location Code],$B50))</f>
        <v/>
      </c>
      <c r="G50" s="25">
        <f>IF($B50="","",SUMIFS(tblBilling[Balance],tblBilling[Month],$C$22,tblBilling[Location Code],$B50))</f>
        <v/>
      </c>
      <c r="H50" s="91">
        <f>IF(OR($B50="",N(E50)=0),"",F50/E50)</f>
        <v/>
      </c>
      <c r="I50" s="24">
        <f>IF($B50="","",COUNTIFS(tblBilling[Month],$C$22,tblBilling[Location Code],$B50,tblBilling[Balance],"&gt;0"))</f>
        <v/>
      </c>
      <c r="J50" s="24">
        <f>IF($B50="","",COUNTIFS(tblCustomers[Location Code],$B50,tblCustomers[Customer Status],"Active"))</f>
        <v/>
      </c>
    </row>
    <row r="51">
      <c r="B51">
        <f>IFERROR(INDEX(tblLocations[Location Code],28)&amp;"","")</f>
        <v/>
      </c>
      <c r="C51">
        <f>IF($B51="","",INDEX(tblLocations[Full Address],28))</f>
        <v/>
      </c>
      <c r="D51" s="24">
        <f>IF($B51="","",COUNTIFS(tblBilling[Month],$C$22,tblBilling[Location Code],$B51))</f>
        <v/>
      </c>
      <c r="E51" s="25">
        <f>IF($B51="","",SUMIFS(tblBilling[Monthly Fee],tblBilling[Month],$C$22,tblBilling[Location Code],$B51))</f>
        <v/>
      </c>
      <c r="F51" s="25">
        <f>IF($B51="","",SUMIFS(tblBilling[Amount Paid],tblBilling[Month],$C$22,tblBilling[Location Code],$B51))</f>
        <v/>
      </c>
      <c r="G51" s="25">
        <f>IF($B51="","",SUMIFS(tblBilling[Balance],tblBilling[Month],$C$22,tblBilling[Location Code],$B51))</f>
        <v/>
      </c>
      <c r="H51" s="91">
        <f>IF(OR($B51="",N(E51)=0),"",F51/E51)</f>
        <v/>
      </c>
      <c r="I51" s="24">
        <f>IF($B51="","",COUNTIFS(tblBilling[Month],$C$22,tblBilling[Location Code],$B51,tblBilling[Balance],"&gt;0"))</f>
        <v/>
      </c>
      <c r="J51" s="24">
        <f>IF($B51="","",COUNTIFS(tblCustomers[Location Code],$B51,tblCustomers[Customer Status],"Active"))</f>
        <v/>
      </c>
    </row>
    <row r="52">
      <c r="B52">
        <f>IFERROR(INDEX(tblLocations[Location Code],29)&amp;"","")</f>
        <v/>
      </c>
      <c r="C52">
        <f>IF($B52="","",INDEX(tblLocations[Full Address],29))</f>
        <v/>
      </c>
      <c r="D52" s="24">
        <f>IF($B52="","",COUNTIFS(tblBilling[Month],$C$22,tblBilling[Location Code],$B52))</f>
        <v/>
      </c>
      <c r="E52" s="25">
        <f>IF($B52="","",SUMIFS(tblBilling[Monthly Fee],tblBilling[Month],$C$22,tblBilling[Location Code],$B52))</f>
        <v/>
      </c>
      <c r="F52" s="25">
        <f>IF($B52="","",SUMIFS(tblBilling[Amount Paid],tblBilling[Month],$C$22,tblBilling[Location Code],$B52))</f>
        <v/>
      </c>
      <c r="G52" s="25">
        <f>IF($B52="","",SUMIFS(tblBilling[Balance],tblBilling[Month],$C$22,tblBilling[Location Code],$B52))</f>
        <v/>
      </c>
      <c r="H52" s="91">
        <f>IF(OR($B52="",N(E52)=0),"",F52/E52)</f>
        <v/>
      </c>
      <c r="I52" s="24">
        <f>IF($B52="","",COUNTIFS(tblBilling[Month],$C$22,tblBilling[Location Code],$B52,tblBilling[Balance],"&gt;0"))</f>
        <v/>
      </c>
      <c r="J52" s="24">
        <f>IF($B52="","",COUNTIFS(tblCustomers[Location Code],$B52,tblCustomers[Customer Status],"Active"))</f>
        <v/>
      </c>
    </row>
    <row r="53">
      <c r="B53">
        <f>IFERROR(INDEX(tblLocations[Location Code],30)&amp;"","")</f>
        <v/>
      </c>
      <c r="C53">
        <f>IF($B53="","",INDEX(tblLocations[Full Address],30))</f>
        <v/>
      </c>
      <c r="D53" s="24">
        <f>IF($B53="","",COUNTIFS(tblBilling[Month],$C$22,tblBilling[Location Code],$B53))</f>
        <v/>
      </c>
      <c r="E53" s="25">
        <f>IF($B53="","",SUMIFS(tblBilling[Monthly Fee],tblBilling[Month],$C$22,tblBilling[Location Code],$B53))</f>
        <v/>
      </c>
      <c r="F53" s="25">
        <f>IF($B53="","",SUMIFS(tblBilling[Amount Paid],tblBilling[Month],$C$22,tblBilling[Location Code],$B53))</f>
        <v/>
      </c>
      <c r="G53" s="25">
        <f>IF($B53="","",SUMIFS(tblBilling[Balance],tblBilling[Month],$C$22,tblBilling[Location Code],$B53))</f>
        <v/>
      </c>
      <c r="H53" s="91">
        <f>IF(OR($B53="",N(E53)=0),"",F53/E53)</f>
        <v/>
      </c>
      <c r="I53" s="24">
        <f>IF($B53="","",COUNTIFS(tblBilling[Month],$C$22,tblBilling[Location Code],$B53,tblBilling[Balance],"&gt;0"))</f>
        <v/>
      </c>
      <c r="J53" s="24">
        <f>IF($B53="","",COUNTIFS(tblCustomers[Location Code],$B53,tblCustomers[Customer Status],"Active"))</f>
        <v/>
      </c>
    </row>
    <row r="54">
      <c r="B54">
        <f>IFERROR(INDEX(tblLocations[Location Code],31)&amp;"","")</f>
        <v/>
      </c>
      <c r="C54">
        <f>IF($B54="","",INDEX(tblLocations[Full Address],31))</f>
        <v/>
      </c>
      <c r="D54" s="24">
        <f>IF($B54="","",COUNTIFS(tblBilling[Month],$C$22,tblBilling[Location Code],$B54))</f>
        <v/>
      </c>
      <c r="E54" s="25">
        <f>IF($B54="","",SUMIFS(tblBilling[Monthly Fee],tblBilling[Month],$C$22,tblBilling[Location Code],$B54))</f>
        <v/>
      </c>
      <c r="F54" s="25">
        <f>IF($B54="","",SUMIFS(tblBilling[Amount Paid],tblBilling[Month],$C$22,tblBilling[Location Code],$B54))</f>
        <v/>
      </c>
      <c r="G54" s="25">
        <f>IF($B54="","",SUMIFS(tblBilling[Balance],tblBilling[Month],$C$22,tblBilling[Location Code],$B54))</f>
        <v/>
      </c>
      <c r="H54" s="91">
        <f>IF(OR($B54="",N(E54)=0),"",F54/E54)</f>
        <v/>
      </c>
      <c r="I54" s="24">
        <f>IF($B54="","",COUNTIFS(tblBilling[Month],$C$22,tblBilling[Location Code],$B54,tblBilling[Balance],"&gt;0"))</f>
        <v/>
      </c>
      <c r="J54" s="24">
        <f>IF($B54="","",COUNTIFS(tblCustomers[Location Code],$B54,tblCustomers[Customer Status],"Active"))</f>
        <v/>
      </c>
    </row>
    <row r="55">
      <c r="B55">
        <f>IFERROR(INDEX(tblLocations[Location Code],32)&amp;"","")</f>
        <v/>
      </c>
      <c r="C55">
        <f>IF($B55="","",INDEX(tblLocations[Full Address],32))</f>
        <v/>
      </c>
      <c r="D55" s="24">
        <f>IF($B55="","",COUNTIFS(tblBilling[Month],$C$22,tblBilling[Location Code],$B55))</f>
        <v/>
      </c>
      <c r="E55" s="25">
        <f>IF($B55="","",SUMIFS(tblBilling[Monthly Fee],tblBilling[Month],$C$22,tblBilling[Location Code],$B55))</f>
        <v/>
      </c>
      <c r="F55" s="25">
        <f>IF($B55="","",SUMIFS(tblBilling[Amount Paid],tblBilling[Month],$C$22,tblBilling[Location Code],$B55))</f>
        <v/>
      </c>
      <c r="G55" s="25">
        <f>IF($B55="","",SUMIFS(tblBilling[Balance],tblBilling[Month],$C$22,tblBilling[Location Code],$B55))</f>
        <v/>
      </c>
      <c r="H55" s="91">
        <f>IF(OR($B55="",N(E55)=0),"",F55/E55)</f>
        <v/>
      </c>
      <c r="I55" s="24">
        <f>IF($B55="","",COUNTIFS(tblBilling[Month],$C$22,tblBilling[Location Code],$B55,tblBilling[Balance],"&gt;0"))</f>
        <v/>
      </c>
      <c r="J55" s="24">
        <f>IF($B55="","",COUNTIFS(tblCustomers[Location Code],$B55,tblCustomers[Customer Status],"Active"))</f>
        <v/>
      </c>
    </row>
    <row r="56">
      <c r="B56">
        <f>IFERROR(INDEX(tblLocations[Location Code],33)&amp;"","")</f>
        <v/>
      </c>
      <c r="C56">
        <f>IF($B56="","",INDEX(tblLocations[Full Address],33))</f>
        <v/>
      </c>
      <c r="D56" s="24">
        <f>IF($B56="","",COUNTIFS(tblBilling[Month],$C$22,tblBilling[Location Code],$B56))</f>
        <v/>
      </c>
      <c r="E56" s="25">
        <f>IF($B56="","",SUMIFS(tblBilling[Monthly Fee],tblBilling[Month],$C$22,tblBilling[Location Code],$B56))</f>
        <v/>
      </c>
      <c r="F56" s="25">
        <f>IF($B56="","",SUMIFS(tblBilling[Amount Paid],tblBilling[Month],$C$22,tblBilling[Location Code],$B56))</f>
        <v/>
      </c>
      <c r="G56" s="25">
        <f>IF($B56="","",SUMIFS(tblBilling[Balance],tblBilling[Month],$C$22,tblBilling[Location Code],$B56))</f>
        <v/>
      </c>
      <c r="H56" s="91">
        <f>IF(OR($B56="",N(E56)=0),"",F56/E56)</f>
        <v/>
      </c>
      <c r="I56" s="24">
        <f>IF($B56="","",COUNTIFS(tblBilling[Month],$C$22,tblBilling[Location Code],$B56,tblBilling[Balance],"&gt;0"))</f>
        <v/>
      </c>
      <c r="J56" s="24">
        <f>IF($B56="","",COUNTIFS(tblCustomers[Location Code],$B56,tblCustomers[Customer Status],"Active"))</f>
        <v/>
      </c>
    </row>
    <row r="57">
      <c r="B57">
        <f>IFERROR(INDEX(tblLocations[Location Code],34)&amp;"","")</f>
        <v/>
      </c>
      <c r="C57">
        <f>IF($B57="","",INDEX(tblLocations[Full Address],34))</f>
        <v/>
      </c>
      <c r="D57" s="24">
        <f>IF($B57="","",COUNTIFS(tblBilling[Month],$C$22,tblBilling[Location Code],$B57))</f>
        <v/>
      </c>
      <c r="E57" s="25">
        <f>IF($B57="","",SUMIFS(tblBilling[Monthly Fee],tblBilling[Month],$C$22,tblBilling[Location Code],$B57))</f>
        <v/>
      </c>
      <c r="F57" s="25">
        <f>IF($B57="","",SUMIFS(tblBilling[Amount Paid],tblBilling[Month],$C$22,tblBilling[Location Code],$B57))</f>
        <v/>
      </c>
      <c r="G57" s="25">
        <f>IF($B57="","",SUMIFS(tblBilling[Balance],tblBilling[Month],$C$22,tblBilling[Location Code],$B57))</f>
        <v/>
      </c>
      <c r="H57" s="91">
        <f>IF(OR($B57="",N(E57)=0),"",F57/E57)</f>
        <v/>
      </c>
      <c r="I57" s="24">
        <f>IF($B57="","",COUNTIFS(tblBilling[Month],$C$22,tblBilling[Location Code],$B57,tblBilling[Balance],"&gt;0"))</f>
        <v/>
      </c>
      <c r="J57" s="24">
        <f>IF($B57="","",COUNTIFS(tblCustomers[Location Code],$B57,tblCustomers[Customer Status],"Active"))</f>
        <v/>
      </c>
    </row>
    <row r="58">
      <c r="B58">
        <f>IFERROR(INDEX(tblLocations[Location Code],35)&amp;"","")</f>
        <v/>
      </c>
      <c r="C58">
        <f>IF($B58="","",INDEX(tblLocations[Full Address],35))</f>
        <v/>
      </c>
      <c r="D58" s="24">
        <f>IF($B58="","",COUNTIFS(tblBilling[Month],$C$22,tblBilling[Location Code],$B58))</f>
        <v/>
      </c>
      <c r="E58" s="25">
        <f>IF($B58="","",SUMIFS(tblBilling[Monthly Fee],tblBilling[Month],$C$22,tblBilling[Location Code],$B58))</f>
        <v/>
      </c>
      <c r="F58" s="25">
        <f>IF($B58="","",SUMIFS(tblBilling[Amount Paid],tblBilling[Month],$C$22,tblBilling[Location Code],$B58))</f>
        <v/>
      </c>
      <c r="G58" s="25">
        <f>IF($B58="","",SUMIFS(tblBilling[Balance],tblBilling[Month],$C$22,tblBilling[Location Code],$B58))</f>
        <v/>
      </c>
      <c r="H58" s="91">
        <f>IF(OR($B58="",N(E58)=0),"",F58/E58)</f>
        <v/>
      </c>
      <c r="I58" s="24">
        <f>IF($B58="","",COUNTIFS(tblBilling[Month],$C$22,tblBilling[Location Code],$B58,tblBilling[Balance],"&gt;0"))</f>
        <v/>
      </c>
      <c r="J58" s="24">
        <f>IF($B58="","",COUNTIFS(tblCustomers[Location Code],$B58,tblCustomers[Customer Status],"Active"))</f>
        <v/>
      </c>
    </row>
    <row r="59">
      <c r="B59">
        <f>IFERROR(INDEX(tblLocations[Location Code],36)&amp;"","")</f>
        <v/>
      </c>
      <c r="C59">
        <f>IF($B59="","",INDEX(tblLocations[Full Address],36))</f>
        <v/>
      </c>
      <c r="D59" s="24">
        <f>IF($B59="","",COUNTIFS(tblBilling[Month],$C$22,tblBilling[Location Code],$B59))</f>
        <v/>
      </c>
      <c r="E59" s="25">
        <f>IF($B59="","",SUMIFS(tblBilling[Monthly Fee],tblBilling[Month],$C$22,tblBilling[Location Code],$B59))</f>
        <v/>
      </c>
      <c r="F59" s="25">
        <f>IF($B59="","",SUMIFS(tblBilling[Amount Paid],tblBilling[Month],$C$22,tblBilling[Location Code],$B59))</f>
        <v/>
      </c>
      <c r="G59" s="25">
        <f>IF($B59="","",SUMIFS(tblBilling[Balance],tblBilling[Month],$C$22,tblBilling[Location Code],$B59))</f>
        <v/>
      </c>
      <c r="H59" s="91">
        <f>IF(OR($B59="",N(E59)=0),"",F59/E59)</f>
        <v/>
      </c>
      <c r="I59" s="24">
        <f>IF($B59="","",COUNTIFS(tblBilling[Month],$C$22,tblBilling[Location Code],$B59,tblBilling[Balance],"&gt;0"))</f>
        <v/>
      </c>
      <c r="J59" s="24">
        <f>IF($B59="","",COUNTIFS(tblCustomers[Location Code],$B59,tblCustomers[Customer Status],"Active"))</f>
        <v/>
      </c>
    </row>
    <row r="60">
      <c r="B60">
        <f>IFERROR(INDEX(tblLocations[Location Code],37)&amp;"","")</f>
        <v/>
      </c>
      <c r="C60">
        <f>IF($B60="","",INDEX(tblLocations[Full Address],37))</f>
        <v/>
      </c>
      <c r="D60" s="24">
        <f>IF($B60="","",COUNTIFS(tblBilling[Month],$C$22,tblBilling[Location Code],$B60))</f>
        <v/>
      </c>
      <c r="E60" s="25">
        <f>IF($B60="","",SUMIFS(tblBilling[Monthly Fee],tblBilling[Month],$C$22,tblBilling[Location Code],$B60))</f>
        <v/>
      </c>
      <c r="F60" s="25">
        <f>IF($B60="","",SUMIFS(tblBilling[Amount Paid],tblBilling[Month],$C$22,tblBilling[Location Code],$B60))</f>
        <v/>
      </c>
      <c r="G60" s="25">
        <f>IF($B60="","",SUMIFS(tblBilling[Balance],tblBilling[Month],$C$22,tblBilling[Location Code],$B60))</f>
        <v/>
      </c>
      <c r="H60" s="91">
        <f>IF(OR($B60="",N(E60)=0),"",F60/E60)</f>
        <v/>
      </c>
      <c r="I60" s="24">
        <f>IF($B60="","",COUNTIFS(tblBilling[Month],$C$22,tblBilling[Location Code],$B60,tblBilling[Balance],"&gt;0"))</f>
        <v/>
      </c>
      <c r="J60" s="24">
        <f>IF($B60="","",COUNTIFS(tblCustomers[Location Code],$B60,tblCustomers[Customer Status],"Active"))</f>
        <v/>
      </c>
    </row>
    <row r="61">
      <c r="B61">
        <f>IFERROR(INDEX(tblLocations[Location Code],38)&amp;"","")</f>
        <v/>
      </c>
      <c r="C61">
        <f>IF($B61="","",INDEX(tblLocations[Full Address],38))</f>
        <v/>
      </c>
      <c r="D61" s="24">
        <f>IF($B61="","",COUNTIFS(tblBilling[Month],$C$22,tblBilling[Location Code],$B61))</f>
        <v/>
      </c>
      <c r="E61" s="25">
        <f>IF($B61="","",SUMIFS(tblBilling[Monthly Fee],tblBilling[Month],$C$22,tblBilling[Location Code],$B61))</f>
        <v/>
      </c>
      <c r="F61" s="25">
        <f>IF($B61="","",SUMIFS(tblBilling[Amount Paid],tblBilling[Month],$C$22,tblBilling[Location Code],$B61))</f>
        <v/>
      </c>
      <c r="G61" s="25">
        <f>IF($B61="","",SUMIFS(tblBilling[Balance],tblBilling[Month],$C$22,tblBilling[Location Code],$B61))</f>
        <v/>
      </c>
      <c r="H61" s="91">
        <f>IF(OR($B61="",N(E61)=0),"",F61/E61)</f>
        <v/>
      </c>
      <c r="I61" s="24">
        <f>IF($B61="","",COUNTIFS(tblBilling[Month],$C$22,tblBilling[Location Code],$B61,tblBilling[Balance],"&gt;0"))</f>
        <v/>
      </c>
      <c r="J61" s="24">
        <f>IF($B61="","",COUNTIFS(tblCustomers[Location Code],$B61,tblCustomers[Customer Status],"Active"))</f>
        <v/>
      </c>
    </row>
    <row r="62">
      <c r="B62">
        <f>IFERROR(INDEX(tblLocations[Location Code],39)&amp;"","")</f>
        <v/>
      </c>
      <c r="C62">
        <f>IF($B62="","",INDEX(tblLocations[Full Address],39))</f>
        <v/>
      </c>
      <c r="D62" s="24">
        <f>IF($B62="","",COUNTIFS(tblBilling[Month],$C$22,tblBilling[Location Code],$B62))</f>
        <v/>
      </c>
      <c r="E62" s="25">
        <f>IF($B62="","",SUMIFS(tblBilling[Monthly Fee],tblBilling[Month],$C$22,tblBilling[Location Code],$B62))</f>
        <v/>
      </c>
      <c r="F62" s="25">
        <f>IF($B62="","",SUMIFS(tblBilling[Amount Paid],tblBilling[Month],$C$22,tblBilling[Location Code],$B62))</f>
        <v/>
      </c>
      <c r="G62" s="25">
        <f>IF($B62="","",SUMIFS(tblBilling[Balance],tblBilling[Month],$C$22,tblBilling[Location Code],$B62))</f>
        <v/>
      </c>
      <c r="H62" s="91">
        <f>IF(OR($B62="",N(E62)=0),"",F62/E62)</f>
        <v/>
      </c>
      <c r="I62" s="24">
        <f>IF($B62="","",COUNTIFS(tblBilling[Month],$C$22,tblBilling[Location Code],$B62,tblBilling[Balance],"&gt;0"))</f>
        <v/>
      </c>
      <c r="J62" s="24">
        <f>IF($B62="","",COUNTIFS(tblCustomers[Location Code],$B62,tblCustomers[Customer Status],"Active"))</f>
        <v/>
      </c>
    </row>
    <row r="63">
      <c r="B63">
        <f>IFERROR(INDEX(tblLocations[Location Code],40)&amp;"","")</f>
        <v/>
      </c>
      <c r="C63">
        <f>IF($B63="","",INDEX(tblLocations[Full Address],40))</f>
        <v/>
      </c>
      <c r="D63" s="24">
        <f>IF($B63="","",COUNTIFS(tblBilling[Month],$C$22,tblBilling[Location Code],$B63))</f>
        <v/>
      </c>
      <c r="E63" s="25">
        <f>IF($B63="","",SUMIFS(tblBilling[Monthly Fee],tblBilling[Month],$C$22,tblBilling[Location Code],$B63))</f>
        <v/>
      </c>
      <c r="F63" s="25">
        <f>IF($B63="","",SUMIFS(tblBilling[Amount Paid],tblBilling[Month],$C$22,tblBilling[Location Code],$B63))</f>
        <v/>
      </c>
      <c r="G63" s="25">
        <f>IF($B63="","",SUMIFS(tblBilling[Balance],tblBilling[Month],$C$22,tblBilling[Location Code],$B63))</f>
        <v/>
      </c>
      <c r="H63" s="91">
        <f>IF(OR($B63="",N(E63)=0),"",F63/E63)</f>
        <v/>
      </c>
      <c r="I63" s="24">
        <f>IF($B63="","",COUNTIFS(tblBilling[Month],$C$22,tblBilling[Location Code],$B63,tblBilling[Balance],"&gt;0"))</f>
        <v/>
      </c>
      <c r="J63" s="24">
        <f>IF($B63="","",COUNTIFS(tblCustomers[Location Code],$B63,tblCustomers[Customer Status],"Active"))</f>
        <v/>
      </c>
    </row>
    <row r="64">
      <c r="B64">
        <f>IFERROR(INDEX(tblLocations[Location Code],41)&amp;"","")</f>
        <v/>
      </c>
      <c r="C64">
        <f>IF($B64="","",INDEX(tblLocations[Full Address],41))</f>
        <v/>
      </c>
      <c r="D64" s="24">
        <f>IF($B64="","",COUNTIFS(tblBilling[Month],$C$22,tblBilling[Location Code],$B64))</f>
        <v/>
      </c>
      <c r="E64" s="25">
        <f>IF($B64="","",SUMIFS(tblBilling[Monthly Fee],tblBilling[Month],$C$22,tblBilling[Location Code],$B64))</f>
        <v/>
      </c>
      <c r="F64" s="25">
        <f>IF($B64="","",SUMIFS(tblBilling[Amount Paid],tblBilling[Month],$C$22,tblBilling[Location Code],$B64))</f>
        <v/>
      </c>
      <c r="G64" s="25">
        <f>IF($B64="","",SUMIFS(tblBilling[Balance],tblBilling[Month],$C$22,tblBilling[Location Code],$B64))</f>
        <v/>
      </c>
      <c r="H64" s="91">
        <f>IF(OR($B64="",N(E64)=0),"",F64/E64)</f>
        <v/>
      </c>
      <c r="I64" s="24">
        <f>IF($B64="","",COUNTIFS(tblBilling[Month],$C$22,tblBilling[Location Code],$B64,tblBilling[Balance],"&gt;0"))</f>
        <v/>
      </c>
      <c r="J64" s="24">
        <f>IF($B64="","",COUNTIFS(tblCustomers[Location Code],$B64,tblCustomers[Customer Status],"Active"))</f>
        <v/>
      </c>
    </row>
    <row r="65">
      <c r="B65">
        <f>IFERROR(INDEX(tblLocations[Location Code],42)&amp;"","")</f>
        <v/>
      </c>
      <c r="C65">
        <f>IF($B65="","",INDEX(tblLocations[Full Address],42))</f>
        <v/>
      </c>
      <c r="D65" s="24">
        <f>IF($B65="","",COUNTIFS(tblBilling[Month],$C$22,tblBilling[Location Code],$B65))</f>
        <v/>
      </c>
      <c r="E65" s="25">
        <f>IF($B65="","",SUMIFS(tblBilling[Monthly Fee],tblBilling[Month],$C$22,tblBilling[Location Code],$B65))</f>
        <v/>
      </c>
      <c r="F65" s="25">
        <f>IF($B65="","",SUMIFS(tblBilling[Amount Paid],tblBilling[Month],$C$22,tblBilling[Location Code],$B65))</f>
        <v/>
      </c>
      <c r="G65" s="25">
        <f>IF($B65="","",SUMIFS(tblBilling[Balance],tblBilling[Month],$C$22,tblBilling[Location Code],$B65))</f>
        <v/>
      </c>
      <c r="H65" s="91">
        <f>IF(OR($B65="",N(E65)=0),"",F65/E65)</f>
        <v/>
      </c>
      <c r="I65" s="24">
        <f>IF($B65="","",COUNTIFS(tblBilling[Month],$C$22,tblBilling[Location Code],$B65,tblBilling[Balance],"&gt;0"))</f>
        <v/>
      </c>
      <c r="J65" s="24">
        <f>IF($B65="","",COUNTIFS(tblCustomers[Location Code],$B65,tblCustomers[Customer Status],"Active"))</f>
        <v/>
      </c>
    </row>
    <row r="66">
      <c r="B66">
        <f>IFERROR(INDEX(tblLocations[Location Code],43)&amp;"","")</f>
        <v/>
      </c>
      <c r="C66">
        <f>IF($B66="","",INDEX(tblLocations[Full Address],43))</f>
        <v/>
      </c>
      <c r="D66" s="24">
        <f>IF($B66="","",COUNTIFS(tblBilling[Month],$C$22,tblBilling[Location Code],$B66))</f>
        <v/>
      </c>
      <c r="E66" s="25">
        <f>IF($B66="","",SUMIFS(tblBilling[Monthly Fee],tblBilling[Month],$C$22,tblBilling[Location Code],$B66))</f>
        <v/>
      </c>
      <c r="F66" s="25">
        <f>IF($B66="","",SUMIFS(tblBilling[Amount Paid],tblBilling[Month],$C$22,tblBilling[Location Code],$B66))</f>
        <v/>
      </c>
      <c r="G66" s="25">
        <f>IF($B66="","",SUMIFS(tblBilling[Balance],tblBilling[Month],$C$22,tblBilling[Location Code],$B66))</f>
        <v/>
      </c>
      <c r="H66" s="91">
        <f>IF(OR($B66="",N(E66)=0),"",F66/E66)</f>
        <v/>
      </c>
      <c r="I66" s="24">
        <f>IF($B66="","",COUNTIFS(tblBilling[Month],$C$22,tblBilling[Location Code],$B66,tblBilling[Balance],"&gt;0"))</f>
        <v/>
      </c>
      <c r="J66" s="24">
        <f>IF($B66="","",COUNTIFS(tblCustomers[Location Code],$B66,tblCustomers[Customer Status],"Active"))</f>
        <v/>
      </c>
    </row>
    <row r="67">
      <c r="B67">
        <f>IFERROR(INDEX(tblLocations[Location Code],44)&amp;"","")</f>
        <v/>
      </c>
      <c r="C67">
        <f>IF($B67="","",INDEX(tblLocations[Full Address],44))</f>
        <v/>
      </c>
      <c r="D67" s="24">
        <f>IF($B67="","",COUNTIFS(tblBilling[Month],$C$22,tblBilling[Location Code],$B67))</f>
        <v/>
      </c>
      <c r="E67" s="25">
        <f>IF($B67="","",SUMIFS(tblBilling[Monthly Fee],tblBilling[Month],$C$22,tblBilling[Location Code],$B67))</f>
        <v/>
      </c>
      <c r="F67" s="25">
        <f>IF($B67="","",SUMIFS(tblBilling[Amount Paid],tblBilling[Month],$C$22,tblBilling[Location Code],$B67))</f>
        <v/>
      </c>
      <c r="G67" s="25">
        <f>IF($B67="","",SUMIFS(tblBilling[Balance],tblBilling[Month],$C$22,tblBilling[Location Code],$B67))</f>
        <v/>
      </c>
      <c r="H67" s="91">
        <f>IF(OR($B67="",N(E67)=0),"",F67/E67)</f>
        <v/>
      </c>
      <c r="I67" s="24">
        <f>IF($B67="","",COUNTIFS(tblBilling[Month],$C$22,tblBilling[Location Code],$B67,tblBilling[Balance],"&gt;0"))</f>
        <v/>
      </c>
      <c r="J67" s="24">
        <f>IF($B67="","",COUNTIFS(tblCustomers[Location Code],$B67,tblCustomers[Customer Status],"Active"))</f>
        <v/>
      </c>
    </row>
    <row r="68">
      <c r="B68">
        <f>IFERROR(INDEX(tblLocations[Location Code],45)&amp;"","")</f>
        <v/>
      </c>
      <c r="C68">
        <f>IF($B68="","",INDEX(tblLocations[Full Address],45))</f>
        <v/>
      </c>
      <c r="D68" s="24">
        <f>IF($B68="","",COUNTIFS(tblBilling[Month],$C$22,tblBilling[Location Code],$B68))</f>
        <v/>
      </c>
      <c r="E68" s="25">
        <f>IF($B68="","",SUMIFS(tblBilling[Monthly Fee],tblBilling[Month],$C$22,tblBilling[Location Code],$B68))</f>
        <v/>
      </c>
      <c r="F68" s="25">
        <f>IF($B68="","",SUMIFS(tblBilling[Amount Paid],tblBilling[Month],$C$22,tblBilling[Location Code],$B68))</f>
        <v/>
      </c>
      <c r="G68" s="25">
        <f>IF($B68="","",SUMIFS(tblBilling[Balance],tblBilling[Month],$C$22,tblBilling[Location Code],$B68))</f>
        <v/>
      </c>
      <c r="H68" s="91">
        <f>IF(OR($B68="",N(E68)=0),"",F68/E68)</f>
        <v/>
      </c>
      <c r="I68" s="24">
        <f>IF($B68="","",COUNTIFS(tblBilling[Month],$C$22,tblBilling[Location Code],$B68,tblBilling[Balance],"&gt;0"))</f>
        <v/>
      </c>
      <c r="J68" s="24">
        <f>IF($B68="","",COUNTIFS(tblCustomers[Location Code],$B68,tblCustomers[Customer Status],"Active"))</f>
        <v/>
      </c>
    </row>
    <row r="69">
      <c r="B69">
        <f>IFERROR(INDEX(tblLocations[Location Code],46)&amp;"","")</f>
        <v/>
      </c>
      <c r="C69">
        <f>IF($B69="","",INDEX(tblLocations[Full Address],46))</f>
        <v/>
      </c>
      <c r="D69" s="24">
        <f>IF($B69="","",COUNTIFS(tblBilling[Month],$C$22,tblBilling[Location Code],$B69))</f>
        <v/>
      </c>
      <c r="E69" s="25">
        <f>IF($B69="","",SUMIFS(tblBilling[Monthly Fee],tblBilling[Month],$C$22,tblBilling[Location Code],$B69))</f>
        <v/>
      </c>
      <c r="F69" s="25">
        <f>IF($B69="","",SUMIFS(tblBilling[Amount Paid],tblBilling[Month],$C$22,tblBilling[Location Code],$B69))</f>
        <v/>
      </c>
      <c r="G69" s="25">
        <f>IF($B69="","",SUMIFS(tblBilling[Balance],tblBilling[Month],$C$22,tblBilling[Location Code],$B69))</f>
        <v/>
      </c>
      <c r="H69" s="91">
        <f>IF(OR($B69="",N(E69)=0),"",F69/E69)</f>
        <v/>
      </c>
      <c r="I69" s="24">
        <f>IF($B69="","",COUNTIFS(tblBilling[Month],$C$22,tblBilling[Location Code],$B69,tblBilling[Balance],"&gt;0"))</f>
        <v/>
      </c>
      <c r="J69" s="24">
        <f>IF($B69="","",COUNTIFS(tblCustomers[Location Code],$B69,tblCustomers[Customer Status],"Active"))</f>
        <v/>
      </c>
    </row>
    <row r="70">
      <c r="B70">
        <f>IFERROR(INDEX(tblLocations[Location Code],47)&amp;"","")</f>
        <v/>
      </c>
      <c r="C70">
        <f>IF($B70="","",INDEX(tblLocations[Full Address],47))</f>
        <v/>
      </c>
      <c r="D70" s="24">
        <f>IF($B70="","",COUNTIFS(tblBilling[Month],$C$22,tblBilling[Location Code],$B70))</f>
        <v/>
      </c>
      <c r="E70" s="25">
        <f>IF($B70="","",SUMIFS(tblBilling[Monthly Fee],tblBilling[Month],$C$22,tblBilling[Location Code],$B70))</f>
        <v/>
      </c>
      <c r="F70" s="25">
        <f>IF($B70="","",SUMIFS(tblBilling[Amount Paid],tblBilling[Month],$C$22,tblBilling[Location Code],$B70))</f>
        <v/>
      </c>
      <c r="G70" s="25">
        <f>IF($B70="","",SUMIFS(tblBilling[Balance],tblBilling[Month],$C$22,tblBilling[Location Code],$B70))</f>
        <v/>
      </c>
      <c r="H70" s="91">
        <f>IF(OR($B70="",N(E70)=0),"",F70/E70)</f>
        <v/>
      </c>
      <c r="I70" s="24">
        <f>IF($B70="","",COUNTIFS(tblBilling[Month],$C$22,tblBilling[Location Code],$B70,tblBilling[Balance],"&gt;0"))</f>
        <v/>
      </c>
      <c r="J70" s="24">
        <f>IF($B70="","",COUNTIFS(tblCustomers[Location Code],$B70,tblCustomers[Customer Status],"Active"))</f>
        <v/>
      </c>
    </row>
    <row r="71">
      <c r="B71">
        <f>IFERROR(INDEX(tblLocations[Location Code],48)&amp;"","")</f>
        <v/>
      </c>
      <c r="C71">
        <f>IF($B71="","",INDEX(tblLocations[Full Address],48))</f>
        <v/>
      </c>
      <c r="D71" s="24">
        <f>IF($B71="","",COUNTIFS(tblBilling[Month],$C$22,tblBilling[Location Code],$B71))</f>
        <v/>
      </c>
      <c r="E71" s="25">
        <f>IF($B71="","",SUMIFS(tblBilling[Monthly Fee],tblBilling[Month],$C$22,tblBilling[Location Code],$B71))</f>
        <v/>
      </c>
      <c r="F71" s="25">
        <f>IF($B71="","",SUMIFS(tblBilling[Amount Paid],tblBilling[Month],$C$22,tblBilling[Location Code],$B71))</f>
        <v/>
      </c>
      <c r="G71" s="25">
        <f>IF($B71="","",SUMIFS(tblBilling[Balance],tblBilling[Month],$C$22,tblBilling[Location Code],$B71))</f>
        <v/>
      </c>
      <c r="H71" s="91">
        <f>IF(OR($B71="",N(E71)=0),"",F71/E71)</f>
        <v/>
      </c>
      <c r="I71" s="24">
        <f>IF($B71="","",COUNTIFS(tblBilling[Month],$C$22,tblBilling[Location Code],$B71,tblBilling[Balance],"&gt;0"))</f>
        <v/>
      </c>
      <c r="J71" s="24">
        <f>IF($B71="","",COUNTIFS(tblCustomers[Location Code],$B71,tblCustomers[Customer Status],"Active"))</f>
        <v/>
      </c>
    </row>
    <row r="72">
      <c r="B72">
        <f>IFERROR(INDEX(tblLocations[Location Code],49)&amp;"","")</f>
        <v/>
      </c>
      <c r="C72">
        <f>IF($B72="","",INDEX(tblLocations[Full Address],49))</f>
        <v/>
      </c>
      <c r="D72" s="24">
        <f>IF($B72="","",COUNTIFS(tblBilling[Month],$C$22,tblBilling[Location Code],$B72))</f>
        <v/>
      </c>
      <c r="E72" s="25">
        <f>IF($B72="","",SUMIFS(tblBilling[Monthly Fee],tblBilling[Month],$C$22,tblBilling[Location Code],$B72))</f>
        <v/>
      </c>
      <c r="F72" s="25">
        <f>IF($B72="","",SUMIFS(tblBilling[Amount Paid],tblBilling[Month],$C$22,tblBilling[Location Code],$B72))</f>
        <v/>
      </c>
      <c r="G72" s="25">
        <f>IF($B72="","",SUMIFS(tblBilling[Balance],tblBilling[Month],$C$22,tblBilling[Location Code],$B72))</f>
        <v/>
      </c>
      <c r="H72" s="91">
        <f>IF(OR($B72="",N(E72)=0),"",F72/E72)</f>
        <v/>
      </c>
      <c r="I72" s="24">
        <f>IF($B72="","",COUNTIFS(tblBilling[Month],$C$22,tblBilling[Location Code],$B72,tblBilling[Balance],"&gt;0"))</f>
        <v/>
      </c>
      <c r="J72" s="24">
        <f>IF($B72="","",COUNTIFS(tblCustomers[Location Code],$B72,tblCustomers[Customer Status],"Active"))</f>
        <v/>
      </c>
    </row>
    <row r="73">
      <c r="B73">
        <f>IFERROR(INDEX(tblLocations[Location Code],50)&amp;"","")</f>
        <v/>
      </c>
      <c r="C73">
        <f>IF($B73="","",INDEX(tblLocations[Full Address],50))</f>
        <v/>
      </c>
      <c r="D73" s="24">
        <f>IF($B73="","",COUNTIFS(tblBilling[Month],$C$22,tblBilling[Location Code],$B73))</f>
        <v/>
      </c>
      <c r="E73" s="25">
        <f>IF($B73="","",SUMIFS(tblBilling[Monthly Fee],tblBilling[Month],$C$22,tblBilling[Location Code],$B73))</f>
        <v/>
      </c>
      <c r="F73" s="25">
        <f>IF($B73="","",SUMIFS(tblBilling[Amount Paid],tblBilling[Month],$C$22,tblBilling[Location Code],$B73))</f>
        <v/>
      </c>
      <c r="G73" s="25">
        <f>IF($B73="","",SUMIFS(tblBilling[Balance],tblBilling[Month],$C$22,tblBilling[Location Code],$B73))</f>
        <v/>
      </c>
      <c r="H73" s="91">
        <f>IF(OR($B73="",N(E73)=0),"",F73/E73)</f>
        <v/>
      </c>
      <c r="I73" s="24">
        <f>IF($B73="","",COUNTIFS(tblBilling[Month],$C$22,tblBilling[Location Code],$B73,tblBilling[Balance],"&gt;0"))</f>
        <v/>
      </c>
      <c r="J73" s="24">
        <f>IF($B73="","",COUNTIFS(tblCustomers[Location Code],$B73,tblCustomers[Customer Status],"Active"))</f>
        <v/>
      </c>
    </row>
    <row r="74">
      <c r="B74">
        <f>IFERROR(INDEX(tblLocations[Location Code],51)&amp;"","")</f>
        <v/>
      </c>
      <c r="C74">
        <f>IF($B74="","",INDEX(tblLocations[Full Address],51))</f>
        <v/>
      </c>
      <c r="D74" s="24">
        <f>IF($B74="","",COUNTIFS(tblBilling[Month],$C$22,tblBilling[Location Code],$B74))</f>
        <v/>
      </c>
      <c r="E74" s="25">
        <f>IF($B74="","",SUMIFS(tblBilling[Monthly Fee],tblBilling[Month],$C$22,tblBilling[Location Code],$B74))</f>
        <v/>
      </c>
      <c r="F74" s="25">
        <f>IF($B74="","",SUMIFS(tblBilling[Amount Paid],tblBilling[Month],$C$22,tblBilling[Location Code],$B74))</f>
        <v/>
      </c>
      <c r="G74" s="25">
        <f>IF($B74="","",SUMIFS(tblBilling[Balance],tblBilling[Month],$C$22,tblBilling[Location Code],$B74))</f>
        <v/>
      </c>
      <c r="H74" s="91">
        <f>IF(OR($B74="",N(E74)=0),"",F74/E74)</f>
        <v/>
      </c>
      <c r="I74" s="24">
        <f>IF($B74="","",COUNTIFS(tblBilling[Month],$C$22,tblBilling[Location Code],$B74,tblBilling[Balance],"&gt;0"))</f>
        <v/>
      </c>
      <c r="J74" s="24">
        <f>IF($B74="","",COUNTIFS(tblCustomers[Location Code],$B74,tblCustomers[Customer Status],"Active"))</f>
        <v/>
      </c>
    </row>
    <row r="75">
      <c r="B75">
        <f>IFERROR(INDEX(tblLocations[Location Code],52)&amp;"","")</f>
        <v/>
      </c>
      <c r="C75">
        <f>IF($B75="","",INDEX(tblLocations[Full Address],52))</f>
        <v/>
      </c>
      <c r="D75" s="24">
        <f>IF($B75="","",COUNTIFS(tblBilling[Month],$C$22,tblBilling[Location Code],$B75))</f>
        <v/>
      </c>
      <c r="E75" s="25">
        <f>IF($B75="","",SUMIFS(tblBilling[Monthly Fee],tblBilling[Month],$C$22,tblBilling[Location Code],$B75))</f>
        <v/>
      </c>
      <c r="F75" s="25">
        <f>IF($B75="","",SUMIFS(tblBilling[Amount Paid],tblBilling[Month],$C$22,tblBilling[Location Code],$B75))</f>
        <v/>
      </c>
      <c r="G75" s="25">
        <f>IF($B75="","",SUMIFS(tblBilling[Balance],tblBilling[Month],$C$22,tblBilling[Location Code],$B75))</f>
        <v/>
      </c>
      <c r="H75" s="91">
        <f>IF(OR($B75="",N(E75)=0),"",F75/E75)</f>
        <v/>
      </c>
      <c r="I75" s="24">
        <f>IF($B75="","",COUNTIFS(tblBilling[Month],$C$22,tblBilling[Location Code],$B75,tblBilling[Balance],"&gt;0"))</f>
        <v/>
      </c>
      <c r="J75" s="24">
        <f>IF($B75="","",COUNTIFS(tblCustomers[Location Code],$B75,tblCustomers[Customer Status],"Active"))</f>
        <v/>
      </c>
    </row>
    <row r="76">
      <c r="B76">
        <f>IFERROR(INDEX(tblLocations[Location Code],53)&amp;"","")</f>
        <v/>
      </c>
      <c r="C76">
        <f>IF($B76="","",INDEX(tblLocations[Full Address],53))</f>
        <v/>
      </c>
      <c r="D76" s="24">
        <f>IF($B76="","",COUNTIFS(tblBilling[Month],$C$22,tblBilling[Location Code],$B76))</f>
        <v/>
      </c>
      <c r="E76" s="25">
        <f>IF($B76="","",SUMIFS(tblBilling[Monthly Fee],tblBilling[Month],$C$22,tblBilling[Location Code],$B76))</f>
        <v/>
      </c>
      <c r="F76" s="25">
        <f>IF($B76="","",SUMIFS(tblBilling[Amount Paid],tblBilling[Month],$C$22,tblBilling[Location Code],$B76))</f>
        <v/>
      </c>
      <c r="G76" s="25">
        <f>IF($B76="","",SUMIFS(tblBilling[Balance],tblBilling[Month],$C$22,tblBilling[Location Code],$B76))</f>
        <v/>
      </c>
      <c r="H76" s="91">
        <f>IF(OR($B76="",N(E76)=0),"",F76/E76)</f>
        <v/>
      </c>
      <c r="I76" s="24">
        <f>IF($B76="","",COUNTIFS(tblBilling[Month],$C$22,tblBilling[Location Code],$B76,tblBilling[Balance],"&gt;0"))</f>
        <v/>
      </c>
      <c r="J76" s="24">
        <f>IF($B76="","",COUNTIFS(tblCustomers[Location Code],$B76,tblCustomers[Customer Status],"Active"))</f>
        <v/>
      </c>
    </row>
    <row r="77">
      <c r="B77">
        <f>IFERROR(INDEX(tblLocations[Location Code],54)&amp;"","")</f>
        <v/>
      </c>
      <c r="C77">
        <f>IF($B77="","",INDEX(tblLocations[Full Address],54))</f>
        <v/>
      </c>
      <c r="D77" s="24">
        <f>IF($B77="","",COUNTIFS(tblBilling[Month],$C$22,tblBilling[Location Code],$B77))</f>
        <v/>
      </c>
      <c r="E77" s="25">
        <f>IF($B77="","",SUMIFS(tblBilling[Monthly Fee],tblBilling[Month],$C$22,tblBilling[Location Code],$B77))</f>
        <v/>
      </c>
      <c r="F77" s="25">
        <f>IF($B77="","",SUMIFS(tblBilling[Amount Paid],tblBilling[Month],$C$22,tblBilling[Location Code],$B77))</f>
        <v/>
      </c>
      <c r="G77" s="25">
        <f>IF($B77="","",SUMIFS(tblBilling[Balance],tblBilling[Month],$C$22,tblBilling[Location Code],$B77))</f>
        <v/>
      </c>
      <c r="H77" s="91">
        <f>IF(OR($B77="",N(E77)=0),"",F77/E77)</f>
        <v/>
      </c>
      <c r="I77" s="24">
        <f>IF($B77="","",COUNTIFS(tblBilling[Month],$C$22,tblBilling[Location Code],$B77,tblBilling[Balance],"&gt;0"))</f>
        <v/>
      </c>
      <c r="J77" s="24">
        <f>IF($B77="","",COUNTIFS(tblCustomers[Location Code],$B77,tblCustomers[Customer Status],"Active"))</f>
        <v/>
      </c>
    </row>
    <row r="78">
      <c r="B78">
        <f>IFERROR(INDEX(tblLocations[Location Code],55)&amp;"","")</f>
        <v/>
      </c>
      <c r="C78">
        <f>IF($B78="","",INDEX(tblLocations[Full Address],55))</f>
        <v/>
      </c>
      <c r="D78" s="24">
        <f>IF($B78="","",COUNTIFS(tblBilling[Month],$C$22,tblBilling[Location Code],$B78))</f>
        <v/>
      </c>
      <c r="E78" s="25">
        <f>IF($B78="","",SUMIFS(tblBilling[Monthly Fee],tblBilling[Month],$C$22,tblBilling[Location Code],$B78))</f>
        <v/>
      </c>
      <c r="F78" s="25">
        <f>IF($B78="","",SUMIFS(tblBilling[Amount Paid],tblBilling[Month],$C$22,tblBilling[Location Code],$B78))</f>
        <v/>
      </c>
      <c r="G78" s="25">
        <f>IF($B78="","",SUMIFS(tblBilling[Balance],tblBilling[Month],$C$22,tblBilling[Location Code],$B78))</f>
        <v/>
      </c>
      <c r="H78" s="91">
        <f>IF(OR($B78="",N(E78)=0),"",F78/E78)</f>
        <v/>
      </c>
      <c r="I78" s="24">
        <f>IF($B78="","",COUNTIFS(tblBilling[Month],$C$22,tblBilling[Location Code],$B78,tblBilling[Balance],"&gt;0"))</f>
        <v/>
      </c>
      <c r="J78" s="24">
        <f>IF($B78="","",COUNTIFS(tblCustomers[Location Code],$B78,tblCustomers[Customer Status],"Active"))</f>
        <v/>
      </c>
    </row>
    <row r="79">
      <c r="B79">
        <f>IFERROR(INDEX(tblLocations[Location Code],56)&amp;"","")</f>
        <v/>
      </c>
      <c r="C79">
        <f>IF($B79="","",INDEX(tblLocations[Full Address],56))</f>
        <v/>
      </c>
      <c r="D79" s="24">
        <f>IF($B79="","",COUNTIFS(tblBilling[Month],$C$22,tblBilling[Location Code],$B79))</f>
        <v/>
      </c>
      <c r="E79" s="25">
        <f>IF($B79="","",SUMIFS(tblBilling[Monthly Fee],tblBilling[Month],$C$22,tblBilling[Location Code],$B79))</f>
        <v/>
      </c>
      <c r="F79" s="25">
        <f>IF($B79="","",SUMIFS(tblBilling[Amount Paid],tblBilling[Month],$C$22,tblBilling[Location Code],$B79))</f>
        <v/>
      </c>
      <c r="G79" s="25">
        <f>IF($B79="","",SUMIFS(tblBilling[Balance],tblBilling[Month],$C$22,tblBilling[Location Code],$B79))</f>
        <v/>
      </c>
      <c r="H79" s="91">
        <f>IF(OR($B79="",N(E79)=0),"",F79/E79)</f>
        <v/>
      </c>
      <c r="I79" s="24">
        <f>IF($B79="","",COUNTIFS(tblBilling[Month],$C$22,tblBilling[Location Code],$B79,tblBilling[Balance],"&gt;0"))</f>
        <v/>
      </c>
      <c r="J79" s="24">
        <f>IF($B79="","",COUNTIFS(tblCustomers[Location Code],$B79,tblCustomers[Customer Status],"Active"))</f>
        <v/>
      </c>
    </row>
    <row r="80">
      <c r="B80">
        <f>IFERROR(INDEX(tblLocations[Location Code],57)&amp;"","")</f>
        <v/>
      </c>
      <c r="C80">
        <f>IF($B80="","",INDEX(tblLocations[Full Address],57))</f>
        <v/>
      </c>
      <c r="D80" s="24">
        <f>IF($B80="","",COUNTIFS(tblBilling[Month],$C$22,tblBilling[Location Code],$B80))</f>
        <v/>
      </c>
      <c r="E80" s="25">
        <f>IF($B80="","",SUMIFS(tblBilling[Monthly Fee],tblBilling[Month],$C$22,tblBilling[Location Code],$B80))</f>
        <v/>
      </c>
      <c r="F80" s="25">
        <f>IF($B80="","",SUMIFS(tblBilling[Amount Paid],tblBilling[Month],$C$22,tblBilling[Location Code],$B80))</f>
        <v/>
      </c>
      <c r="G80" s="25">
        <f>IF($B80="","",SUMIFS(tblBilling[Balance],tblBilling[Month],$C$22,tblBilling[Location Code],$B80))</f>
        <v/>
      </c>
      <c r="H80" s="91">
        <f>IF(OR($B80="",N(E80)=0),"",F80/E80)</f>
        <v/>
      </c>
      <c r="I80" s="24">
        <f>IF($B80="","",COUNTIFS(tblBilling[Month],$C$22,tblBilling[Location Code],$B80,tblBilling[Balance],"&gt;0"))</f>
        <v/>
      </c>
      <c r="J80" s="24">
        <f>IF($B80="","",COUNTIFS(tblCustomers[Location Code],$B80,tblCustomers[Customer Status],"Active"))</f>
        <v/>
      </c>
    </row>
    <row r="81">
      <c r="B81">
        <f>IFERROR(INDEX(tblLocations[Location Code],58)&amp;"","")</f>
        <v/>
      </c>
      <c r="C81">
        <f>IF($B81="","",INDEX(tblLocations[Full Address],58))</f>
        <v/>
      </c>
      <c r="D81" s="24">
        <f>IF($B81="","",COUNTIFS(tblBilling[Month],$C$22,tblBilling[Location Code],$B81))</f>
        <v/>
      </c>
      <c r="E81" s="25">
        <f>IF($B81="","",SUMIFS(tblBilling[Monthly Fee],tblBilling[Month],$C$22,tblBilling[Location Code],$B81))</f>
        <v/>
      </c>
      <c r="F81" s="25">
        <f>IF($B81="","",SUMIFS(tblBilling[Amount Paid],tblBilling[Month],$C$22,tblBilling[Location Code],$B81))</f>
        <v/>
      </c>
      <c r="G81" s="25">
        <f>IF($B81="","",SUMIFS(tblBilling[Balance],tblBilling[Month],$C$22,tblBilling[Location Code],$B81))</f>
        <v/>
      </c>
      <c r="H81" s="91">
        <f>IF(OR($B81="",N(E81)=0),"",F81/E81)</f>
        <v/>
      </c>
      <c r="I81" s="24">
        <f>IF($B81="","",COUNTIFS(tblBilling[Month],$C$22,tblBilling[Location Code],$B81,tblBilling[Balance],"&gt;0"))</f>
        <v/>
      </c>
      <c r="J81" s="24">
        <f>IF($B81="","",COUNTIFS(tblCustomers[Location Code],$B81,tblCustomers[Customer Status],"Active"))</f>
        <v/>
      </c>
    </row>
    <row r="82">
      <c r="B82">
        <f>IFERROR(INDEX(tblLocations[Location Code],59)&amp;"","")</f>
        <v/>
      </c>
      <c r="C82">
        <f>IF($B82="","",INDEX(tblLocations[Full Address],59))</f>
        <v/>
      </c>
      <c r="D82" s="24">
        <f>IF($B82="","",COUNTIFS(tblBilling[Month],$C$22,tblBilling[Location Code],$B82))</f>
        <v/>
      </c>
      <c r="E82" s="25">
        <f>IF($B82="","",SUMIFS(tblBilling[Monthly Fee],tblBilling[Month],$C$22,tblBilling[Location Code],$B82))</f>
        <v/>
      </c>
      <c r="F82" s="25">
        <f>IF($B82="","",SUMIFS(tblBilling[Amount Paid],tblBilling[Month],$C$22,tblBilling[Location Code],$B82))</f>
        <v/>
      </c>
      <c r="G82" s="25">
        <f>IF($B82="","",SUMIFS(tblBilling[Balance],tblBilling[Month],$C$22,tblBilling[Location Code],$B82))</f>
        <v/>
      </c>
      <c r="H82" s="91">
        <f>IF(OR($B82="",N(E82)=0),"",F82/E82)</f>
        <v/>
      </c>
      <c r="I82" s="24">
        <f>IF($B82="","",COUNTIFS(tblBilling[Month],$C$22,tblBilling[Location Code],$B82,tblBilling[Balance],"&gt;0"))</f>
        <v/>
      </c>
      <c r="J82" s="24">
        <f>IF($B82="","",COUNTIFS(tblCustomers[Location Code],$B82,tblCustomers[Customer Status],"Active"))</f>
        <v/>
      </c>
    </row>
    <row r="83">
      <c r="B83">
        <f>IFERROR(INDEX(tblLocations[Location Code],60)&amp;"","")</f>
        <v/>
      </c>
      <c r="C83">
        <f>IF($B83="","",INDEX(tblLocations[Full Address],60))</f>
        <v/>
      </c>
      <c r="D83" s="24">
        <f>IF($B83="","",COUNTIFS(tblBilling[Month],$C$22,tblBilling[Location Code],$B83))</f>
        <v/>
      </c>
      <c r="E83" s="25">
        <f>IF($B83="","",SUMIFS(tblBilling[Monthly Fee],tblBilling[Month],$C$22,tblBilling[Location Code],$B83))</f>
        <v/>
      </c>
      <c r="F83" s="25">
        <f>IF($B83="","",SUMIFS(tblBilling[Amount Paid],tblBilling[Month],$C$22,tblBilling[Location Code],$B83))</f>
        <v/>
      </c>
      <c r="G83" s="25">
        <f>IF($B83="","",SUMIFS(tblBilling[Balance],tblBilling[Month],$C$22,tblBilling[Location Code],$B83))</f>
        <v/>
      </c>
      <c r="H83" s="91">
        <f>IF(OR($B83="",N(E83)=0),"",F83/E83)</f>
        <v/>
      </c>
      <c r="I83" s="24">
        <f>IF($B83="","",COUNTIFS(tblBilling[Month],$C$22,tblBilling[Location Code],$B83,tblBilling[Balance],"&gt;0"))</f>
        <v/>
      </c>
      <c r="J83" s="24">
        <f>IF($B83="","",COUNTIFS(tblCustomers[Location Code],$B83,tblCustomers[Customer Status],"Active"))</f>
        <v/>
      </c>
    </row>
    <row r="84">
      <c r="B84">
        <f>IFERROR(INDEX(tblLocations[Location Code],61)&amp;"","")</f>
        <v/>
      </c>
      <c r="C84">
        <f>IF($B84="","",INDEX(tblLocations[Full Address],61))</f>
        <v/>
      </c>
      <c r="D84" s="24">
        <f>IF($B84="","",COUNTIFS(tblBilling[Month],$C$22,tblBilling[Location Code],$B84))</f>
        <v/>
      </c>
      <c r="E84" s="25">
        <f>IF($B84="","",SUMIFS(tblBilling[Monthly Fee],tblBilling[Month],$C$22,tblBilling[Location Code],$B84))</f>
        <v/>
      </c>
      <c r="F84" s="25">
        <f>IF($B84="","",SUMIFS(tblBilling[Amount Paid],tblBilling[Month],$C$22,tblBilling[Location Code],$B84))</f>
        <v/>
      </c>
      <c r="G84" s="25">
        <f>IF($B84="","",SUMIFS(tblBilling[Balance],tblBilling[Month],$C$22,tblBilling[Location Code],$B84))</f>
        <v/>
      </c>
      <c r="H84" s="91">
        <f>IF(OR($B84="",N(E84)=0),"",F84/E84)</f>
        <v/>
      </c>
      <c r="I84" s="24">
        <f>IF($B84="","",COUNTIFS(tblBilling[Month],$C$22,tblBilling[Location Code],$B84,tblBilling[Balance],"&gt;0"))</f>
        <v/>
      </c>
      <c r="J84" s="24">
        <f>IF($B84="","",COUNTIFS(tblCustomers[Location Code],$B84,tblCustomers[Customer Status],"Active"))</f>
        <v/>
      </c>
    </row>
    <row r="85">
      <c r="B85">
        <f>IFERROR(INDEX(tblLocations[Location Code],62)&amp;"","")</f>
        <v/>
      </c>
      <c r="C85">
        <f>IF($B85="","",INDEX(tblLocations[Full Address],62))</f>
        <v/>
      </c>
      <c r="D85" s="24">
        <f>IF($B85="","",COUNTIFS(tblBilling[Month],$C$22,tblBilling[Location Code],$B85))</f>
        <v/>
      </c>
      <c r="E85" s="25">
        <f>IF($B85="","",SUMIFS(tblBilling[Monthly Fee],tblBilling[Month],$C$22,tblBilling[Location Code],$B85))</f>
        <v/>
      </c>
      <c r="F85" s="25">
        <f>IF($B85="","",SUMIFS(tblBilling[Amount Paid],tblBilling[Month],$C$22,tblBilling[Location Code],$B85))</f>
        <v/>
      </c>
      <c r="G85" s="25">
        <f>IF($B85="","",SUMIFS(tblBilling[Balance],tblBilling[Month],$C$22,tblBilling[Location Code],$B85))</f>
        <v/>
      </c>
      <c r="H85" s="91">
        <f>IF(OR($B85="",N(E85)=0),"",F85/E85)</f>
        <v/>
      </c>
      <c r="I85" s="24">
        <f>IF($B85="","",COUNTIFS(tblBilling[Month],$C$22,tblBilling[Location Code],$B85,tblBilling[Balance],"&gt;0"))</f>
        <v/>
      </c>
      <c r="J85" s="24">
        <f>IF($B85="","",COUNTIFS(tblCustomers[Location Code],$B85,tblCustomers[Customer Status],"Active"))</f>
        <v/>
      </c>
    </row>
    <row r="86">
      <c r="B86">
        <f>IFERROR(INDEX(tblLocations[Location Code],63)&amp;"","")</f>
        <v/>
      </c>
      <c r="C86">
        <f>IF($B86="","",INDEX(tblLocations[Full Address],63))</f>
        <v/>
      </c>
      <c r="D86" s="24">
        <f>IF($B86="","",COUNTIFS(tblBilling[Month],$C$22,tblBilling[Location Code],$B86))</f>
        <v/>
      </c>
      <c r="E86" s="25">
        <f>IF($B86="","",SUMIFS(tblBilling[Monthly Fee],tblBilling[Month],$C$22,tblBilling[Location Code],$B86))</f>
        <v/>
      </c>
      <c r="F86" s="25">
        <f>IF($B86="","",SUMIFS(tblBilling[Amount Paid],tblBilling[Month],$C$22,tblBilling[Location Code],$B86))</f>
        <v/>
      </c>
      <c r="G86" s="25">
        <f>IF($B86="","",SUMIFS(tblBilling[Balance],tblBilling[Month],$C$22,tblBilling[Location Code],$B86))</f>
        <v/>
      </c>
      <c r="H86" s="91">
        <f>IF(OR($B86="",N(E86)=0),"",F86/E86)</f>
        <v/>
      </c>
      <c r="I86" s="24">
        <f>IF($B86="","",COUNTIFS(tblBilling[Month],$C$22,tblBilling[Location Code],$B86,tblBilling[Balance],"&gt;0"))</f>
        <v/>
      </c>
      <c r="J86" s="24">
        <f>IF($B86="","",COUNTIFS(tblCustomers[Location Code],$B86,tblCustomers[Customer Status],"Active"))</f>
        <v/>
      </c>
    </row>
    <row r="87">
      <c r="B87">
        <f>IFERROR(INDEX(tblLocations[Location Code],64)&amp;"","")</f>
        <v/>
      </c>
      <c r="C87">
        <f>IF($B87="","",INDEX(tblLocations[Full Address],64))</f>
        <v/>
      </c>
      <c r="D87" s="24">
        <f>IF($B87="","",COUNTIFS(tblBilling[Month],$C$22,tblBilling[Location Code],$B87))</f>
        <v/>
      </c>
      <c r="E87" s="25">
        <f>IF($B87="","",SUMIFS(tblBilling[Monthly Fee],tblBilling[Month],$C$22,tblBilling[Location Code],$B87))</f>
        <v/>
      </c>
      <c r="F87" s="25">
        <f>IF($B87="","",SUMIFS(tblBilling[Amount Paid],tblBilling[Month],$C$22,tblBilling[Location Code],$B87))</f>
        <v/>
      </c>
      <c r="G87" s="25">
        <f>IF($B87="","",SUMIFS(tblBilling[Balance],tblBilling[Month],$C$22,tblBilling[Location Code],$B87))</f>
        <v/>
      </c>
      <c r="H87" s="91">
        <f>IF(OR($B87="",N(E87)=0),"",F87/E87)</f>
        <v/>
      </c>
      <c r="I87" s="24">
        <f>IF($B87="","",COUNTIFS(tblBilling[Month],$C$22,tblBilling[Location Code],$B87,tblBilling[Balance],"&gt;0"))</f>
        <v/>
      </c>
      <c r="J87" s="24">
        <f>IF($B87="","",COUNTIFS(tblCustomers[Location Code],$B87,tblCustomers[Customer Status],"Active"))</f>
        <v/>
      </c>
    </row>
    <row r="88">
      <c r="B88">
        <f>IFERROR(INDEX(tblLocations[Location Code],65)&amp;"","")</f>
        <v/>
      </c>
      <c r="C88">
        <f>IF($B88="","",INDEX(tblLocations[Full Address],65))</f>
        <v/>
      </c>
      <c r="D88" s="24">
        <f>IF($B88="","",COUNTIFS(tblBilling[Month],$C$22,tblBilling[Location Code],$B88))</f>
        <v/>
      </c>
      <c r="E88" s="25">
        <f>IF($B88="","",SUMIFS(tblBilling[Monthly Fee],tblBilling[Month],$C$22,tblBilling[Location Code],$B88))</f>
        <v/>
      </c>
      <c r="F88" s="25">
        <f>IF($B88="","",SUMIFS(tblBilling[Amount Paid],tblBilling[Month],$C$22,tblBilling[Location Code],$B88))</f>
        <v/>
      </c>
      <c r="G88" s="25">
        <f>IF($B88="","",SUMIFS(tblBilling[Balance],tblBilling[Month],$C$22,tblBilling[Location Code],$B88))</f>
        <v/>
      </c>
      <c r="H88" s="91">
        <f>IF(OR($B88="",N(E88)=0),"",F88/E88)</f>
        <v/>
      </c>
      <c r="I88" s="24">
        <f>IF($B88="","",COUNTIFS(tblBilling[Month],$C$22,tblBilling[Location Code],$B88,tblBilling[Balance],"&gt;0"))</f>
        <v/>
      </c>
      <c r="J88" s="24">
        <f>IF($B88="","",COUNTIFS(tblCustomers[Location Code],$B88,tblCustomers[Customer Status],"Active"))</f>
        <v/>
      </c>
    </row>
    <row r="89">
      <c r="B89">
        <f>IFERROR(INDEX(tblLocations[Location Code],66)&amp;"","")</f>
        <v/>
      </c>
      <c r="C89">
        <f>IF($B89="","",INDEX(tblLocations[Full Address],66))</f>
        <v/>
      </c>
      <c r="D89" s="24">
        <f>IF($B89="","",COUNTIFS(tblBilling[Month],$C$22,tblBilling[Location Code],$B89))</f>
        <v/>
      </c>
      <c r="E89" s="25">
        <f>IF($B89="","",SUMIFS(tblBilling[Monthly Fee],tblBilling[Month],$C$22,tblBilling[Location Code],$B89))</f>
        <v/>
      </c>
      <c r="F89" s="25">
        <f>IF($B89="","",SUMIFS(tblBilling[Amount Paid],tblBilling[Month],$C$22,tblBilling[Location Code],$B89))</f>
        <v/>
      </c>
      <c r="G89" s="25">
        <f>IF($B89="","",SUMIFS(tblBilling[Balance],tblBilling[Month],$C$22,tblBilling[Location Code],$B89))</f>
        <v/>
      </c>
      <c r="H89" s="91">
        <f>IF(OR($B89="",N(E89)=0),"",F89/E89)</f>
        <v/>
      </c>
      <c r="I89" s="24">
        <f>IF($B89="","",COUNTIFS(tblBilling[Month],$C$22,tblBilling[Location Code],$B89,tblBilling[Balance],"&gt;0"))</f>
        <v/>
      </c>
      <c r="J89" s="24">
        <f>IF($B89="","",COUNTIFS(tblCustomers[Location Code],$B89,tblCustomers[Customer Status],"Active"))</f>
        <v/>
      </c>
    </row>
    <row r="90">
      <c r="B90">
        <f>IFERROR(INDEX(tblLocations[Location Code],67)&amp;"","")</f>
        <v/>
      </c>
      <c r="C90">
        <f>IF($B90="","",INDEX(tblLocations[Full Address],67))</f>
        <v/>
      </c>
      <c r="D90" s="24">
        <f>IF($B90="","",COUNTIFS(tblBilling[Month],$C$22,tblBilling[Location Code],$B90))</f>
        <v/>
      </c>
      <c r="E90" s="25">
        <f>IF($B90="","",SUMIFS(tblBilling[Monthly Fee],tblBilling[Month],$C$22,tblBilling[Location Code],$B90))</f>
        <v/>
      </c>
      <c r="F90" s="25">
        <f>IF($B90="","",SUMIFS(tblBilling[Amount Paid],tblBilling[Month],$C$22,tblBilling[Location Code],$B90))</f>
        <v/>
      </c>
      <c r="G90" s="25">
        <f>IF($B90="","",SUMIFS(tblBilling[Balance],tblBilling[Month],$C$22,tblBilling[Location Code],$B90))</f>
        <v/>
      </c>
      <c r="H90" s="91">
        <f>IF(OR($B90="",N(E90)=0),"",F90/E90)</f>
        <v/>
      </c>
      <c r="I90" s="24">
        <f>IF($B90="","",COUNTIFS(tblBilling[Month],$C$22,tblBilling[Location Code],$B90,tblBilling[Balance],"&gt;0"))</f>
        <v/>
      </c>
      <c r="J90" s="24">
        <f>IF($B90="","",COUNTIFS(tblCustomers[Location Code],$B90,tblCustomers[Customer Status],"Active"))</f>
        <v/>
      </c>
    </row>
    <row r="91">
      <c r="B91">
        <f>IFERROR(INDEX(tblLocations[Location Code],68)&amp;"","")</f>
        <v/>
      </c>
      <c r="C91">
        <f>IF($B91="","",INDEX(tblLocations[Full Address],68))</f>
        <v/>
      </c>
      <c r="D91" s="24">
        <f>IF($B91="","",COUNTIFS(tblBilling[Month],$C$22,tblBilling[Location Code],$B91))</f>
        <v/>
      </c>
      <c r="E91" s="25">
        <f>IF($B91="","",SUMIFS(tblBilling[Monthly Fee],tblBilling[Month],$C$22,tblBilling[Location Code],$B91))</f>
        <v/>
      </c>
      <c r="F91" s="25">
        <f>IF($B91="","",SUMIFS(tblBilling[Amount Paid],tblBilling[Month],$C$22,tblBilling[Location Code],$B91))</f>
        <v/>
      </c>
      <c r="G91" s="25">
        <f>IF($B91="","",SUMIFS(tblBilling[Balance],tblBilling[Month],$C$22,tblBilling[Location Code],$B91))</f>
        <v/>
      </c>
      <c r="H91" s="91">
        <f>IF(OR($B91="",N(E91)=0),"",F91/E91)</f>
        <v/>
      </c>
      <c r="I91" s="24">
        <f>IF($B91="","",COUNTIFS(tblBilling[Month],$C$22,tblBilling[Location Code],$B91,tblBilling[Balance],"&gt;0"))</f>
        <v/>
      </c>
      <c r="J91" s="24">
        <f>IF($B91="","",COUNTIFS(tblCustomers[Location Code],$B91,tblCustomers[Customer Status],"Active"))</f>
        <v/>
      </c>
    </row>
    <row r="92">
      <c r="B92">
        <f>IFERROR(INDEX(tblLocations[Location Code],69)&amp;"","")</f>
        <v/>
      </c>
      <c r="C92">
        <f>IF($B92="","",INDEX(tblLocations[Full Address],69))</f>
        <v/>
      </c>
      <c r="D92" s="24">
        <f>IF($B92="","",COUNTIFS(tblBilling[Month],$C$22,tblBilling[Location Code],$B92))</f>
        <v/>
      </c>
      <c r="E92" s="25">
        <f>IF($B92="","",SUMIFS(tblBilling[Monthly Fee],tblBilling[Month],$C$22,tblBilling[Location Code],$B92))</f>
        <v/>
      </c>
      <c r="F92" s="25">
        <f>IF($B92="","",SUMIFS(tblBilling[Amount Paid],tblBilling[Month],$C$22,tblBilling[Location Code],$B92))</f>
        <v/>
      </c>
      <c r="G92" s="25">
        <f>IF($B92="","",SUMIFS(tblBilling[Balance],tblBilling[Month],$C$22,tblBilling[Location Code],$B92))</f>
        <v/>
      </c>
      <c r="H92" s="91">
        <f>IF(OR($B92="",N(E92)=0),"",F92/E92)</f>
        <v/>
      </c>
      <c r="I92" s="24">
        <f>IF($B92="","",COUNTIFS(tblBilling[Month],$C$22,tblBilling[Location Code],$B92,tblBilling[Balance],"&gt;0"))</f>
        <v/>
      </c>
      <c r="J92" s="24">
        <f>IF($B92="","",COUNTIFS(tblCustomers[Location Code],$B92,tblCustomers[Customer Status],"Active"))</f>
        <v/>
      </c>
    </row>
    <row r="93">
      <c r="B93">
        <f>IFERROR(INDEX(tblLocations[Location Code],70)&amp;"","")</f>
        <v/>
      </c>
      <c r="C93">
        <f>IF($B93="","",INDEX(tblLocations[Full Address],70))</f>
        <v/>
      </c>
      <c r="D93" s="24">
        <f>IF($B93="","",COUNTIFS(tblBilling[Month],$C$22,tblBilling[Location Code],$B93))</f>
        <v/>
      </c>
      <c r="E93" s="25">
        <f>IF($B93="","",SUMIFS(tblBilling[Monthly Fee],tblBilling[Month],$C$22,tblBilling[Location Code],$B93))</f>
        <v/>
      </c>
      <c r="F93" s="25">
        <f>IF($B93="","",SUMIFS(tblBilling[Amount Paid],tblBilling[Month],$C$22,tblBilling[Location Code],$B93))</f>
        <v/>
      </c>
      <c r="G93" s="25">
        <f>IF($B93="","",SUMIFS(tblBilling[Balance],tblBilling[Month],$C$22,tblBilling[Location Code],$B93))</f>
        <v/>
      </c>
      <c r="H93" s="91">
        <f>IF(OR($B93="",N(E93)=0),"",F93/E93)</f>
        <v/>
      </c>
      <c r="I93" s="24">
        <f>IF($B93="","",COUNTIFS(tblBilling[Month],$C$22,tblBilling[Location Code],$B93,tblBilling[Balance],"&gt;0"))</f>
        <v/>
      </c>
      <c r="J93" s="24">
        <f>IF($B93="","",COUNTIFS(tblCustomers[Location Code],$B93,tblCustomers[Customer Status],"Active"))</f>
        <v/>
      </c>
    </row>
    <row r="94">
      <c r="B94">
        <f>IFERROR(INDEX(tblLocations[Location Code],71)&amp;"","")</f>
        <v/>
      </c>
      <c r="C94">
        <f>IF($B94="","",INDEX(tblLocations[Full Address],71))</f>
        <v/>
      </c>
      <c r="D94" s="24">
        <f>IF($B94="","",COUNTIFS(tblBilling[Month],$C$22,tblBilling[Location Code],$B94))</f>
        <v/>
      </c>
      <c r="E94" s="25">
        <f>IF($B94="","",SUMIFS(tblBilling[Monthly Fee],tblBilling[Month],$C$22,tblBilling[Location Code],$B94))</f>
        <v/>
      </c>
      <c r="F94" s="25">
        <f>IF($B94="","",SUMIFS(tblBilling[Amount Paid],tblBilling[Month],$C$22,tblBilling[Location Code],$B94))</f>
        <v/>
      </c>
      <c r="G94" s="25">
        <f>IF($B94="","",SUMIFS(tblBilling[Balance],tblBilling[Month],$C$22,tblBilling[Location Code],$B94))</f>
        <v/>
      </c>
      <c r="H94" s="91">
        <f>IF(OR($B94="",N(E94)=0),"",F94/E94)</f>
        <v/>
      </c>
      <c r="I94" s="24">
        <f>IF($B94="","",COUNTIFS(tblBilling[Month],$C$22,tblBilling[Location Code],$B94,tblBilling[Balance],"&gt;0"))</f>
        <v/>
      </c>
      <c r="J94" s="24">
        <f>IF($B94="","",COUNTIFS(tblCustomers[Location Code],$B94,tblCustomers[Customer Status],"Active"))</f>
        <v/>
      </c>
    </row>
    <row r="95">
      <c r="B95">
        <f>IFERROR(INDEX(tblLocations[Location Code],72)&amp;"","")</f>
        <v/>
      </c>
      <c r="C95">
        <f>IF($B95="","",INDEX(tblLocations[Full Address],72))</f>
        <v/>
      </c>
      <c r="D95" s="24">
        <f>IF($B95="","",COUNTIFS(tblBilling[Month],$C$22,tblBilling[Location Code],$B95))</f>
        <v/>
      </c>
      <c r="E95" s="25">
        <f>IF($B95="","",SUMIFS(tblBilling[Monthly Fee],tblBilling[Month],$C$22,tblBilling[Location Code],$B95))</f>
        <v/>
      </c>
      <c r="F95" s="25">
        <f>IF($B95="","",SUMIFS(tblBilling[Amount Paid],tblBilling[Month],$C$22,tblBilling[Location Code],$B95))</f>
        <v/>
      </c>
      <c r="G95" s="25">
        <f>IF($B95="","",SUMIFS(tblBilling[Balance],tblBilling[Month],$C$22,tblBilling[Location Code],$B95))</f>
        <v/>
      </c>
      <c r="H95" s="91">
        <f>IF(OR($B95="",N(E95)=0),"",F95/E95)</f>
        <v/>
      </c>
      <c r="I95" s="24">
        <f>IF($B95="","",COUNTIFS(tblBilling[Month],$C$22,tblBilling[Location Code],$B95,tblBilling[Balance],"&gt;0"))</f>
        <v/>
      </c>
      <c r="J95" s="24">
        <f>IF($B95="","",COUNTIFS(tblCustomers[Location Code],$B95,tblCustomers[Customer Status],"Active"))</f>
        <v/>
      </c>
    </row>
    <row r="96">
      <c r="B96">
        <f>IFERROR(INDEX(tblLocations[Location Code],73)&amp;"","")</f>
        <v/>
      </c>
      <c r="C96">
        <f>IF($B96="","",INDEX(tblLocations[Full Address],73))</f>
        <v/>
      </c>
      <c r="D96" s="24">
        <f>IF($B96="","",COUNTIFS(tblBilling[Month],$C$22,tblBilling[Location Code],$B96))</f>
        <v/>
      </c>
      <c r="E96" s="25">
        <f>IF($B96="","",SUMIFS(tblBilling[Monthly Fee],tblBilling[Month],$C$22,tblBilling[Location Code],$B96))</f>
        <v/>
      </c>
      <c r="F96" s="25">
        <f>IF($B96="","",SUMIFS(tblBilling[Amount Paid],tblBilling[Month],$C$22,tblBilling[Location Code],$B96))</f>
        <v/>
      </c>
      <c r="G96" s="25">
        <f>IF($B96="","",SUMIFS(tblBilling[Balance],tblBilling[Month],$C$22,tblBilling[Location Code],$B96))</f>
        <v/>
      </c>
      <c r="H96" s="91">
        <f>IF(OR($B96="",N(E96)=0),"",F96/E96)</f>
        <v/>
      </c>
      <c r="I96" s="24">
        <f>IF($B96="","",COUNTIFS(tblBilling[Month],$C$22,tblBilling[Location Code],$B96,tblBilling[Balance],"&gt;0"))</f>
        <v/>
      </c>
      <c r="J96" s="24">
        <f>IF($B96="","",COUNTIFS(tblCustomers[Location Code],$B96,tblCustomers[Customer Status],"Active"))</f>
        <v/>
      </c>
    </row>
    <row r="97">
      <c r="B97">
        <f>IFERROR(INDEX(tblLocations[Location Code],74)&amp;"","")</f>
        <v/>
      </c>
      <c r="C97">
        <f>IF($B97="","",INDEX(tblLocations[Full Address],74))</f>
        <v/>
      </c>
      <c r="D97" s="24">
        <f>IF($B97="","",COUNTIFS(tblBilling[Month],$C$22,tblBilling[Location Code],$B97))</f>
        <v/>
      </c>
      <c r="E97" s="25">
        <f>IF($B97="","",SUMIFS(tblBilling[Monthly Fee],tblBilling[Month],$C$22,tblBilling[Location Code],$B97))</f>
        <v/>
      </c>
      <c r="F97" s="25">
        <f>IF($B97="","",SUMIFS(tblBilling[Amount Paid],tblBilling[Month],$C$22,tblBilling[Location Code],$B97))</f>
        <v/>
      </c>
      <c r="G97" s="25">
        <f>IF($B97="","",SUMIFS(tblBilling[Balance],tblBilling[Month],$C$22,tblBilling[Location Code],$B97))</f>
        <v/>
      </c>
      <c r="H97" s="91">
        <f>IF(OR($B97="",N(E97)=0),"",F97/E97)</f>
        <v/>
      </c>
      <c r="I97" s="24">
        <f>IF($B97="","",COUNTIFS(tblBilling[Month],$C$22,tblBilling[Location Code],$B97,tblBilling[Balance],"&gt;0"))</f>
        <v/>
      </c>
      <c r="J97" s="24">
        <f>IF($B97="","",COUNTIFS(tblCustomers[Location Code],$B97,tblCustomers[Customer Status],"Active"))</f>
        <v/>
      </c>
    </row>
    <row r="98">
      <c r="B98">
        <f>IFERROR(INDEX(tblLocations[Location Code],75)&amp;"","")</f>
        <v/>
      </c>
      <c r="C98">
        <f>IF($B98="","",INDEX(tblLocations[Full Address],75))</f>
        <v/>
      </c>
      <c r="D98" s="24">
        <f>IF($B98="","",COUNTIFS(tblBilling[Month],$C$22,tblBilling[Location Code],$B98))</f>
        <v/>
      </c>
      <c r="E98" s="25">
        <f>IF($B98="","",SUMIFS(tblBilling[Monthly Fee],tblBilling[Month],$C$22,tblBilling[Location Code],$B98))</f>
        <v/>
      </c>
      <c r="F98" s="25">
        <f>IF($B98="","",SUMIFS(tblBilling[Amount Paid],tblBilling[Month],$C$22,tblBilling[Location Code],$B98))</f>
        <v/>
      </c>
      <c r="G98" s="25">
        <f>IF($B98="","",SUMIFS(tblBilling[Balance],tblBilling[Month],$C$22,tblBilling[Location Code],$B98))</f>
        <v/>
      </c>
      <c r="H98" s="91">
        <f>IF(OR($B98="",N(E98)=0),"",F98/E98)</f>
        <v/>
      </c>
      <c r="I98" s="24">
        <f>IF($B98="","",COUNTIFS(tblBilling[Month],$C$22,tblBilling[Location Code],$B98,tblBilling[Balance],"&gt;0"))</f>
        <v/>
      </c>
      <c r="J98" s="24">
        <f>IF($B98="","",COUNTIFS(tblCustomers[Location Code],$B98,tblCustomers[Customer Status],"Active"))</f>
        <v/>
      </c>
    </row>
    <row r="99">
      <c r="B99">
        <f>IFERROR(INDEX(tblLocations[Location Code],76)&amp;"","")</f>
        <v/>
      </c>
      <c r="C99">
        <f>IF($B99="","",INDEX(tblLocations[Full Address],76))</f>
        <v/>
      </c>
      <c r="D99" s="24">
        <f>IF($B99="","",COUNTIFS(tblBilling[Month],$C$22,tblBilling[Location Code],$B99))</f>
        <v/>
      </c>
      <c r="E99" s="25">
        <f>IF($B99="","",SUMIFS(tblBilling[Monthly Fee],tblBilling[Month],$C$22,tblBilling[Location Code],$B99))</f>
        <v/>
      </c>
      <c r="F99" s="25">
        <f>IF($B99="","",SUMIFS(tblBilling[Amount Paid],tblBilling[Month],$C$22,tblBilling[Location Code],$B99))</f>
        <v/>
      </c>
      <c r="G99" s="25">
        <f>IF($B99="","",SUMIFS(tblBilling[Balance],tblBilling[Month],$C$22,tblBilling[Location Code],$B99))</f>
        <v/>
      </c>
      <c r="H99" s="91">
        <f>IF(OR($B99="",N(E99)=0),"",F99/E99)</f>
        <v/>
      </c>
      <c r="I99" s="24">
        <f>IF($B99="","",COUNTIFS(tblBilling[Month],$C$22,tblBilling[Location Code],$B99,tblBilling[Balance],"&gt;0"))</f>
        <v/>
      </c>
      <c r="J99" s="24">
        <f>IF($B99="","",COUNTIFS(tblCustomers[Location Code],$B99,tblCustomers[Customer Status],"Active"))</f>
        <v/>
      </c>
    </row>
    <row r="100">
      <c r="B100">
        <f>IFERROR(INDEX(tblLocations[Location Code],77)&amp;"","")</f>
        <v/>
      </c>
      <c r="C100">
        <f>IF($B100="","",INDEX(tblLocations[Full Address],77))</f>
        <v/>
      </c>
      <c r="D100" s="24">
        <f>IF($B100="","",COUNTIFS(tblBilling[Month],$C$22,tblBilling[Location Code],$B100))</f>
        <v/>
      </c>
      <c r="E100" s="25">
        <f>IF($B100="","",SUMIFS(tblBilling[Monthly Fee],tblBilling[Month],$C$22,tblBilling[Location Code],$B100))</f>
        <v/>
      </c>
      <c r="F100" s="25">
        <f>IF($B100="","",SUMIFS(tblBilling[Amount Paid],tblBilling[Month],$C$22,tblBilling[Location Code],$B100))</f>
        <v/>
      </c>
      <c r="G100" s="25">
        <f>IF($B100="","",SUMIFS(tblBilling[Balance],tblBilling[Month],$C$22,tblBilling[Location Code],$B100))</f>
        <v/>
      </c>
      <c r="H100" s="91">
        <f>IF(OR($B100="",N(E100)=0),"",F100/E100)</f>
        <v/>
      </c>
      <c r="I100" s="24">
        <f>IF($B100="","",COUNTIFS(tblBilling[Month],$C$22,tblBilling[Location Code],$B100,tblBilling[Balance],"&gt;0"))</f>
        <v/>
      </c>
      <c r="J100" s="24">
        <f>IF($B100="","",COUNTIFS(tblCustomers[Location Code],$B100,tblCustomers[Customer Status],"Active"))</f>
        <v/>
      </c>
    </row>
    <row r="101">
      <c r="B101">
        <f>IFERROR(INDEX(tblLocations[Location Code],78)&amp;"","")</f>
        <v/>
      </c>
      <c r="C101">
        <f>IF($B101="","",INDEX(tblLocations[Full Address],78))</f>
        <v/>
      </c>
      <c r="D101" s="24">
        <f>IF($B101="","",COUNTIFS(tblBilling[Month],$C$22,tblBilling[Location Code],$B101))</f>
        <v/>
      </c>
      <c r="E101" s="25">
        <f>IF($B101="","",SUMIFS(tblBilling[Monthly Fee],tblBilling[Month],$C$22,tblBilling[Location Code],$B101))</f>
        <v/>
      </c>
      <c r="F101" s="25">
        <f>IF($B101="","",SUMIFS(tblBilling[Amount Paid],tblBilling[Month],$C$22,tblBilling[Location Code],$B101))</f>
        <v/>
      </c>
      <c r="G101" s="25">
        <f>IF($B101="","",SUMIFS(tblBilling[Balance],tblBilling[Month],$C$22,tblBilling[Location Code],$B101))</f>
        <v/>
      </c>
      <c r="H101" s="91">
        <f>IF(OR($B101="",N(E101)=0),"",F101/E101)</f>
        <v/>
      </c>
      <c r="I101" s="24">
        <f>IF($B101="","",COUNTIFS(tblBilling[Month],$C$22,tblBilling[Location Code],$B101,tblBilling[Balance],"&gt;0"))</f>
        <v/>
      </c>
      <c r="J101" s="24">
        <f>IF($B101="","",COUNTIFS(tblCustomers[Location Code],$B101,tblCustomers[Customer Status],"Active"))</f>
        <v/>
      </c>
    </row>
    <row r="102">
      <c r="B102">
        <f>IFERROR(INDEX(tblLocations[Location Code],79)&amp;"","")</f>
        <v/>
      </c>
      <c r="C102">
        <f>IF($B102="","",INDEX(tblLocations[Full Address],79))</f>
        <v/>
      </c>
      <c r="D102" s="24">
        <f>IF($B102="","",COUNTIFS(tblBilling[Month],$C$22,tblBilling[Location Code],$B102))</f>
        <v/>
      </c>
      <c r="E102" s="25">
        <f>IF($B102="","",SUMIFS(tblBilling[Monthly Fee],tblBilling[Month],$C$22,tblBilling[Location Code],$B102))</f>
        <v/>
      </c>
      <c r="F102" s="25">
        <f>IF($B102="","",SUMIFS(tblBilling[Amount Paid],tblBilling[Month],$C$22,tblBilling[Location Code],$B102))</f>
        <v/>
      </c>
      <c r="G102" s="25">
        <f>IF($B102="","",SUMIFS(tblBilling[Balance],tblBilling[Month],$C$22,tblBilling[Location Code],$B102))</f>
        <v/>
      </c>
      <c r="H102" s="91">
        <f>IF(OR($B102="",N(E102)=0),"",F102/E102)</f>
        <v/>
      </c>
      <c r="I102" s="24">
        <f>IF($B102="","",COUNTIFS(tblBilling[Month],$C$22,tblBilling[Location Code],$B102,tblBilling[Balance],"&gt;0"))</f>
        <v/>
      </c>
      <c r="J102" s="24">
        <f>IF($B102="","",COUNTIFS(tblCustomers[Location Code],$B102,tblCustomers[Customer Status],"Active"))</f>
        <v/>
      </c>
    </row>
    <row r="103">
      <c r="B103">
        <f>IFERROR(INDEX(tblLocations[Location Code],80)&amp;"","")</f>
        <v/>
      </c>
      <c r="C103">
        <f>IF($B103="","",INDEX(tblLocations[Full Address],80))</f>
        <v/>
      </c>
      <c r="D103" s="24">
        <f>IF($B103="","",COUNTIFS(tblBilling[Month],$C$22,tblBilling[Location Code],$B103))</f>
        <v/>
      </c>
      <c r="E103" s="25">
        <f>IF($B103="","",SUMIFS(tblBilling[Monthly Fee],tblBilling[Month],$C$22,tblBilling[Location Code],$B103))</f>
        <v/>
      </c>
      <c r="F103" s="25">
        <f>IF($B103="","",SUMIFS(tblBilling[Amount Paid],tblBilling[Month],$C$22,tblBilling[Location Code],$B103))</f>
        <v/>
      </c>
      <c r="G103" s="25">
        <f>IF($B103="","",SUMIFS(tblBilling[Balance],tblBilling[Month],$C$22,tblBilling[Location Code],$B103))</f>
        <v/>
      </c>
      <c r="H103" s="91">
        <f>IF(OR($B103="",N(E103)=0),"",F103/E103)</f>
        <v/>
      </c>
      <c r="I103" s="24">
        <f>IF($B103="","",COUNTIFS(tblBilling[Month],$C$22,tblBilling[Location Code],$B103,tblBilling[Balance],"&gt;0"))</f>
        <v/>
      </c>
      <c r="J103" s="24">
        <f>IF($B103="","",COUNTIFS(tblCustomers[Location Code],$B103,tblCustomers[Customer Status],"Active"))</f>
        <v/>
      </c>
    </row>
    <row r="104">
      <c r="B104">
        <f>IFERROR(INDEX(tblLocations[Location Code],81)&amp;"","")</f>
        <v/>
      </c>
      <c r="C104">
        <f>IF($B104="","",INDEX(tblLocations[Full Address],81))</f>
        <v/>
      </c>
      <c r="D104" s="24">
        <f>IF($B104="","",COUNTIFS(tblBilling[Month],$C$22,tblBilling[Location Code],$B104))</f>
        <v/>
      </c>
      <c r="E104" s="25">
        <f>IF($B104="","",SUMIFS(tblBilling[Monthly Fee],tblBilling[Month],$C$22,tblBilling[Location Code],$B104))</f>
        <v/>
      </c>
      <c r="F104" s="25">
        <f>IF($B104="","",SUMIFS(tblBilling[Amount Paid],tblBilling[Month],$C$22,tblBilling[Location Code],$B104))</f>
        <v/>
      </c>
      <c r="G104" s="25">
        <f>IF($B104="","",SUMIFS(tblBilling[Balance],tblBilling[Month],$C$22,tblBilling[Location Code],$B104))</f>
        <v/>
      </c>
      <c r="H104" s="91">
        <f>IF(OR($B104="",N(E104)=0),"",F104/E104)</f>
        <v/>
      </c>
      <c r="I104" s="24">
        <f>IF($B104="","",COUNTIFS(tblBilling[Month],$C$22,tblBilling[Location Code],$B104,tblBilling[Balance],"&gt;0"))</f>
        <v/>
      </c>
      <c r="J104" s="24">
        <f>IF($B104="","",COUNTIFS(tblCustomers[Location Code],$B104,tblCustomers[Customer Status],"Active"))</f>
        <v/>
      </c>
    </row>
    <row r="105">
      <c r="B105">
        <f>IFERROR(INDEX(tblLocations[Location Code],82)&amp;"","")</f>
        <v/>
      </c>
      <c r="C105">
        <f>IF($B105="","",INDEX(tblLocations[Full Address],82))</f>
        <v/>
      </c>
      <c r="D105" s="24">
        <f>IF($B105="","",COUNTIFS(tblBilling[Month],$C$22,tblBilling[Location Code],$B105))</f>
        <v/>
      </c>
      <c r="E105" s="25">
        <f>IF($B105="","",SUMIFS(tblBilling[Monthly Fee],tblBilling[Month],$C$22,tblBilling[Location Code],$B105))</f>
        <v/>
      </c>
      <c r="F105" s="25">
        <f>IF($B105="","",SUMIFS(tblBilling[Amount Paid],tblBilling[Month],$C$22,tblBilling[Location Code],$B105))</f>
        <v/>
      </c>
      <c r="G105" s="25">
        <f>IF($B105="","",SUMIFS(tblBilling[Balance],tblBilling[Month],$C$22,tblBilling[Location Code],$B105))</f>
        <v/>
      </c>
      <c r="H105" s="91">
        <f>IF(OR($B105="",N(E105)=0),"",F105/E105)</f>
        <v/>
      </c>
      <c r="I105" s="24">
        <f>IF($B105="","",COUNTIFS(tblBilling[Month],$C$22,tblBilling[Location Code],$B105,tblBilling[Balance],"&gt;0"))</f>
        <v/>
      </c>
      <c r="J105" s="24">
        <f>IF($B105="","",COUNTIFS(tblCustomers[Location Code],$B105,tblCustomers[Customer Status],"Active"))</f>
        <v/>
      </c>
    </row>
    <row r="106">
      <c r="B106">
        <f>IFERROR(INDEX(tblLocations[Location Code],83)&amp;"","")</f>
        <v/>
      </c>
      <c r="C106">
        <f>IF($B106="","",INDEX(tblLocations[Full Address],83))</f>
        <v/>
      </c>
      <c r="D106" s="24">
        <f>IF($B106="","",COUNTIFS(tblBilling[Month],$C$22,tblBilling[Location Code],$B106))</f>
        <v/>
      </c>
      <c r="E106" s="25">
        <f>IF($B106="","",SUMIFS(tblBilling[Monthly Fee],tblBilling[Month],$C$22,tblBilling[Location Code],$B106))</f>
        <v/>
      </c>
      <c r="F106" s="25">
        <f>IF($B106="","",SUMIFS(tblBilling[Amount Paid],tblBilling[Month],$C$22,tblBilling[Location Code],$B106))</f>
        <v/>
      </c>
      <c r="G106" s="25">
        <f>IF($B106="","",SUMIFS(tblBilling[Balance],tblBilling[Month],$C$22,tblBilling[Location Code],$B106))</f>
        <v/>
      </c>
      <c r="H106" s="91">
        <f>IF(OR($B106="",N(E106)=0),"",F106/E106)</f>
        <v/>
      </c>
      <c r="I106" s="24">
        <f>IF($B106="","",COUNTIFS(tblBilling[Month],$C$22,tblBilling[Location Code],$B106,tblBilling[Balance],"&gt;0"))</f>
        <v/>
      </c>
      <c r="J106" s="24">
        <f>IF($B106="","",COUNTIFS(tblCustomers[Location Code],$B106,tblCustomers[Customer Status],"Active"))</f>
        <v/>
      </c>
    </row>
    <row r="107">
      <c r="B107">
        <f>IFERROR(INDEX(tblLocations[Location Code],84)&amp;"","")</f>
        <v/>
      </c>
      <c r="C107">
        <f>IF($B107="","",INDEX(tblLocations[Full Address],84))</f>
        <v/>
      </c>
      <c r="D107" s="24">
        <f>IF($B107="","",COUNTIFS(tblBilling[Month],$C$22,tblBilling[Location Code],$B107))</f>
        <v/>
      </c>
      <c r="E107" s="25">
        <f>IF($B107="","",SUMIFS(tblBilling[Monthly Fee],tblBilling[Month],$C$22,tblBilling[Location Code],$B107))</f>
        <v/>
      </c>
      <c r="F107" s="25">
        <f>IF($B107="","",SUMIFS(tblBilling[Amount Paid],tblBilling[Month],$C$22,tblBilling[Location Code],$B107))</f>
        <v/>
      </c>
      <c r="G107" s="25">
        <f>IF($B107="","",SUMIFS(tblBilling[Balance],tblBilling[Month],$C$22,tblBilling[Location Code],$B107))</f>
        <v/>
      </c>
      <c r="H107" s="91">
        <f>IF(OR($B107="",N(E107)=0),"",F107/E107)</f>
        <v/>
      </c>
      <c r="I107" s="24">
        <f>IF($B107="","",COUNTIFS(tblBilling[Month],$C$22,tblBilling[Location Code],$B107,tblBilling[Balance],"&gt;0"))</f>
        <v/>
      </c>
      <c r="J107" s="24">
        <f>IF($B107="","",COUNTIFS(tblCustomers[Location Code],$B107,tblCustomers[Customer Status],"Active"))</f>
        <v/>
      </c>
    </row>
    <row r="108">
      <c r="B108">
        <f>IFERROR(INDEX(tblLocations[Location Code],85)&amp;"","")</f>
        <v/>
      </c>
      <c r="C108">
        <f>IF($B108="","",INDEX(tblLocations[Full Address],85))</f>
        <v/>
      </c>
      <c r="D108" s="24">
        <f>IF($B108="","",COUNTIFS(tblBilling[Month],$C$22,tblBilling[Location Code],$B108))</f>
        <v/>
      </c>
      <c r="E108" s="25">
        <f>IF($B108="","",SUMIFS(tblBilling[Monthly Fee],tblBilling[Month],$C$22,tblBilling[Location Code],$B108))</f>
        <v/>
      </c>
      <c r="F108" s="25">
        <f>IF($B108="","",SUMIFS(tblBilling[Amount Paid],tblBilling[Month],$C$22,tblBilling[Location Code],$B108))</f>
        <v/>
      </c>
      <c r="G108" s="25">
        <f>IF($B108="","",SUMIFS(tblBilling[Balance],tblBilling[Month],$C$22,tblBilling[Location Code],$B108))</f>
        <v/>
      </c>
      <c r="H108" s="91">
        <f>IF(OR($B108="",N(E108)=0),"",F108/E108)</f>
        <v/>
      </c>
      <c r="I108" s="24">
        <f>IF($B108="","",COUNTIFS(tblBilling[Month],$C$22,tblBilling[Location Code],$B108,tblBilling[Balance],"&gt;0"))</f>
        <v/>
      </c>
      <c r="J108" s="24">
        <f>IF($B108="","",COUNTIFS(tblCustomers[Location Code],$B108,tblCustomers[Customer Status],"Active"))</f>
        <v/>
      </c>
    </row>
    <row r="109">
      <c r="B109">
        <f>IFERROR(INDEX(tblLocations[Location Code],86)&amp;"","")</f>
        <v/>
      </c>
      <c r="C109">
        <f>IF($B109="","",INDEX(tblLocations[Full Address],86))</f>
        <v/>
      </c>
      <c r="D109" s="24">
        <f>IF($B109="","",COUNTIFS(tblBilling[Month],$C$22,tblBilling[Location Code],$B109))</f>
        <v/>
      </c>
      <c r="E109" s="25">
        <f>IF($B109="","",SUMIFS(tblBilling[Monthly Fee],tblBilling[Month],$C$22,tblBilling[Location Code],$B109))</f>
        <v/>
      </c>
      <c r="F109" s="25">
        <f>IF($B109="","",SUMIFS(tblBilling[Amount Paid],tblBilling[Month],$C$22,tblBilling[Location Code],$B109))</f>
        <v/>
      </c>
      <c r="G109" s="25">
        <f>IF($B109="","",SUMIFS(tblBilling[Balance],tblBilling[Month],$C$22,tblBilling[Location Code],$B109))</f>
        <v/>
      </c>
      <c r="H109" s="91">
        <f>IF(OR($B109="",N(E109)=0),"",F109/E109)</f>
        <v/>
      </c>
      <c r="I109" s="24">
        <f>IF($B109="","",COUNTIFS(tblBilling[Month],$C$22,tblBilling[Location Code],$B109,tblBilling[Balance],"&gt;0"))</f>
        <v/>
      </c>
      <c r="J109" s="24">
        <f>IF($B109="","",COUNTIFS(tblCustomers[Location Code],$B109,tblCustomers[Customer Status],"Active"))</f>
        <v/>
      </c>
    </row>
    <row r="110">
      <c r="B110">
        <f>IFERROR(INDEX(tblLocations[Location Code],87)&amp;"","")</f>
        <v/>
      </c>
      <c r="C110">
        <f>IF($B110="","",INDEX(tblLocations[Full Address],87))</f>
        <v/>
      </c>
      <c r="D110" s="24">
        <f>IF($B110="","",COUNTIFS(tblBilling[Month],$C$22,tblBilling[Location Code],$B110))</f>
        <v/>
      </c>
      <c r="E110" s="25">
        <f>IF($B110="","",SUMIFS(tblBilling[Monthly Fee],tblBilling[Month],$C$22,tblBilling[Location Code],$B110))</f>
        <v/>
      </c>
      <c r="F110" s="25">
        <f>IF($B110="","",SUMIFS(tblBilling[Amount Paid],tblBilling[Month],$C$22,tblBilling[Location Code],$B110))</f>
        <v/>
      </c>
      <c r="G110" s="25">
        <f>IF($B110="","",SUMIFS(tblBilling[Balance],tblBilling[Month],$C$22,tblBilling[Location Code],$B110))</f>
        <v/>
      </c>
      <c r="H110" s="91">
        <f>IF(OR($B110="",N(E110)=0),"",F110/E110)</f>
        <v/>
      </c>
      <c r="I110" s="24">
        <f>IF($B110="","",COUNTIFS(tblBilling[Month],$C$22,tblBilling[Location Code],$B110,tblBilling[Balance],"&gt;0"))</f>
        <v/>
      </c>
      <c r="J110" s="24">
        <f>IF($B110="","",COUNTIFS(tblCustomers[Location Code],$B110,tblCustomers[Customer Status],"Active"))</f>
        <v/>
      </c>
    </row>
    <row r="111">
      <c r="B111">
        <f>IFERROR(INDEX(tblLocations[Location Code],88)&amp;"","")</f>
        <v/>
      </c>
      <c r="C111">
        <f>IF($B111="","",INDEX(tblLocations[Full Address],88))</f>
        <v/>
      </c>
      <c r="D111" s="24">
        <f>IF($B111="","",COUNTIFS(tblBilling[Month],$C$22,tblBilling[Location Code],$B111))</f>
        <v/>
      </c>
      <c r="E111" s="25">
        <f>IF($B111="","",SUMIFS(tblBilling[Monthly Fee],tblBilling[Month],$C$22,tblBilling[Location Code],$B111))</f>
        <v/>
      </c>
      <c r="F111" s="25">
        <f>IF($B111="","",SUMIFS(tblBilling[Amount Paid],tblBilling[Month],$C$22,tblBilling[Location Code],$B111))</f>
        <v/>
      </c>
      <c r="G111" s="25">
        <f>IF($B111="","",SUMIFS(tblBilling[Balance],tblBilling[Month],$C$22,tblBilling[Location Code],$B111))</f>
        <v/>
      </c>
      <c r="H111" s="91">
        <f>IF(OR($B111="",N(E111)=0),"",F111/E111)</f>
        <v/>
      </c>
      <c r="I111" s="24">
        <f>IF($B111="","",COUNTIFS(tblBilling[Month],$C$22,tblBilling[Location Code],$B111,tblBilling[Balance],"&gt;0"))</f>
        <v/>
      </c>
      <c r="J111" s="24">
        <f>IF($B111="","",COUNTIFS(tblCustomers[Location Code],$B111,tblCustomers[Customer Status],"Active"))</f>
        <v/>
      </c>
    </row>
    <row r="112">
      <c r="B112">
        <f>IFERROR(INDEX(tblLocations[Location Code],89)&amp;"","")</f>
        <v/>
      </c>
      <c r="C112">
        <f>IF($B112="","",INDEX(tblLocations[Full Address],89))</f>
        <v/>
      </c>
      <c r="D112" s="24">
        <f>IF($B112="","",COUNTIFS(tblBilling[Month],$C$22,tblBilling[Location Code],$B112))</f>
        <v/>
      </c>
      <c r="E112" s="25">
        <f>IF($B112="","",SUMIFS(tblBilling[Monthly Fee],tblBilling[Month],$C$22,tblBilling[Location Code],$B112))</f>
        <v/>
      </c>
      <c r="F112" s="25">
        <f>IF($B112="","",SUMIFS(tblBilling[Amount Paid],tblBilling[Month],$C$22,tblBilling[Location Code],$B112))</f>
        <v/>
      </c>
      <c r="G112" s="25">
        <f>IF($B112="","",SUMIFS(tblBilling[Balance],tblBilling[Month],$C$22,tblBilling[Location Code],$B112))</f>
        <v/>
      </c>
      <c r="H112" s="91">
        <f>IF(OR($B112="",N(E112)=0),"",F112/E112)</f>
        <v/>
      </c>
      <c r="I112" s="24">
        <f>IF($B112="","",COUNTIFS(tblBilling[Month],$C$22,tblBilling[Location Code],$B112,tblBilling[Balance],"&gt;0"))</f>
        <v/>
      </c>
      <c r="J112" s="24">
        <f>IF($B112="","",COUNTIFS(tblCustomers[Location Code],$B112,tblCustomers[Customer Status],"Active"))</f>
        <v/>
      </c>
    </row>
    <row r="113">
      <c r="B113">
        <f>IFERROR(INDEX(tblLocations[Location Code],90)&amp;"","")</f>
        <v/>
      </c>
      <c r="C113">
        <f>IF($B113="","",INDEX(tblLocations[Full Address],90))</f>
        <v/>
      </c>
      <c r="D113" s="24">
        <f>IF($B113="","",COUNTIFS(tblBilling[Month],$C$22,tblBilling[Location Code],$B113))</f>
        <v/>
      </c>
      <c r="E113" s="25">
        <f>IF($B113="","",SUMIFS(tblBilling[Monthly Fee],tblBilling[Month],$C$22,tblBilling[Location Code],$B113))</f>
        <v/>
      </c>
      <c r="F113" s="25">
        <f>IF($B113="","",SUMIFS(tblBilling[Amount Paid],tblBilling[Month],$C$22,tblBilling[Location Code],$B113))</f>
        <v/>
      </c>
      <c r="G113" s="25">
        <f>IF($B113="","",SUMIFS(tblBilling[Balance],tblBilling[Month],$C$22,tblBilling[Location Code],$B113))</f>
        <v/>
      </c>
      <c r="H113" s="91">
        <f>IF(OR($B113="",N(E113)=0),"",F113/E113)</f>
        <v/>
      </c>
      <c r="I113" s="24">
        <f>IF($B113="","",COUNTIFS(tblBilling[Month],$C$22,tblBilling[Location Code],$B113,tblBilling[Balance],"&gt;0"))</f>
        <v/>
      </c>
      <c r="J113" s="24">
        <f>IF($B113="","",COUNTIFS(tblCustomers[Location Code],$B113,tblCustomers[Customer Status],"Active"))</f>
        <v/>
      </c>
    </row>
    <row r="114">
      <c r="B114">
        <f>IFERROR(INDEX(tblLocations[Location Code],91)&amp;"","")</f>
        <v/>
      </c>
      <c r="C114">
        <f>IF($B114="","",INDEX(tblLocations[Full Address],91))</f>
        <v/>
      </c>
      <c r="D114" s="24">
        <f>IF($B114="","",COUNTIFS(tblBilling[Month],$C$22,tblBilling[Location Code],$B114))</f>
        <v/>
      </c>
      <c r="E114" s="25">
        <f>IF($B114="","",SUMIFS(tblBilling[Monthly Fee],tblBilling[Month],$C$22,tblBilling[Location Code],$B114))</f>
        <v/>
      </c>
      <c r="F114" s="25">
        <f>IF($B114="","",SUMIFS(tblBilling[Amount Paid],tblBilling[Month],$C$22,tblBilling[Location Code],$B114))</f>
        <v/>
      </c>
      <c r="G114" s="25">
        <f>IF($B114="","",SUMIFS(tblBilling[Balance],tblBilling[Month],$C$22,tblBilling[Location Code],$B114))</f>
        <v/>
      </c>
      <c r="H114" s="91">
        <f>IF(OR($B114="",N(E114)=0),"",F114/E114)</f>
        <v/>
      </c>
      <c r="I114" s="24">
        <f>IF($B114="","",COUNTIFS(tblBilling[Month],$C$22,tblBilling[Location Code],$B114,tblBilling[Balance],"&gt;0"))</f>
        <v/>
      </c>
      <c r="J114" s="24">
        <f>IF($B114="","",COUNTIFS(tblCustomers[Location Code],$B114,tblCustomers[Customer Status],"Active"))</f>
        <v/>
      </c>
    </row>
    <row r="115">
      <c r="B115">
        <f>IFERROR(INDEX(tblLocations[Location Code],92)&amp;"","")</f>
        <v/>
      </c>
      <c r="C115">
        <f>IF($B115="","",INDEX(tblLocations[Full Address],92))</f>
        <v/>
      </c>
      <c r="D115" s="24">
        <f>IF($B115="","",COUNTIFS(tblBilling[Month],$C$22,tblBilling[Location Code],$B115))</f>
        <v/>
      </c>
      <c r="E115" s="25">
        <f>IF($B115="","",SUMIFS(tblBilling[Monthly Fee],tblBilling[Month],$C$22,tblBilling[Location Code],$B115))</f>
        <v/>
      </c>
      <c r="F115" s="25">
        <f>IF($B115="","",SUMIFS(tblBilling[Amount Paid],tblBilling[Month],$C$22,tblBilling[Location Code],$B115))</f>
        <v/>
      </c>
      <c r="G115" s="25">
        <f>IF($B115="","",SUMIFS(tblBilling[Balance],tblBilling[Month],$C$22,tblBilling[Location Code],$B115))</f>
        <v/>
      </c>
      <c r="H115" s="91">
        <f>IF(OR($B115="",N(E115)=0),"",F115/E115)</f>
        <v/>
      </c>
      <c r="I115" s="24">
        <f>IF($B115="","",COUNTIFS(tblBilling[Month],$C$22,tblBilling[Location Code],$B115,tblBilling[Balance],"&gt;0"))</f>
        <v/>
      </c>
      <c r="J115" s="24">
        <f>IF($B115="","",COUNTIFS(tblCustomers[Location Code],$B115,tblCustomers[Customer Status],"Active"))</f>
        <v/>
      </c>
    </row>
    <row r="116">
      <c r="B116">
        <f>IFERROR(INDEX(tblLocations[Location Code],93)&amp;"","")</f>
        <v/>
      </c>
      <c r="C116">
        <f>IF($B116="","",INDEX(tblLocations[Full Address],93))</f>
        <v/>
      </c>
      <c r="D116" s="24">
        <f>IF($B116="","",COUNTIFS(tblBilling[Month],$C$22,tblBilling[Location Code],$B116))</f>
        <v/>
      </c>
      <c r="E116" s="25">
        <f>IF($B116="","",SUMIFS(tblBilling[Monthly Fee],tblBilling[Month],$C$22,tblBilling[Location Code],$B116))</f>
        <v/>
      </c>
      <c r="F116" s="25">
        <f>IF($B116="","",SUMIFS(tblBilling[Amount Paid],tblBilling[Month],$C$22,tblBilling[Location Code],$B116))</f>
        <v/>
      </c>
      <c r="G116" s="25">
        <f>IF($B116="","",SUMIFS(tblBilling[Balance],tblBilling[Month],$C$22,tblBilling[Location Code],$B116))</f>
        <v/>
      </c>
      <c r="H116" s="91">
        <f>IF(OR($B116="",N(E116)=0),"",F116/E116)</f>
        <v/>
      </c>
      <c r="I116" s="24">
        <f>IF($B116="","",COUNTIFS(tblBilling[Month],$C$22,tblBilling[Location Code],$B116,tblBilling[Balance],"&gt;0"))</f>
        <v/>
      </c>
      <c r="J116" s="24">
        <f>IF($B116="","",COUNTIFS(tblCustomers[Location Code],$B116,tblCustomers[Customer Status],"Active"))</f>
        <v/>
      </c>
    </row>
    <row r="117">
      <c r="B117">
        <f>IFERROR(INDEX(tblLocations[Location Code],94)&amp;"","")</f>
        <v/>
      </c>
      <c r="C117">
        <f>IF($B117="","",INDEX(tblLocations[Full Address],94))</f>
        <v/>
      </c>
      <c r="D117" s="24">
        <f>IF($B117="","",COUNTIFS(tblBilling[Month],$C$22,tblBilling[Location Code],$B117))</f>
        <v/>
      </c>
      <c r="E117" s="25">
        <f>IF($B117="","",SUMIFS(tblBilling[Monthly Fee],tblBilling[Month],$C$22,tblBilling[Location Code],$B117))</f>
        <v/>
      </c>
      <c r="F117" s="25">
        <f>IF($B117="","",SUMIFS(tblBilling[Amount Paid],tblBilling[Month],$C$22,tblBilling[Location Code],$B117))</f>
        <v/>
      </c>
      <c r="G117" s="25">
        <f>IF($B117="","",SUMIFS(tblBilling[Balance],tblBilling[Month],$C$22,tblBilling[Location Code],$B117))</f>
        <v/>
      </c>
      <c r="H117" s="91">
        <f>IF(OR($B117="",N(E117)=0),"",F117/E117)</f>
        <v/>
      </c>
      <c r="I117" s="24">
        <f>IF($B117="","",COUNTIFS(tblBilling[Month],$C$22,tblBilling[Location Code],$B117,tblBilling[Balance],"&gt;0"))</f>
        <v/>
      </c>
      <c r="J117" s="24">
        <f>IF($B117="","",COUNTIFS(tblCustomers[Location Code],$B117,tblCustomers[Customer Status],"Active"))</f>
        <v/>
      </c>
    </row>
    <row r="118">
      <c r="B118">
        <f>IFERROR(INDEX(tblLocations[Location Code],95)&amp;"","")</f>
        <v/>
      </c>
      <c r="C118">
        <f>IF($B118="","",INDEX(tblLocations[Full Address],95))</f>
        <v/>
      </c>
      <c r="D118" s="24">
        <f>IF($B118="","",COUNTIFS(tblBilling[Month],$C$22,tblBilling[Location Code],$B118))</f>
        <v/>
      </c>
      <c r="E118" s="25">
        <f>IF($B118="","",SUMIFS(tblBilling[Monthly Fee],tblBilling[Month],$C$22,tblBilling[Location Code],$B118))</f>
        <v/>
      </c>
      <c r="F118" s="25">
        <f>IF($B118="","",SUMIFS(tblBilling[Amount Paid],tblBilling[Month],$C$22,tblBilling[Location Code],$B118))</f>
        <v/>
      </c>
      <c r="G118" s="25">
        <f>IF($B118="","",SUMIFS(tblBilling[Balance],tblBilling[Month],$C$22,tblBilling[Location Code],$B118))</f>
        <v/>
      </c>
      <c r="H118" s="91">
        <f>IF(OR($B118="",N(E118)=0),"",F118/E118)</f>
        <v/>
      </c>
      <c r="I118" s="24">
        <f>IF($B118="","",COUNTIFS(tblBilling[Month],$C$22,tblBilling[Location Code],$B118,tblBilling[Balance],"&gt;0"))</f>
        <v/>
      </c>
      <c r="J118" s="24">
        <f>IF($B118="","",COUNTIFS(tblCustomers[Location Code],$B118,tblCustomers[Customer Status],"Active"))</f>
        <v/>
      </c>
    </row>
    <row r="119">
      <c r="B119">
        <f>IFERROR(INDEX(tblLocations[Location Code],96)&amp;"","")</f>
        <v/>
      </c>
      <c r="C119">
        <f>IF($B119="","",INDEX(tblLocations[Full Address],96))</f>
        <v/>
      </c>
      <c r="D119" s="24">
        <f>IF($B119="","",COUNTIFS(tblBilling[Month],$C$22,tblBilling[Location Code],$B119))</f>
        <v/>
      </c>
      <c r="E119" s="25">
        <f>IF($B119="","",SUMIFS(tblBilling[Monthly Fee],tblBilling[Month],$C$22,tblBilling[Location Code],$B119))</f>
        <v/>
      </c>
      <c r="F119" s="25">
        <f>IF($B119="","",SUMIFS(tblBilling[Amount Paid],tblBilling[Month],$C$22,tblBilling[Location Code],$B119))</f>
        <v/>
      </c>
      <c r="G119" s="25">
        <f>IF($B119="","",SUMIFS(tblBilling[Balance],tblBilling[Month],$C$22,tblBilling[Location Code],$B119))</f>
        <v/>
      </c>
      <c r="H119" s="91">
        <f>IF(OR($B119="",N(E119)=0),"",F119/E119)</f>
        <v/>
      </c>
      <c r="I119" s="24">
        <f>IF($B119="","",COUNTIFS(tblBilling[Month],$C$22,tblBilling[Location Code],$B119,tblBilling[Balance],"&gt;0"))</f>
        <v/>
      </c>
      <c r="J119" s="24">
        <f>IF($B119="","",COUNTIFS(tblCustomers[Location Code],$B119,tblCustomers[Customer Status],"Active"))</f>
        <v/>
      </c>
    </row>
    <row r="120">
      <c r="B120">
        <f>IFERROR(INDEX(tblLocations[Location Code],97)&amp;"","")</f>
        <v/>
      </c>
      <c r="C120">
        <f>IF($B120="","",INDEX(tblLocations[Full Address],97))</f>
        <v/>
      </c>
      <c r="D120" s="24">
        <f>IF($B120="","",COUNTIFS(tblBilling[Month],$C$22,tblBilling[Location Code],$B120))</f>
        <v/>
      </c>
      <c r="E120" s="25">
        <f>IF($B120="","",SUMIFS(tblBilling[Monthly Fee],tblBilling[Month],$C$22,tblBilling[Location Code],$B120))</f>
        <v/>
      </c>
      <c r="F120" s="25">
        <f>IF($B120="","",SUMIFS(tblBilling[Amount Paid],tblBilling[Month],$C$22,tblBilling[Location Code],$B120))</f>
        <v/>
      </c>
      <c r="G120" s="25">
        <f>IF($B120="","",SUMIFS(tblBilling[Balance],tblBilling[Month],$C$22,tblBilling[Location Code],$B120))</f>
        <v/>
      </c>
      <c r="H120" s="91">
        <f>IF(OR($B120="",N(E120)=0),"",F120/E120)</f>
        <v/>
      </c>
      <c r="I120" s="24">
        <f>IF($B120="","",COUNTIFS(tblBilling[Month],$C$22,tblBilling[Location Code],$B120,tblBilling[Balance],"&gt;0"))</f>
        <v/>
      </c>
      <c r="J120" s="24">
        <f>IF($B120="","",COUNTIFS(tblCustomers[Location Code],$B120,tblCustomers[Customer Status],"Active"))</f>
        <v/>
      </c>
    </row>
    <row r="121">
      <c r="B121">
        <f>IFERROR(INDEX(tblLocations[Location Code],98)&amp;"","")</f>
        <v/>
      </c>
      <c r="C121">
        <f>IF($B121="","",INDEX(tblLocations[Full Address],98))</f>
        <v/>
      </c>
      <c r="D121" s="24">
        <f>IF($B121="","",COUNTIFS(tblBilling[Month],$C$22,tblBilling[Location Code],$B121))</f>
        <v/>
      </c>
      <c r="E121" s="25">
        <f>IF($B121="","",SUMIFS(tblBilling[Monthly Fee],tblBilling[Month],$C$22,tblBilling[Location Code],$B121))</f>
        <v/>
      </c>
      <c r="F121" s="25">
        <f>IF($B121="","",SUMIFS(tblBilling[Amount Paid],tblBilling[Month],$C$22,tblBilling[Location Code],$B121))</f>
        <v/>
      </c>
      <c r="G121" s="25">
        <f>IF($B121="","",SUMIFS(tblBilling[Balance],tblBilling[Month],$C$22,tblBilling[Location Code],$B121))</f>
        <v/>
      </c>
      <c r="H121" s="91">
        <f>IF(OR($B121="",N(E121)=0),"",F121/E121)</f>
        <v/>
      </c>
      <c r="I121" s="24">
        <f>IF($B121="","",COUNTIFS(tblBilling[Month],$C$22,tblBilling[Location Code],$B121,tblBilling[Balance],"&gt;0"))</f>
        <v/>
      </c>
      <c r="J121" s="24">
        <f>IF($B121="","",COUNTIFS(tblCustomers[Location Code],$B121,tblCustomers[Customer Status],"Active"))</f>
        <v/>
      </c>
    </row>
    <row r="122">
      <c r="B122">
        <f>IFERROR(INDEX(tblLocations[Location Code],99)&amp;"","")</f>
        <v/>
      </c>
      <c r="C122">
        <f>IF($B122="","",INDEX(tblLocations[Full Address],99))</f>
        <v/>
      </c>
      <c r="D122" s="24">
        <f>IF($B122="","",COUNTIFS(tblBilling[Month],$C$22,tblBilling[Location Code],$B122))</f>
        <v/>
      </c>
      <c r="E122" s="25">
        <f>IF($B122="","",SUMIFS(tblBilling[Monthly Fee],tblBilling[Month],$C$22,tblBilling[Location Code],$B122))</f>
        <v/>
      </c>
      <c r="F122" s="25">
        <f>IF($B122="","",SUMIFS(tblBilling[Amount Paid],tblBilling[Month],$C$22,tblBilling[Location Code],$B122))</f>
        <v/>
      </c>
      <c r="G122" s="25">
        <f>IF($B122="","",SUMIFS(tblBilling[Balance],tblBilling[Month],$C$22,tblBilling[Location Code],$B122))</f>
        <v/>
      </c>
      <c r="H122" s="91">
        <f>IF(OR($B122="",N(E122)=0),"",F122/E122)</f>
        <v/>
      </c>
      <c r="I122" s="24">
        <f>IF($B122="","",COUNTIFS(tblBilling[Month],$C$22,tblBilling[Location Code],$B122,tblBilling[Balance],"&gt;0"))</f>
        <v/>
      </c>
      <c r="J122" s="24">
        <f>IF($B122="","",COUNTIFS(tblCustomers[Location Code],$B122,tblCustomers[Customer Status],"Active"))</f>
        <v/>
      </c>
    </row>
    <row r="123">
      <c r="B123">
        <f>IFERROR(INDEX(tblLocations[Location Code],100)&amp;"","")</f>
        <v/>
      </c>
      <c r="C123">
        <f>IF($B123="","",INDEX(tblLocations[Full Address],100))</f>
        <v/>
      </c>
      <c r="D123" s="24">
        <f>IF($B123="","",COUNTIFS(tblBilling[Month],$C$22,tblBilling[Location Code],$B123))</f>
        <v/>
      </c>
      <c r="E123" s="25">
        <f>IF($B123="","",SUMIFS(tblBilling[Monthly Fee],tblBilling[Month],$C$22,tblBilling[Location Code],$B123))</f>
        <v/>
      </c>
      <c r="F123" s="25">
        <f>IF($B123="","",SUMIFS(tblBilling[Amount Paid],tblBilling[Month],$C$22,tblBilling[Location Code],$B123))</f>
        <v/>
      </c>
      <c r="G123" s="25">
        <f>IF($B123="","",SUMIFS(tblBilling[Balance],tblBilling[Month],$C$22,tblBilling[Location Code],$B123))</f>
        <v/>
      </c>
      <c r="H123" s="91">
        <f>IF(OR($B123="",N(E123)=0),"",F123/E123)</f>
        <v/>
      </c>
      <c r="I123" s="24">
        <f>IF($B123="","",COUNTIFS(tblBilling[Month],$C$22,tblBilling[Location Code],$B123,tblBilling[Balance],"&gt;0"))</f>
        <v/>
      </c>
      <c r="J123" s="24">
        <f>IF($B123="","",COUNTIFS(tblCustomers[Location Code],$B123,tblCustomers[Customer Status],"Active"))</f>
        <v/>
      </c>
    </row>
    <row r="124">
      <c r="B124">
        <f>IFERROR(INDEX(tblLocations[Location Code],101)&amp;"","")</f>
        <v/>
      </c>
      <c r="C124">
        <f>IF($B124="","",INDEX(tblLocations[Full Address],101))</f>
        <v/>
      </c>
      <c r="D124" s="24">
        <f>IF($B124="","",COUNTIFS(tblBilling[Month],$C$22,tblBilling[Location Code],$B124))</f>
        <v/>
      </c>
      <c r="E124" s="25">
        <f>IF($B124="","",SUMIFS(tblBilling[Monthly Fee],tblBilling[Month],$C$22,tblBilling[Location Code],$B124))</f>
        <v/>
      </c>
      <c r="F124" s="25">
        <f>IF($B124="","",SUMIFS(tblBilling[Amount Paid],tblBilling[Month],$C$22,tblBilling[Location Code],$B124))</f>
        <v/>
      </c>
      <c r="G124" s="25">
        <f>IF($B124="","",SUMIFS(tblBilling[Balance],tblBilling[Month],$C$22,tblBilling[Location Code],$B124))</f>
        <v/>
      </c>
      <c r="H124" s="91">
        <f>IF(OR($B124="",N(E124)=0),"",F124/E124)</f>
        <v/>
      </c>
      <c r="I124" s="24">
        <f>IF($B124="","",COUNTIFS(tblBilling[Month],$C$22,tblBilling[Location Code],$B124,tblBilling[Balance],"&gt;0"))</f>
        <v/>
      </c>
      <c r="J124" s="24">
        <f>IF($B124="","",COUNTIFS(tblCustomers[Location Code],$B124,tblCustomers[Customer Status],"Active"))</f>
        <v/>
      </c>
    </row>
    <row r="125">
      <c r="B125">
        <f>IFERROR(INDEX(tblLocations[Location Code],102)&amp;"","")</f>
        <v/>
      </c>
      <c r="C125">
        <f>IF($B125="","",INDEX(tblLocations[Full Address],102))</f>
        <v/>
      </c>
      <c r="D125" s="24">
        <f>IF($B125="","",COUNTIFS(tblBilling[Month],$C$22,tblBilling[Location Code],$B125))</f>
        <v/>
      </c>
      <c r="E125" s="25">
        <f>IF($B125="","",SUMIFS(tblBilling[Monthly Fee],tblBilling[Month],$C$22,tblBilling[Location Code],$B125))</f>
        <v/>
      </c>
      <c r="F125" s="25">
        <f>IF($B125="","",SUMIFS(tblBilling[Amount Paid],tblBilling[Month],$C$22,tblBilling[Location Code],$B125))</f>
        <v/>
      </c>
      <c r="G125" s="25">
        <f>IF($B125="","",SUMIFS(tblBilling[Balance],tblBilling[Month],$C$22,tblBilling[Location Code],$B125))</f>
        <v/>
      </c>
      <c r="H125" s="91">
        <f>IF(OR($B125="",N(E125)=0),"",F125/E125)</f>
        <v/>
      </c>
      <c r="I125" s="24">
        <f>IF($B125="","",COUNTIFS(tblBilling[Month],$C$22,tblBilling[Location Code],$B125,tblBilling[Balance],"&gt;0"))</f>
        <v/>
      </c>
      <c r="J125" s="24">
        <f>IF($B125="","",COUNTIFS(tblCustomers[Location Code],$B125,tblCustomers[Customer Status],"Active"))</f>
        <v/>
      </c>
    </row>
    <row r="126">
      <c r="B126">
        <f>IFERROR(INDEX(tblLocations[Location Code],103)&amp;"","")</f>
        <v/>
      </c>
      <c r="C126">
        <f>IF($B126="","",INDEX(tblLocations[Full Address],103))</f>
        <v/>
      </c>
      <c r="D126" s="24">
        <f>IF($B126="","",COUNTIFS(tblBilling[Month],$C$22,tblBilling[Location Code],$B126))</f>
        <v/>
      </c>
      <c r="E126" s="25">
        <f>IF($B126="","",SUMIFS(tblBilling[Monthly Fee],tblBilling[Month],$C$22,tblBilling[Location Code],$B126))</f>
        <v/>
      </c>
      <c r="F126" s="25">
        <f>IF($B126="","",SUMIFS(tblBilling[Amount Paid],tblBilling[Month],$C$22,tblBilling[Location Code],$B126))</f>
        <v/>
      </c>
      <c r="G126" s="25">
        <f>IF($B126="","",SUMIFS(tblBilling[Balance],tblBilling[Month],$C$22,tblBilling[Location Code],$B126))</f>
        <v/>
      </c>
      <c r="H126" s="91">
        <f>IF(OR($B126="",N(E126)=0),"",F126/E126)</f>
        <v/>
      </c>
      <c r="I126" s="24">
        <f>IF($B126="","",COUNTIFS(tblBilling[Month],$C$22,tblBilling[Location Code],$B126,tblBilling[Balance],"&gt;0"))</f>
        <v/>
      </c>
      <c r="J126" s="24">
        <f>IF($B126="","",COUNTIFS(tblCustomers[Location Code],$B126,tblCustomers[Customer Status],"Active"))</f>
        <v/>
      </c>
    </row>
    <row r="127">
      <c r="B127">
        <f>IFERROR(INDEX(tblLocations[Location Code],104)&amp;"","")</f>
        <v/>
      </c>
      <c r="C127">
        <f>IF($B127="","",INDEX(tblLocations[Full Address],104))</f>
        <v/>
      </c>
      <c r="D127" s="24">
        <f>IF($B127="","",COUNTIFS(tblBilling[Month],$C$22,tblBilling[Location Code],$B127))</f>
        <v/>
      </c>
      <c r="E127" s="25">
        <f>IF($B127="","",SUMIFS(tblBilling[Monthly Fee],tblBilling[Month],$C$22,tblBilling[Location Code],$B127))</f>
        <v/>
      </c>
      <c r="F127" s="25">
        <f>IF($B127="","",SUMIFS(tblBilling[Amount Paid],tblBilling[Month],$C$22,tblBilling[Location Code],$B127))</f>
        <v/>
      </c>
      <c r="G127" s="25">
        <f>IF($B127="","",SUMIFS(tblBilling[Balance],tblBilling[Month],$C$22,tblBilling[Location Code],$B127))</f>
        <v/>
      </c>
      <c r="H127" s="91">
        <f>IF(OR($B127="",N(E127)=0),"",F127/E127)</f>
        <v/>
      </c>
      <c r="I127" s="24">
        <f>IF($B127="","",COUNTIFS(tblBilling[Month],$C$22,tblBilling[Location Code],$B127,tblBilling[Balance],"&gt;0"))</f>
        <v/>
      </c>
      <c r="J127" s="24">
        <f>IF($B127="","",COUNTIFS(tblCustomers[Location Code],$B127,tblCustomers[Customer Status],"Active"))</f>
        <v/>
      </c>
    </row>
    <row r="128">
      <c r="B128">
        <f>IFERROR(INDEX(tblLocations[Location Code],105)&amp;"","")</f>
        <v/>
      </c>
      <c r="C128">
        <f>IF($B128="","",INDEX(tblLocations[Full Address],105))</f>
        <v/>
      </c>
      <c r="D128" s="24">
        <f>IF($B128="","",COUNTIFS(tblBilling[Month],$C$22,tblBilling[Location Code],$B128))</f>
        <v/>
      </c>
      <c r="E128" s="25">
        <f>IF($B128="","",SUMIFS(tblBilling[Monthly Fee],tblBilling[Month],$C$22,tblBilling[Location Code],$B128))</f>
        <v/>
      </c>
      <c r="F128" s="25">
        <f>IF($B128="","",SUMIFS(tblBilling[Amount Paid],tblBilling[Month],$C$22,tblBilling[Location Code],$B128))</f>
        <v/>
      </c>
      <c r="G128" s="25">
        <f>IF($B128="","",SUMIFS(tblBilling[Balance],tblBilling[Month],$C$22,tblBilling[Location Code],$B128))</f>
        <v/>
      </c>
      <c r="H128" s="91">
        <f>IF(OR($B128="",N(E128)=0),"",F128/E128)</f>
        <v/>
      </c>
      <c r="I128" s="24">
        <f>IF($B128="","",COUNTIFS(tblBilling[Month],$C$22,tblBilling[Location Code],$B128,tblBilling[Balance],"&gt;0"))</f>
        <v/>
      </c>
      <c r="J128" s="24">
        <f>IF($B128="","",COUNTIFS(tblCustomers[Location Code],$B128,tblCustomers[Customer Status],"Active"))</f>
        <v/>
      </c>
    </row>
    <row r="129">
      <c r="B129">
        <f>IFERROR(INDEX(tblLocations[Location Code],106)&amp;"","")</f>
        <v/>
      </c>
      <c r="C129">
        <f>IF($B129="","",INDEX(tblLocations[Full Address],106))</f>
        <v/>
      </c>
      <c r="D129" s="24">
        <f>IF($B129="","",COUNTIFS(tblBilling[Month],$C$22,tblBilling[Location Code],$B129))</f>
        <v/>
      </c>
      <c r="E129" s="25">
        <f>IF($B129="","",SUMIFS(tblBilling[Monthly Fee],tblBilling[Month],$C$22,tblBilling[Location Code],$B129))</f>
        <v/>
      </c>
      <c r="F129" s="25">
        <f>IF($B129="","",SUMIFS(tblBilling[Amount Paid],tblBilling[Month],$C$22,tblBilling[Location Code],$B129))</f>
        <v/>
      </c>
      <c r="G129" s="25">
        <f>IF($B129="","",SUMIFS(tblBilling[Balance],tblBilling[Month],$C$22,tblBilling[Location Code],$B129))</f>
        <v/>
      </c>
      <c r="H129" s="91">
        <f>IF(OR($B129="",N(E129)=0),"",F129/E129)</f>
        <v/>
      </c>
      <c r="I129" s="24">
        <f>IF($B129="","",COUNTIFS(tblBilling[Month],$C$22,tblBilling[Location Code],$B129,tblBilling[Balance],"&gt;0"))</f>
        <v/>
      </c>
      <c r="J129" s="24">
        <f>IF($B129="","",COUNTIFS(tblCustomers[Location Code],$B129,tblCustomers[Customer Status],"Active"))</f>
        <v/>
      </c>
    </row>
    <row r="130">
      <c r="B130">
        <f>IFERROR(INDEX(tblLocations[Location Code],107)&amp;"","")</f>
        <v/>
      </c>
      <c r="C130">
        <f>IF($B130="","",INDEX(tblLocations[Full Address],107))</f>
        <v/>
      </c>
      <c r="D130" s="24">
        <f>IF($B130="","",COUNTIFS(tblBilling[Month],$C$22,tblBilling[Location Code],$B130))</f>
        <v/>
      </c>
      <c r="E130" s="25">
        <f>IF($B130="","",SUMIFS(tblBilling[Monthly Fee],tblBilling[Month],$C$22,tblBilling[Location Code],$B130))</f>
        <v/>
      </c>
      <c r="F130" s="25">
        <f>IF($B130="","",SUMIFS(tblBilling[Amount Paid],tblBilling[Month],$C$22,tblBilling[Location Code],$B130))</f>
        <v/>
      </c>
      <c r="G130" s="25">
        <f>IF($B130="","",SUMIFS(tblBilling[Balance],tblBilling[Month],$C$22,tblBilling[Location Code],$B130))</f>
        <v/>
      </c>
      <c r="H130" s="91">
        <f>IF(OR($B130="",N(E130)=0),"",F130/E130)</f>
        <v/>
      </c>
      <c r="I130" s="24">
        <f>IF($B130="","",COUNTIFS(tblBilling[Month],$C$22,tblBilling[Location Code],$B130,tblBilling[Balance],"&gt;0"))</f>
        <v/>
      </c>
      <c r="J130" s="24">
        <f>IF($B130="","",COUNTIFS(tblCustomers[Location Code],$B130,tblCustomers[Customer Status],"Active"))</f>
        <v/>
      </c>
    </row>
    <row r="131">
      <c r="B131">
        <f>IFERROR(INDEX(tblLocations[Location Code],108)&amp;"","")</f>
        <v/>
      </c>
      <c r="C131">
        <f>IF($B131="","",INDEX(tblLocations[Full Address],108))</f>
        <v/>
      </c>
      <c r="D131" s="24">
        <f>IF($B131="","",COUNTIFS(tblBilling[Month],$C$22,tblBilling[Location Code],$B131))</f>
        <v/>
      </c>
      <c r="E131" s="25">
        <f>IF($B131="","",SUMIFS(tblBilling[Monthly Fee],tblBilling[Month],$C$22,tblBilling[Location Code],$B131))</f>
        <v/>
      </c>
      <c r="F131" s="25">
        <f>IF($B131="","",SUMIFS(tblBilling[Amount Paid],tblBilling[Month],$C$22,tblBilling[Location Code],$B131))</f>
        <v/>
      </c>
      <c r="G131" s="25">
        <f>IF($B131="","",SUMIFS(tblBilling[Balance],tblBilling[Month],$C$22,tblBilling[Location Code],$B131))</f>
        <v/>
      </c>
      <c r="H131" s="91">
        <f>IF(OR($B131="",N(E131)=0),"",F131/E131)</f>
        <v/>
      </c>
      <c r="I131" s="24">
        <f>IF($B131="","",COUNTIFS(tblBilling[Month],$C$22,tblBilling[Location Code],$B131,tblBilling[Balance],"&gt;0"))</f>
        <v/>
      </c>
      <c r="J131" s="24">
        <f>IF($B131="","",COUNTIFS(tblCustomers[Location Code],$B131,tblCustomers[Customer Status],"Active"))</f>
        <v/>
      </c>
    </row>
    <row r="132">
      <c r="B132">
        <f>IFERROR(INDEX(tblLocations[Location Code],109)&amp;"","")</f>
        <v/>
      </c>
      <c r="C132">
        <f>IF($B132="","",INDEX(tblLocations[Full Address],109))</f>
        <v/>
      </c>
      <c r="D132" s="24">
        <f>IF($B132="","",COUNTIFS(tblBilling[Month],$C$22,tblBilling[Location Code],$B132))</f>
        <v/>
      </c>
      <c r="E132" s="25">
        <f>IF($B132="","",SUMIFS(tblBilling[Monthly Fee],tblBilling[Month],$C$22,tblBilling[Location Code],$B132))</f>
        <v/>
      </c>
      <c r="F132" s="25">
        <f>IF($B132="","",SUMIFS(tblBilling[Amount Paid],tblBilling[Month],$C$22,tblBilling[Location Code],$B132))</f>
        <v/>
      </c>
      <c r="G132" s="25">
        <f>IF($B132="","",SUMIFS(tblBilling[Balance],tblBilling[Month],$C$22,tblBilling[Location Code],$B132))</f>
        <v/>
      </c>
      <c r="H132" s="91">
        <f>IF(OR($B132="",N(E132)=0),"",F132/E132)</f>
        <v/>
      </c>
      <c r="I132" s="24">
        <f>IF($B132="","",COUNTIFS(tblBilling[Month],$C$22,tblBilling[Location Code],$B132,tblBilling[Balance],"&gt;0"))</f>
        <v/>
      </c>
      <c r="J132" s="24">
        <f>IF($B132="","",COUNTIFS(tblCustomers[Location Code],$B132,tblCustomers[Customer Status],"Active"))</f>
        <v/>
      </c>
    </row>
    <row r="133">
      <c r="B133">
        <f>IFERROR(INDEX(tblLocations[Location Code],110)&amp;"","")</f>
        <v/>
      </c>
      <c r="C133">
        <f>IF($B133="","",INDEX(tblLocations[Full Address],110))</f>
        <v/>
      </c>
      <c r="D133" s="24">
        <f>IF($B133="","",COUNTIFS(tblBilling[Month],$C$22,tblBilling[Location Code],$B133))</f>
        <v/>
      </c>
      <c r="E133" s="25">
        <f>IF($B133="","",SUMIFS(tblBilling[Monthly Fee],tblBilling[Month],$C$22,tblBilling[Location Code],$B133))</f>
        <v/>
      </c>
      <c r="F133" s="25">
        <f>IF($B133="","",SUMIFS(tblBilling[Amount Paid],tblBilling[Month],$C$22,tblBilling[Location Code],$B133))</f>
        <v/>
      </c>
      <c r="G133" s="25">
        <f>IF($B133="","",SUMIFS(tblBilling[Balance],tblBilling[Month],$C$22,tblBilling[Location Code],$B133))</f>
        <v/>
      </c>
      <c r="H133" s="91">
        <f>IF(OR($B133="",N(E133)=0),"",F133/E133)</f>
        <v/>
      </c>
      <c r="I133" s="24">
        <f>IF($B133="","",COUNTIFS(tblBilling[Month],$C$22,tblBilling[Location Code],$B133,tblBilling[Balance],"&gt;0"))</f>
        <v/>
      </c>
      <c r="J133" s="24">
        <f>IF($B133="","",COUNTIFS(tblCustomers[Location Code],$B133,tblCustomers[Customer Status],"Active"))</f>
        <v/>
      </c>
    </row>
    <row r="134">
      <c r="B134">
        <f>IFERROR(INDEX(tblLocations[Location Code],111)&amp;"","")</f>
        <v/>
      </c>
      <c r="C134">
        <f>IF($B134="","",INDEX(tblLocations[Full Address],111))</f>
        <v/>
      </c>
      <c r="D134" s="24">
        <f>IF($B134="","",COUNTIFS(tblBilling[Month],$C$22,tblBilling[Location Code],$B134))</f>
        <v/>
      </c>
      <c r="E134" s="25">
        <f>IF($B134="","",SUMIFS(tblBilling[Monthly Fee],tblBilling[Month],$C$22,tblBilling[Location Code],$B134))</f>
        <v/>
      </c>
      <c r="F134" s="25">
        <f>IF($B134="","",SUMIFS(tblBilling[Amount Paid],tblBilling[Month],$C$22,tblBilling[Location Code],$B134))</f>
        <v/>
      </c>
      <c r="G134" s="25">
        <f>IF($B134="","",SUMIFS(tblBilling[Balance],tblBilling[Month],$C$22,tblBilling[Location Code],$B134))</f>
        <v/>
      </c>
      <c r="H134" s="91">
        <f>IF(OR($B134="",N(E134)=0),"",F134/E134)</f>
        <v/>
      </c>
      <c r="I134" s="24">
        <f>IF($B134="","",COUNTIFS(tblBilling[Month],$C$22,tblBilling[Location Code],$B134,tblBilling[Balance],"&gt;0"))</f>
        <v/>
      </c>
      <c r="J134" s="24">
        <f>IF($B134="","",COUNTIFS(tblCustomers[Location Code],$B134,tblCustomers[Customer Status],"Active"))</f>
        <v/>
      </c>
    </row>
    <row r="135">
      <c r="B135">
        <f>IFERROR(INDEX(tblLocations[Location Code],112)&amp;"","")</f>
        <v/>
      </c>
      <c r="C135">
        <f>IF($B135="","",INDEX(tblLocations[Full Address],112))</f>
        <v/>
      </c>
      <c r="D135" s="24">
        <f>IF($B135="","",COUNTIFS(tblBilling[Month],$C$22,tblBilling[Location Code],$B135))</f>
        <v/>
      </c>
      <c r="E135" s="25">
        <f>IF($B135="","",SUMIFS(tblBilling[Monthly Fee],tblBilling[Month],$C$22,tblBilling[Location Code],$B135))</f>
        <v/>
      </c>
      <c r="F135" s="25">
        <f>IF($B135="","",SUMIFS(tblBilling[Amount Paid],tblBilling[Month],$C$22,tblBilling[Location Code],$B135))</f>
        <v/>
      </c>
      <c r="G135" s="25">
        <f>IF($B135="","",SUMIFS(tblBilling[Balance],tblBilling[Month],$C$22,tblBilling[Location Code],$B135))</f>
        <v/>
      </c>
      <c r="H135" s="91">
        <f>IF(OR($B135="",N(E135)=0),"",F135/E135)</f>
        <v/>
      </c>
      <c r="I135" s="24">
        <f>IF($B135="","",COUNTIFS(tblBilling[Month],$C$22,tblBilling[Location Code],$B135,tblBilling[Balance],"&gt;0"))</f>
        <v/>
      </c>
      <c r="J135" s="24">
        <f>IF($B135="","",COUNTIFS(tblCustomers[Location Code],$B135,tblCustomers[Customer Status],"Active"))</f>
        <v/>
      </c>
    </row>
    <row r="136">
      <c r="B136">
        <f>IFERROR(INDEX(tblLocations[Location Code],113)&amp;"","")</f>
        <v/>
      </c>
      <c r="C136">
        <f>IF($B136="","",INDEX(tblLocations[Full Address],113))</f>
        <v/>
      </c>
      <c r="D136" s="24">
        <f>IF($B136="","",COUNTIFS(tblBilling[Month],$C$22,tblBilling[Location Code],$B136))</f>
        <v/>
      </c>
      <c r="E136" s="25">
        <f>IF($B136="","",SUMIFS(tblBilling[Monthly Fee],tblBilling[Month],$C$22,tblBilling[Location Code],$B136))</f>
        <v/>
      </c>
      <c r="F136" s="25">
        <f>IF($B136="","",SUMIFS(tblBilling[Amount Paid],tblBilling[Month],$C$22,tblBilling[Location Code],$B136))</f>
        <v/>
      </c>
      <c r="G136" s="25">
        <f>IF($B136="","",SUMIFS(tblBilling[Balance],tblBilling[Month],$C$22,tblBilling[Location Code],$B136))</f>
        <v/>
      </c>
      <c r="H136" s="91">
        <f>IF(OR($B136="",N(E136)=0),"",F136/E136)</f>
        <v/>
      </c>
      <c r="I136" s="24">
        <f>IF($B136="","",COUNTIFS(tblBilling[Month],$C$22,tblBilling[Location Code],$B136,tblBilling[Balance],"&gt;0"))</f>
        <v/>
      </c>
      <c r="J136" s="24">
        <f>IF($B136="","",COUNTIFS(tblCustomers[Location Code],$B136,tblCustomers[Customer Status],"Active"))</f>
        <v/>
      </c>
    </row>
    <row r="137">
      <c r="B137">
        <f>IFERROR(INDEX(tblLocations[Location Code],114)&amp;"","")</f>
        <v/>
      </c>
      <c r="C137">
        <f>IF($B137="","",INDEX(tblLocations[Full Address],114))</f>
        <v/>
      </c>
      <c r="D137" s="24">
        <f>IF($B137="","",COUNTIFS(tblBilling[Month],$C$22,tblBilling[Location Code],$B137))</f>
        <v/>
      </c>
      <c r="E137" s="25">
        <f>IF($B137="","",SUMIFS(tblBilling[Monthly Fee],tblBilling[Month],$C$22,tblBilling[Location Code],$B137))</f>
        <v/>
      </c>
      <c r="F137" s="25">
        <f>IF($B137="","",SUMIFS(tblBilling[Amount Paid],tblBilling[Month],$C$22,tblBilling[Location Code],$B137))</f>
        <v/>
      </c>
      <c r="G137" s="25">
        <f>IF($B137="","",SUMIFS(tblBilling[Balance],tblBilling[Month],$C$22,tblBilling[Location Code],$B137))</f>
        <v/>
      </c>
      <c r="H137" s="91">
        <f>IF(OR($B137="",N(E137)=0),"",F137/E137)</f>
        <v/>
      </c>
      <c r="I137" s="24">
        <f>IF($B137="","",COUNTIFS(tblBilling[Month],$C$22,tblBilling[Location Code],$B137,tblBilling[Balance],"&gt;0"))</f>
        <v/>
      </c>
      <c r="J137" s="24">
        <f>IF($B137="","",COUNTIFS(tblCustomers[Location Code],$B137,tblCustomers[Customer Status],"Active"))</f>
        <v/>
      </c>
    </row>
    <row r="138">
      <c r="B138">
        <f>IFERROR(INDEX(tblLocations[Location Code],115)&amp;"","")</f>
        <v/>
      </c>
      <c r="C138">
        <f>IF($B138="","",INDEX(tblLocations[Full Address],115))</f>
        <v/>
      </c>
      <c r="D138" s="24">
        <f>IF($B138="","",COUNTIFS(tblBilling[Month],$C$22,tblBilling[Location Code],$B138))</f>
        <v/>
      </c>
      <c r="E138" s="25">
        <f>IF($B138="","",SUMIFS(tblBilling[Monthly Fee],tblBilling[Month],$C$22,tblBilling[Location Code],$B138))</f>
        <v/>
      </c>
      <c r="F138" s="25">
        <f>IF($B138="","",SUMIFS(tblBilling[Amount Paid],tblBilling[Month],$C$22,tblBilling[Location Code],$B138))</f>
        <v/>
      </c>
      <c r="G138" s="25">
        <f>IF($B138="","",SUMIFS(tblBilling[Balance],tblBilling[Month],$C$22,tblBilling[Location Code],$B138))</f>
        <v/>
      </c>
      <c r="H138" s="91">
        <f>IF(OR($B138="",N(E138)=0),"",F138/E138)</f>
        <v/>
      </c>
      <c r="I138" s="24">
        <f>IF($B138="","",COUNTIFS(tblBilling[Month],$C$22,tblBilling[Location Code],$B138,tblBilling[Balance],"&gt;0"))</f>
        <v/>
      </c>
      <c r="J138" s="24">
        <f>IF($B138="","",COUNTIFS(tblCustomers[Location Code],$B138,tblCustomers[Customer Status],"Active"))</f>
        <v/>
      </c>
    </row>
    <row r="139">
      <c r="B139">
        <f>IFERROR(INDEX(tblLocations[Location Code],116)&amp;"","")</f>
        <v/>
      </c>
      <c r="C139">
        <f>IF($B139="","",INDEX(tblLocations[Full Address],116))</f>
        <v/>
      </c>
      <c r="D139" s="24">
        <f>IF($B139="","",COUNTIFS(tblBilling[Month],$C$22,tblBilling[Location Code],$B139))</f>
        <v/>
      </c>
      <c r="E139" s="25">
        <f>IF($B139="","",SUMIFS(tblBilling[Monthly Fee],tblBilling[Month],$C$22,tblBilling[Location Code],$B139))</f>
        <v/>
      </c>
      <c r="F139" s="25">
        <f>IF($B139="","",SUMIFS(tblBilling[Amount Paid],tblBilling[Month],$C$22,tblBilling[Location Code],$B139))</f>
        <v/>
      </c>
      <c r="G139" s="25">
        <f>IF($B139="","",SUMIFS(tblBilling[Balance],tblBilling[Month],$C$22,tblBilling[Location Code],$B139))</f>
        <v/>
      </c>
      <c r="H139" s="91">
        <f>IF(OR($B139="",N(E139)=0),"",F139/E139)</f>
        <v/>
      </c>
      <c r="I139" s="24">
        <f>IF($B139="","",COUNTIFS(tblBilling[Month],$C$22,tblBilling[Location Code],$B139,tblBilling[Balance],"&gt;0"))</f>
        <v/>
      </c>
      <c r="J139" s="24">
        <f>IF($B139="","",COUNTIFS(tblCustomers[Location Code],$B139,tblCustomers[Customer Status],"Active"))</f>
        <v/>
      </c>
    </row>
    <row r="140">
      <c r="B140">
        <f>IFERROR(INDEX(tblLocations[Location Code],117)&amp;"","")</f>
        <v/>
      </c>
      <c r="C140">
        <f>IF($B140="","",INDEX(tblLocations[Full Address],117))</f>
        <v/>
      </c>
      <c r="D140" s="24">
        <f>IF($B140="","",COUNTIFS(tblBilling[Month],$C$22,tblBilling[Location Code],$B140))</f>
        <v/>
      </c>
      <c r="E140" s="25">
        <f>IF($B140="","",SUMIFS(tblBilling[Monthly Fee],tblBilling[Month],$C$22,tblBilling[Location Code],$B140))</f>
        <v/>
      </c>
      <c r="F140" s="25">
        <f>IF($B140="","",SUMIFS(tblBilling[Amount Paid],tblBilling[Month],$C$22,tblBilling[Location Code],$B140))</f>
        <v/>
      </c>
      <c r="G140" s="25">
        <f>IF($B140="","",SUMIFS(tblBilling[Balance],tblBilling[Month],$C$22,tblBilling[Location Code],$B140))</f>
        <v/>
      </c>
      <c r="H140" s="91">
        <f>IF(OR($B140="",N(E140)=0),"",F140/E140)</f>
        <v/>
      </c>
      <c r="I140" s="24">
        <f>IF($B140="","",COUNTIFS(tblBilling[Month],$C$22,tblBilling[Location Code],$B140,tblBilling[Balance],"&gt;0"))</f>
        <v/>
      </c>
      <c r="J140" s="24">
        <f>IF($B140="","",COUNTIFS(tblCustomers[Location Code],$B140,tblCustomers[Customer Status],"Active"))</f>
        <v/>
      </c>
    </row>
    <row r="141">
      <c r="B141">
        <f>IFERROR(INDEX(tblLocations[Location Code],118)&amp;"","")</f>
        <v/>
      </c>
      <c r="C141">
        <f>IF($B141="","",INDEX(tblLocations[Full Address],118))</f>
        <v/>
      </c>
      <c r="D141" s="24">
        <f>IF($B141="","",COUNTIFS(tblBilling[Month],$C$22,tblBilling[Location Code],$B141))</f>
        <v/>
      </c>
      <c r="E141" s="25">
        <f>IF($B141="","",SUMIFS(tblBilling[Monthly Fee],tblBilling[Month],$C$22,tblBilling[Location Code],$B141))</f>
        <v/>
      </c>
      <c r="F141" s="25">
        <f>IF($B141="","",SUMIFS(tblBilling[Amount Paid],tblBilling[Month],$C$22,tblBilling[Location Code],$B141))</f>
        <v/>
      </c>
      <c r="G141" s="25">
        <f>IF($B141="","",SUMIFS(tblBilling[Balance],tblBilling[Month],$C$22,tblBilling[Location Code],$B141))</f>
        <v/>
      </c>
      <c r="H141" s="91">
        <f>IF(OR($B141="",N(E141)=0),"",F141/E141)</f>
        <v/>
      </c>
      <c r="I141" s="24">
        <f>IF($B141="","",COUNTIFS(tblBilling[Month],$C$22,tblBilling[Location Code],$B141,tblBilling[Balance],"&gt;0"))</f>
        <v/>
      </c>
      <c r="J141" s="24">
        <f>IF($B141="","",COUNTIFS(tblCustomers[Location Code],$B141,tblCustomers[Customer Status],"Active"))</f>
        <v/>
      </c>
    </row>
    <row r="142">
      <c r="B142">
        <f>IFERROR(INDEX(tblLocations[Location Code],119)&amp;"","")</f>
        <v/>
      </c>
      <c r="C142">
        <f>IF($B142="","",INDEX(tblLocations[Full Address],119))</f>
        <v/>
      </c>
      <c r="D142" s="24">
        <f>IF($B142="","",COUNTIFS(tblBilling[Month],$C$22,tblBilling[Location Code],$B142))</f>
        <v/>
      </c>
      <c r="E142" s="25">
        <f>IF($B142="","",SUMIFS(tblBilling[Monthly Fee],tblBilling[Month],$C$22,tblBilling[Location Code],$B142))</f>
        <v/>
      </c>
      <c r="F142" s="25">
        <f>IF($B142="","",SUMIFS(tblBilling[Amount Paid],tblBilling[Month],$C$22,tblBilling[Location Code],$B142))</f>
        <v/>
      </c>
      <c r="G142" s="25">
        <f>IF($B142="","",SUMIFS(tblBilling[Balance],tblBilling[Month],$C$22,tblBilling[Location Code],$B142))</f>
        <v/>
      </c>
      <c r="H142" s="91">
        <f>IF(OR($B142="",N(E142)=0),"",F142/E142)</f>
        <v/>
      </c>
      <c r="I142" s="24">
        <f>IF($B142="","",COUNTIFS(tblBilling[Month],$C$22,tblBilling[Location Code],$B142,tblBilling[Balance],"&gt;0"))</f>
        <v/>
      </c>
      <c r="J142" s="24">
        <f>IF($B142="","",COUNTIFS(tblCustomers[Location Code],$B142,tblCustomers[Customer Status],"Active"))</f>
        <v/>
      </c>
    </row>
    <row r="143">
      <c r="B143">
        <f>IFERROR(INDEX(tblLocations[Location Code],120)&amp;"","")</f>
        <v/>
      </c>
      <c r="C143">
        <f>IF($B143="","",INDEX(tblLocations[Full Address],120))</f>
        <v/>
      </c>
      <c r="D143" s="24">
        <f>IF($B143="","",COUNTIFS(tblBilling[Month],$C$22,tblBilling[Location Code],$B143))</f>
        <v/>
      </c>
      <c r="E143" s="25">
        <f>IF($B143="","",SUMIFS(tblBilling[Monthly Fee],tblBilling[Month],$C$22,tblBilling[Location Code],$B143))</f>
        <v/>
      </c>
      <c r="F143" s="25">
        <f>IF($B143="","",SUMIFS(tblBilling[Amount Paid],tblBilling[Month],$C$22,tblBilling[Location Code],$B143))</f>
        <v/>
      </c>
      <c r="G143" s="25">
        <f>IF($B143="","",SUMIFS(tblBilling[Balance],tblBilling[Month],$C$22,tblBilling[Location Code],$B143))</f>
        <v/>
      </c>
      <c r="H143" s="91">
        <f>IF(OR($B143="",N(E143)=0),"",F143/E143)</f>
        <v/>
      </c>
      <c r="I143" s="24">
        <f>IF($B143="","",COUNTIFS(tblBilling[Month],$C$22,tblBilling[Location Code],$B143,tblBilling[Balance],"&gt;0"))</f>
        <v/>
      </c>
      <c r="J143" s="24">
        <f>IF($B143="","",COUNTIFS(tblCustomers[Location Code],$B143,tblCustomers[Customer Status],"Active"))</f>
        <v/>
      </c>
    </row>
    <row r="144">
      <c r="B144">
        <f>IFERROR(INDEX(tblLocations[Location Code],121)&amp;"","")</f>
        <v/>
      </c>
      <c r="C144">
        <f>IF($B144="","",INDEX(tblLocations[Full Address],121))</f>
        <v/>
      </c>
      <c r="D144" s="24">
        <f>IF($B144="","",COUNTIFS(tblBilling[Month],$C$22,tblBilling[Location Code],$B144))</f>
        <v/>
      </c>
      <c r="E144" s="25">
        <f>IF($B144="","",SUMIFS(tblBilling[Monthly Fee],tblBilling[Month],$C$22,tblBilling[Location Code],$B144))</f>
        <v/>
      </c>
      <c r="F144" s="25">
        <f>IF($B144="","",SUMIFS(tblBilling[Amount Paid],tblBilling[Month],$C$22,tblBilling[Location Code],$B144))</f>
        <v/>
      </c>
      <c r="G144" s="25">
        <f>IF($B144="","",SUMIFS(tblBilling[Balance],tblBilling[Month],$C$22,tblBilling[Location Code],$B144))</f>
        <v/>
      </c>
      <c r="H144" s="91">
        <f>IF(OR($B144="",N(E144)=0),"",F144/E144)</f>
        <v/>
      </c>
      <c r="I144" s="24">
        <f>IF($B144="","",COUNTIFS(tblBilling[Month],$C$22,tblBilling[Location Code],$B144,tblBilling[Balance],"&gt;0"))</f>
        <v/>
      </c>
      <c r="J144" s="24">
        <f>IF($B144="","",COUNTIFS(tblCustomers[Location Code],$B144,tblCustomers[Customer Status],"Active"))</f>
        <v/>
      </c>
    </row>
    <row r="145">
      <c r="B145">
        <f>IFERROR(INDEX(tblLocations[Location Code],122)&amp;"","")</f>
        <v/>
      </c>
      <c r="C145">
        <f>IF($B145="","",INDEX(tblLocations[Full Address],122))</f>
        <v/>
      </c>
      <c r="D145" s="24">
        <f>IF($B145="","",COUNTIFS(tblBilling[Month],$C$22,tblBilling[Location Code],$B145))</f>
        <v/>
      </c>
      <c r="E145" s="25">
        <f>IF($B145="","",SUMIFS(tblBilling[Monthly Fee],tblBilling[Month],$C$22,tblBilling[Location Code],$B145))</f>
        <v/>
      </c>
      <c r="F145" s="25">
        <f>IF($B145="","",SUMIFS(tblBilling[Amount Paid],tblBilling[Month],$C$22,tblBilling[Location Code],$B145))</f>
        <v/>
      </c>
      <c r="G145" s="25">
        <f>IF($B145="","",SUMIFS(tblBilling[Balance],tblBilling[Month],$C$22,tblBilling[Location Code],$B145))</f>
        <v/>
      </c>
      <c r="H145" s="91">
        <f>IF(OR($B145="",N(E145)=0),"",F145/E145)</f>
        <v/>
      </c>
      <c r="I145" s="24">
        <f>IF($B145="","",COUNTIFS(tblBilling[Month],$C$22,tblBilling[Location Code],$B145,tblBilling[Balance],"&gt;0"))</f>
        <v/>
      </c>
      <c r="J145" s="24">
        <f>IF($B145="","",COUNTIFS(tblCustomers[Location Code],$B145,tblCustomers[Customer Status],"Active"))</f>
        <v/>
      </c>
    </row>
    <row r="146">
      <c r="B146">
        <f>IFERROR(INDEX(tblLocations[Location Code],123)&amp;"","")</f>
        <v/>
      </c>
      <c r="C146">
        <f>IF($B146="","",INDEX(tblLocations[Full Address],123))</f>
        <v/>
      </c>
      <c r="D146" s="24">
        <f>IF($B146="","",COUNTIFS(tblBilling[Month],$C$22,tblBilling[Location Code],$B146))</f>
        <v/>
      </c>
      <c r="E146" s="25">
        <f>IF($B146="","",SUMIFS(tblBilling[Monthly Fee],tblBilling[Month],$C$22,tblBilling[Location Code],$B146))</f>
        <v/>
      </c>
      <c r="F146" s="25">
        <f>IF($B146="","",SUMIFS(tblBilling[Amount Paid],tblBilling[Month],$C$22,tblBilling[Location Code],$B146))</f>
        <v/>
      </c>
      <c r="G146" s="25">
        <f>IF($B146="","",SUMIFS(tblBilling[Balance],tblBilling[Month],$C$22,tblBilling[Location Code],$B146))</f>
        <v/>
      </c>
      <c r="H146" s="91">
        <f>IF(OR($B146="",N(E146)=0),"",F146/E146)</f>
        <v/>
      </c>
      <c r="I146" s="24">
        <f>IF($B146="","",COUNTIFS(tblBilling[Month],$C$22,tblBilling[Location Code],$B146,tblBilling[Balance],"&gt;0"))</f>
        <v/>
      </c>
      <c r="J146" s="24">
        <f>IF($B146="","",COUNTIFS(tblCustomers[Location Code],$B146,tblCustomers[Customer Status],"Active"))</f>
        <v/>
      </c>
    </row>
    <row r="147">
      <c r="B147">
        <f>IFERROR(INDEX(tblLocations[Location Code],124)&amp;"","")</f>
        <v/>
      </c>
      <c r="C147">
        <f>IF($B147="","",INDEX(tblLocations[Full Address],124))</f>
        <v/>
      </c>
      <c r="D147" s="24">
        <f>IF($B147="","",COUNTIFS(tblBilling[Month],$C$22,tblBilling[Location Code],$B147))</f>
        <v/>
      </c>
      <c r="E147" s="25">
        <f>IF($B147="","",SUMIFS(tblBilling[Monthly Fee],tblBilling[Month],$C$22,tblBilling[Location Code],$B147))</f>
        <v/>
      </c>
      <c r="F147" s="25">
        <f>IF($B147="","",SUMIFS(tblBilling[Amount Paid],tblBilling[Month],$C$22,tblBilling[Location Code],$B147))</f>
        <v/>
      </c>
      <c r="G147" s="25">
        <f>IF($B147="","",SUMIFS(tblBilling[Balance],tblBilling[Month],$C$22,tblBilling[Location Code],$B147))</f>
        <v/>
      </c>
      <c r="H147" s="91">
        <f>IF(OR($B147="",N(E147)=0),"",F147/E147)</f>
        <v/>
      </c>
      <c r="I147" s="24">
        <f>IF($B147="","",COUNTIFS(tblBilling[Month],$C$22,tblBilling[Location Code],$B147,tblBilling[Balance],"&gt;0"))</f>
        <v/>
      </c>
      <c r="J147" s="24">
        <f>IF($B147="","",COUNTIFS(tblCustomers[Location Code],$B147,tblCustomers[Customer Status],"Active"))</f>
        <v/>
      </c>
    </row>
    <row r="148">
      <c r="B148">
        <f>IFERROR(INDEX(tblLocations[Location Code],125)&amp;"","")</f>
        <v/>
      </c>
      <c r="C148">
        <f>IF($B148="","",INDEX(tblLocations[Full Address],125))</f>
        <v/>
      </c>
      <c r="D148" s="24">
        <f>IF($B148="","",COUNTIFS(tblBilling[Month],$C$22,tblBilling[Location Code],$B148))</f>
        <v/>
      </c>
      <c r="E148" s="25">
        <f>IF($B148="","",SUMIFS(tblBilling[Monthly Fee],tblBilling[Month],$C$22,tblBilling[Location Code],$B148))</f>
        <v/>
      </c>
      <c r="F148" s="25">
        <f>IF($B148="","",SUMIFS(tblBilling[Amount Paid],tblBilling[Month],$C$22,tblBilling[Location Code],$B148))</f>
        <v/>
      </c>
      <c r="G148" s="25">
        <f>IF($B148="","",SUMIFS(tblBilling[Balance],tblBilling[Month],$C$22,tblBilling[Location Code],$B148))</f>
        <v/>
      </c>
      <c r="H148" s="91">
        <f>IF(OR($B148="",N(E148)=0),"",F148/E148)</f>
        <v/>
      </c>
      <c r="I148" s="24">
        <f>IF($B148="","",COUNTIFS(tblBilling[Month],$C$22,tblBilling[Location Code],$B148,tblBilling[Balance],"&gt;0"))</f>
        <v/>
      </c>
      <c r="J148" s="24">
        <f>IF($B148="","",COUNTIFS(tblCustomers[Location Code],$B148,tblCustomers[Customer Status],"Active"))</f>
        <v/>
      </c>
    </row>
    <row r="149">
      <c r="B149">
        <f>IFERROR(INDEX(tblLocations[Location Code],126)&amp;"","")</f>
        <v/>
      </c>
      <c r="C149">
        <f>IF($B149="","",INDEX(tblLocations[Full Address],126))</f>
        <v/>
      </c>
      <c r="D149" s="24">
        <f>IF($B149="","",COUNTIFS(tblBilling[Month],$C$22,tblBilling[Location Code],$B149))</f>
        <v/>
      </c>
      <c r="E149" s="25">
        <f>IF($B149="","",SUMIFS(tblBilling[Monthly Fee],tblBilling[Month],$C$22,tblBilling[Location Code],$B149))</f>
        <v/>
      </c>
      <c r="F149" s="25">
        <f>IF($B149="","",SUMIFS(tblBilling[Amount Paid],tblBilling[Month],$C$22,tblBilling[Location Code],$B149))</f>
        <v/>
      </c>
      <c r="G149" s="25">
        <f>IF($B149="","",SUMIFS(tblBilling[Balance],tblBilling[Month],$C$22,tblBilling[Location Code],$B149))</f>
        <v/>
      </c>
      <c r="H149" s="91">
        <f>IF(OR($B149="",N(E149)=0),"",F149/E149)</f>
        <v/>
      </c>
      <c r="I149" s="24">
        <f>IF($B149="","",COUNTIFS(tblBilling[Month],$C$22,tblBilling[Location Code],$B149,tblBilling[Balance],"&gt;0"))</f>
        <v/>
      </c>
      <c r="J149" s="24">
        <f>IF($B149="","",COUNTIFS(tblCustomers[Location Code],$B149,tblCustomers[Customer Status],"Active"))</f>
        <v/>
      </c>
    </row>
    <row r="150">
      <c r="B150">
        <f>IFERROR(INDEX(tblLocations[Location Code],127)&amp;"","")</f>
        <v/>
      </c>
      <c r="C150">
        <f>IF($B150="","",INDEX(tblLocations[Full Address],127))</f>
        <v/>
      </c>
      <c r="D150" s="24">
        <f>IF($B150="","",COUNTIFS(tblBilling[Month],$C$22,tblBilling[Location Code],$B150))</f>
        <v/>
      </c>
      <c r="E150" s="25">
        <f>IF($B150="","",SUMIFS(tblBilling[Monthly Fee],tblBilling[Month],$C$22,tblBilling[Location Code],$B150))</f>
        <v/>
      </c>
      <c r="F150" s="25">
        <f>IF($B150="","",SUMIFS(tblBilling[Amount Paid],tblBilling[Month],$C$22,tblBilling[Location Code],$B150))</f>
        <v/>
      </c>
      <c r="G150" s="25">
        <f>IF($B150="","",SUMIFS(tblBilling[Balance],tblBilling[Month],$C$22,tblBilling[Location Code],$B150))</f>
        <v/>
      </c>
      <c r="H150" s="91">
        <f>IF(OR($B150="",N(E150)=0),"",F150/E150)</f>
        <v/>
      </c>
      <c r="I150" s="24">
        <f>IF($B150="","",COUNTIFS(tblBilling[Month],$C$22,tblBilling[Location Code],$B150,tblBilling[Balance],"&gt;0"))</f>
        <v/>
      </c>
      <c r="J150" s="24">
        <f>IF($B150="","",COUNTIFS(tblCustomers[Location Code],$B150,tblCustomers[Customer Status],"Active"))</f>
        <v/>
      </c>
    </row>
    <row r="151">
      <c r="B151">
        <f>IFERROR(INDEX(tblLocations[Location Code],128)&amp;"","")</f>
        <v/>
      </c>
      <c r="C151">
        <f>IF($B151="","",INDEX(tblLocations[Full Address],128))</f>
        <v/>
      </c>
      <c r="D151" s="24">
        <f>IF($B151="","",COUNTIFS(tblBilling[Month],$C$22,tblBilling[Location Code],$B151))</f>
        <v/>
      </c>
      <c r="E151" s="25">
        <f>IF($B151="","",SUMIFS(tblBilling[Monthly Fee],tblBilling[Month],$C$22,tblBilling[Location Code],$B151))</f>
        <v/>
      </c>
      <c r="F151" s="25">
        <f>IF($B151="","",SUMIFS(tblBilling[Amount Paid],tblBilling[Month],$C$22,tblBilling[Location Code],$B151))</f>
        <v/>
      </c>
      <c r="G151" s="25">
        <f>IF($B151="","",SUMIFS(tblBilling[Balance],tblBilling[Month],$C$22,tblBilling[Location Code],$B151))</f>
        <v/>
      </c>
      <c r="H151" s="91">
        <f>IF(OR($B151="",N(E151)=0),"",F151/E151)</f>
        <v/>
      </c>
      <c r="I151" s="24">
        <f>IF($B151="","",COUNTIFS(tblBilling[Month],$C$22,tblBilling[Location Code],$B151,tblBilling[Balance],"&gt;0"))</f>
        <v/>
      </c>
      <c r="J151" s="24">
        <f>IF($B151="","",COUNTIFS(tblCustomers[Location Code],$B151,tblCustomers[Customer Status],"Active"))</f>
        <v/>
      </c>
    </row>
    <row r="152">
      <c r="B152">
        <f>IFERROR(INDEX(tblLocations[Location Code],129)&amp;"","")</f>
        <v/>
      </c>
      <c r="C152">
        <f>IF($B152="","",INDEX(tblLocations[Full Address],129))</f>
        <v/>
      </c>
      <c r="D152" s="24">
        <f>IF($B152="","",COUNTIFS(tblBilling[Month],$C$22,tblBilling[Location Code],$B152))</f>
        <v/>
      </c>
      <c r="E152" s="25">
        <f>IF($B152="","",SUMIFS(tblBilling[Monthly Fee],tblBilling[Month],$C$22,tblBilling[Location Code],$B152))</f>
        <v/>
      </c>
      <c r="F152" s="25">
        <f>IF($B152="","",SUMIFS(tblBilling[Amount Paid],tblBilling[Month],$C$22,tblBilling[Location Code],$B152))</f>
        <v/>
      </c>
      <c r="G152" s="25">
        <f>IF($B152="","",SUMIFS(tblBilling[Balance],tblBilling[Month],$C$22,tblBilling[Location Code],$B152))</f>
        <v/>
      </c>
      <c r="H152" s="91">
        <f>IF(OR($B152="",N(E152)=0),"",F152/E152)</f>
        <v/>
      </c>
      <c r="I152" s="24">
        <f>IF($B152="","",COUNTIFS(tblBilling[Month],$C$22,tblBilling[Location Code],$B152,tblBilling[Balance],"&gt;0"))</f>
        <v/>
      </c>
      <c r="J152" s="24">
        <f>IF($B152="","",COUNTIFS(tblCustomers[Location Code],$B152,tblCustomers[Customer Status],"Active"))</f>
        <v/>
      </c>
    </row>
    <row r="153">
      <c r="B153">
        <f>IFERROR(INDEX(tblLocations[Location Code],130)&amp;"","")</f>
        <v/>
      </c>
      <c r="C153">
        <f>IF($B153="","",INDEX(tblLocations[Full Address],130))</f>
        <v/>
      </c>
      <c r="D153" s="24">
        <f>IF($B153="","",COUNTIFS(tblBilling[Month],$C$22,tblBilling[Location Code],$B153))</f>
        <v/>
      </c>
      <c r="E153" s="25">
        <f>IF($B153="","",SUMIFS(tblBilling[Monthly Fee],tblBilling[Month],$C$22,tblBilling[Location Code],$B153))</f>
        <v/>
      </c>
      <c r="F153" s="25">
        <f>IF($B153="","",SUMIFS(tblBilling[Amount Paid],tblBilling[Month],$C$22,tblBilling[Location Code],$B153))</f>
        <v/>
      </c>
      <c r="G153" s="25">
        <f>IF($B153="","",SUMIFS(tblBilling[Balance],tblBilling[Month],$C$22,tblBilling[Location Code],$B153))</f>
        <v/>
      </c>
      <c r="H153" s="91">
        <f>IF(OR($B153="",N(E153)=0),"",F153/E153)</f>
        <v/>
      </c>
      <c r="I153" s="24">
        <f>IF($B153="","",COUNTIFS(tblBilling[Month],$C$22,tblBilling[Location Code],$B153,tblBilling[Balance],"&gt;0"))</f>
        <v/>
      </c>
      <c r="J153" s="24">
        <f>IF($B153="","",COUNTIFS(tblCustomers[Location Code],$B153,tblCustomers[Customer Status],"Active"))</f>
        <v/>
      </c>
    </row>
    <row r="154">
      <c r="B154">
        <f>IFERROR(INDEX(tblLocations[Location Code],131)&amp;"","")</f>
        <v/>
      </c>
      <c r="C154">
        <f>IF($B154="","",INDEX(tblLocations[Full Address],131))</f>
        <v/>
      </c>
      <c r="D154" s="24">
        <f>IF($B154="","",COUNTIFS(tblBilling[Month],$C$22,tblBilling[Location Code],$B154))</f>
        <v/>
      </c>
      <c r="E154" s="25">
        <f>IF($B154="","",SUMIFS(tblBilling[Monthly Fee],tblBilling[Month],$C$22,tblBilling[Location Code],$B154))</f>
        <v/>
      </c>
      <c r="F154" s="25">
        <f>IF($B154="","",SUMIFS(tblBilling[Amount Paid],tblBilling[Month],$C$22,tblBilling[Location Code],$B154))</f>
        <v/>
      </c>
      <c r="G154" s="25">
        <f>IF($B154="","",SUMIFS(tblBilling[Balance],tblBilling[Month],$C$22,tblBilling[Location Code],$B154))</f>
        <v/>
      </c>
      <c r="H154" s="91">
        <f>IF(OR($B154="",N(E154)=0),"",F154/E154)</f>
        <v/>
      </c>
      <c r="I154" s="24">
        <f>IF($B154="","",COUNTIFS(tblBilling[Month],$C$22,tblBilling[Location Code],$B154,tblBilling[Balance],"&gt;0"))</f>
        <v/>
      </c>
      <c r="J154" s="24">
        <f>IF($B154="","",COUNTIFS(tblCustomers[Location Code],$B154,tblCustomers[Customer Status],"Active"))</f>
        <v/>
      </c>
    </row>
    <row r="155">
      <c r="B155">
        <f>IFERROR(INDEX(tblLocations[Location Code],132)&amp;"","")</f>
        <v/>
      </c>
      <c r="C155">
        <f>IF($B155="","",INDEX(tblLocations[Full Address],132))</f>
        <v/>
      </c>
      <c r="D155" s="24">
        <f>IF($B155="","",COUNTIFS(tblBilling[Month],$C$22,tblBilling[Location Code],$B155))</f>
        <v/>
      </c>
      <c r="E155" s="25">
        <f>IF($B155="","",SUMIFS(tblBilling[Monthly Fee],tblBilling[Month],$C$22,tblBilling[Location Code],$B155))</f>
        <v/>
      </c>
      <c r="F155" s="25">
        <f>IF($B155="","",SUMIFS(tblBilling[Amount Paid],tblBilling[Month],$C$22,tblBilling[Location Code],$B155))</f>
        <v/>
      </c>
      <c r="G155" s="25">
        <f>IF($B155="","",SUMIFS(tblBilling[Balance],tblBilling[Month],$C$22,tblBilling[Location Code],$B155))</f>
        <v/>
      </c>
      <c r="H155" s="91">
        <f>IF(OR($B155="",N(E155)=0),"",F155/E155)</f>
        <v/>
      </c>
      <c r="I155" s="24">
        <f>IF($B155="","",COUNTIFS(tblBilling[Month],$C$22,tblBilling[Location Code],$B155,tblBilling[Balance],"&gt;0"))</f>
        <v/>
      </c>
      <c r="J155" s="24">
        <f>IF($B155="","",COUNTIFS(tblCustomers[Location Code],$B155,tblCustomers[Customer Status],"Active"))</f>
        <v/>
      </c>
    </row>
    <row r="156">
      <c r="B156">
        <f>IFERROR(INDEX(tblLocations[Location Code],133)&amp;"","")</f>
        <v/>
      </c>
      <c r="C156">
        <f>IF($B156="","",INDEX(tblLocations[Full Address],133))</f>
        <v/>
      </c>
      <c r="D156" s="24">
        <f>IF($B156="","",COUNTIFS(tblBilling[Month],$C$22,tblBilling[Location Code],$B156))</f>
        <v/>
      </c>
      <c r="E156" s="25">
        <f>IF($B156="","",SUMIFS(tblBilling[Monthly Fee],tblBilling[Month],$C$22,tblBilling[Location Code],$B156))</f>
        <v/>
      </c>
      <c r="F156" s="25">
        <f>IF($B156="","",SUMIFS(tblBilling[Amount Paid],tblBilling[Month],$C$22,tblBilling[Location Code],$B156))</f>
        <v/>
      </c>
      <c r="G156" s="25">
        <f>IF($B156="","",SUMIFS(tblBilling[Balance],tblBilling[Month],$C$22,tblBilling[Location Code],$B156))</f>
        <v/>
      </c>
      <c r="H156" s="91">
        <f>IF(OR($B156="",N(E156)=0),"",F156/E156)</f>
        <v/>
      </c>
      <c r="I156" s="24">
        <f>IF($B156="","",COUNTIFS(tblBilling[Month],$C$22,tblBilling[Location Code],$B156,tblBilling[Balance],"&gt;0"))</f>
        <v/>
      </c>
      <c r="J156" s="24">
        <f>IF($B156="","",COUNTIFS(tblCustomers[Location Code],$B156,tblCustomers[Customer Status],"Active"))</f>
        <v/>
      </c>
    </row>
    <row r="157">
      <c r="B157">
        <f>IFERROR(INDEX(tblLocations[Location Code],134)&amp;"","")</f>
        <v/>
      </c>
      <c r="C157">
        <f>IF($B157="","",INDEX(tblLocations[Full Address],134))</f>
        <v/>
      </c>
      <c r="D157" s="24">
        <f>IF($B157="","",COUNTIFS(tblBilling[Month],$C$22,tblBilling[Location Code],$B157))</f>
        <v/>
      </c>
      <c r="E157" s="25">
        <f>IF($B157="","",SUMIFS(tblBilling[Monthly Fee],tblBilling[Month],$C$22,tblBilling[Location Code],$B157))</f>
        <v/>
      </c>
      <c r="F157" s="25">
        <f>IF($B157="","",SUMIFS(tblBilling[Amount Paid],tblBilling[Month],$C$22,tblBilling[Location Code],$B157))</f>
        <v/>
      </c>
      <c r="G157" s="25">
        <f>IF($B157="","",SUMIFS(tblBilling[Balance],tblBilling[Month],$C$22,tblBilling[Location Code],$B157))</f>
        <v/>
      </c>
      <c r="H157" s="91">
        <f>IF(OR($B157="",N(E157)=0),"",F157/E157)</f>
        <v/>
      </c>
      <c r="I157" s="24">
        <f>IF($B157="","",COUNTIFS(tblBilling[Month],$C$22,tblBilling[Location Code],$B157,tblBilling[Balance],"&gt;0"))</f>
        <v/>
      </c>
      <c r="J157" s="24">
        <f>IF($B157="","",COUNTIFS(tblCustomers[Location Code],$B157,tblCustomers[Customer Status],"Active"))</f>
        <v/>
      </c>
    </row>
    <row r="158">
      <c r="B158">
        <f>IFERROR(INDEX(tblLocations[Location Code],135)&amp;"","")</f>
        <v/>
      </c>
      <c r="C158">
        <f>IF($B158="","",INDEX(tblLocations[Full Address],135))</f>
        <v/>
      </c>
      <c r="D158" s="24">
        <f>IF($B158="","",COUNTIFS(tblBilling[Month],$C$22,tblBilling[Location Code],$B158))</f>
        <v/>
      </c>
      <c r="E158" s="25">
        <f>IF($B158="","",SUMIFS(tblBilling[Monthly Fee],tblBilling[Month],$C$22,tblBilling[Location Code],$B158))</f>
        <v/>
      </c>
      <c r="F158" s="25">
        <f>IF($B158="","",SUMIFS(tblBilling[Amount Paid],tblBilling[Month],$C$22,tblBilling[Location Code],$B158))</f>
        <v/>
      </c>
      <c r="G158" s="25">
        <f>IF($B158="","",SUMIFS(tblBilling[Balance],tblBilling[Month],$C$22,tblBilling[Location Code],$B158))</f>
        <v/>
      </c>
      <c r="H158" s="91">
        <f>IF(OR($B158="",N(E158)=0),"",F158/E158)</f>
        <v/>
      </c>
      <c r="I158" s="24">
        <f>IF($B158="","",COUNTIFS(tblBilling[Month],$C$22,tblBilling[Location Code],$B158,tblBilling[Balance],"&gt;0"))</f>
        <v/>
      </c>
      <c r="J158" s="24">
        <f>IF($B158="","",COUNTIFS(tblCustomers[Location Code],$B158,tblCustomers[Customer Status],"Active"))</f>
        <v/>
      </c>
    </row>
    <row r="159">
      <c r="B159">
        <f>IFERROR(INDEX(tblLocations[Location Code],136)&amp;"","")</f>
        <v/>
      </c>
      <c r="C159">
        <f>IF($B159="","",INDEX(tblLocations[Full Address],136))</f>
        <v/>
      </c>
      <c r="D159" s="24">
        <f>IF($B159="","",COUNTIFS(tblBilling[Month],$C$22,tblBilling[Location Code],$B159))</f>
        <v/>
      </c>
      <c r="E159" s="25">
        <f>IF($B159="","",SUMIFS(tblBilling[Monthly Fee],tblBilling[Month],$C$22,tblBilling[Location Code],$B159))</f>
        <v/>
      </c>
      <c r="F159" s="25">
        <f>IF($B159="","",SUMIFS(tblBilling[Amount Paid],tblBilling[Month],$C$22,tblBilling[Location Code],$B159))</f>
        <v/>
      </c>
      <c r="G159" s="25">
        <f>IF($B159="","",SUMIFS(tblBilling[Balance],tblBilling[Month],$C$22,tblBilling[Location Code],$B159))</f>
        <v/>
      </c>
      <c r="H159" s="91">
        <f>IF(OR($B159="",N(E159)=0),"",F159/E159)</f>
        <v/>
      </c>
      <c r="I159" s="24">
        <f>IF($B159="","",COUNTIFS(tblBilling[Month],$C$22,tblBilling[Location Code],$B159,tblBilling[Balance],"&gt;0"))</f>
        <v/>
      </c>
      <c r="J159" s="24">
        <f>IF($B159="","",COUNTIFS(tblCustomers[Location Code],$B159,tblCustomers[Customer Status],"Active"))</f>
        <v/>
      </c>
    </row>
    <row r="160">
      <c r="B160">
        <f>IFERROR(INDEX(tblLocations[Location Code],137)&amp;"","")</f>
        <v/>
      </c>
      <c r="C160">
        <f>IF($B160="","",INDEX(tblLocations[Full Address],137))</f>
        <v/>
      </c>
      <c r="D160" s="24">
        <f>IF($B160="","",COUNTIFS(tblBilling[Month],$C$22,tblBilling[Location Code],$B160))</f>
        <v/>
      </c>
      <c r="E160" s="25">
        <f>IF($B160="","",SUMIFS(tblBilling[Monthly Fee],tblBilling[Month],$C$22,tblBilling[Location Code],$B160))</f>
        <v/>
      </c>
      <c r="F160" s="25">
        <f>IF($B160="","",SUMIFS(tblBilling[Amount Paid],tblBilling[Month],$C$22,tblBilling[Location Code],$B160))</f>
        <v/>
      </c>
      <c r="G160" s="25">
        <f>IF($B160="","",SUMIFS(tblBilling[Balance],tblBilling[Month],$C$22,tblBilling[Location Code],$B160))</f>
        <v/>
      </c>
      <c r="H160" s="91">
        <f>IF(OR($B160="",N(E160)=0),"",F160/E160)</f>
        <v/>
      </c>
      <c r="I160" s="24">
        <f>IF($B160="","",COUNTIFS(tblBilling[Month],$C$22,tblBilling[Location Code],$B160,tblBilling[Balance],"&gt;0"))</f>
        <v/>
      </c>
      <c r="J160" s="24">
        <f>IF($B160="","",COUNTIFS(tblCustomers[Location Code],$B160,tblCustomers[Customer Status],"Active"))</f>
        <v/>
      </c>
    </row>
    <row r="161">
      <c r="B161">
        <f>IFERROR(INDEX(tblLocations[Location Code],138)&amp;"","")</f>
        <v/>
      </c>
      <c r="C161">
        <f>IF($B161="","",INDEX(tblLocations[Full Address],138))</f>
        <v/>
      </c>
      <c r="D161" s="24">
        <f>IF($B161="","",COUNTIFS(tblBilling[Month],$C$22,tblBilling[Location Code],$B161))</f>
        <v/>
      </c>
      <c r="E161" s="25">
        <f>IF($B161="","",SUMIFS(tblBilling[Monthly Fee],tblBilling[Month],$C$22,tblBilling[Location Code],$B161))</f>
        <v/>
      </c>
      <c r="F161" s="25">
        <f>IF($B161="","",SUMIFS(tblBilling[Amount Paid],tblBilling[Month],$C$22,tblBilling[Location Code],$B161))</f>
        <v/>
      </c>
      <c r="G161" s="25">
        <f>IF($B161="","",SUMIFS(tblBilling[Balance],tblBilling[Month],$C$22,tblBilling[Location Code],$B161))</f>
        <v/>
      </c>
      <c r="H161" s="91">
        <f>IF(OR($B161="",N(E161)=0),"",F161/E161)</f>
        <v/>
      </c>
      <c r="I161" s="24">
        <f>IF($B161="","",COUNTIFS(tblBilling[Month],$C$22,tblBilling[Location Code],$B161,tblBilling[Balance],"&gt;0"))</f>
        <v/>
      </c>
      <c r="J161" s="24">
        <f>IF($B161="","",COUNTIFS(tblCustomers[Location Code],$B161,tblCustomers[Customer Status],"Active"))</f>
        <v/>
      </c>
    </row>
    <row r="162">
      <c r="B162">
        <f>IFERROR(INDEX(tblLocations[Location Code],139)&amp;"","")</f>
        <v/>
      </c>
      <c r="C162">
        <f>IF($B162="","",INDEX(tblLocations[Full Address],139))</f>
        <v/>
      </c>
      <c r="D162" s="24">
        <f>IF($B162="","",COUNTIFS(tblBilling[Month],$C$22,tblBilling[Location Code],$B162))</f>
        <v/>
      </c>
      <c r="E162" s="25">
        <f>IF($B162="","",SUMIFS(tblBilling[Monthly Fee],tblBilling[Month],$C$22,tblBilling[Location Code],$B162))</f>
        <v/>
      </c>
      <c r="F162" s="25">
        <f>IF($B162="","",SUMIFS(tblBilling[Amount Paid],tblBilling[Month],$C$22,tblBilling[Location Code],$B162))</f>
        <v/>
      </c>
      <c r="G162" s="25">
        <f>IF($B162="","",SUMIFS(tblBilling[Balance],tblBilling[Month],$C$22,tblBilling[Location Code],$B162))</f>
        <v/>
      </c>
      <c r="H162" s="91">
        <f>IF(OR($B162="",N(E162)=0),"",F162/E162)</f>
        <v/>
      </c>
      <c r="I162" s="24">
        <f>IF($B162="","",COUNTIFS(tblBilling[Month],$C$22,tblBilling[Location Code],$B162,tblBilling[Balance],"&gt;0"))</f>
        <v/>
      </c>
      <c r="J162" s="24">
        <f>IF($B162="","",COUNTIFS(tblCustomers[Location Code],$B162,tblCustomers[Customer Status],"Active"))</f>
        <v/>
      </c>
    </row>
    <row r="163">
      <c r="B163">
        <f>IFERROR(INDEX(tblLocations[Location Code],140)&amp;"","")</f>
        <v/>
      </c>
      <c r="C163">
        <f>IF($B163="","",INDEX(tblLocations[Full Address],140))</f>
        <v/>
      </c>
      <c r="D163" s="24">
        <f>IF($B163="","",COUNTIFS(tblBilling[Month],$C$22,tblBilling[Location Code],$B163))</f>
        <v/>
      </c>
      <c r="E163" s="25">
        <f>IF($B163="","",SUMIFS(tblBilling[Monthly Fee],tblBilling[Month],$C$22,tblBilling[Location Code],$B163))</f>
        <v/>
      </c>
      <c r="F163" s="25">
        <f>IF($B163="","",SUMIFS(tblBilling[Amount Paid],tblBilling[Month],$C$22,tblBilling[Location Code],$B163))</f>
        <v/>
      </c>
      <c r="G163" s="25">
        <f>IF($B163="","",SUMIFS(tblBilling[Balance],tblBilling[Month],$C$22,tblBilling[Location Code],$B163))</f>
        <v/>
      </c>
      <c r="H163" s="91">
        <f>IF(OR($B163="",N(E163)=0),"",F163/E163)</f>
        <v/>
      </c>
      <c r="I163" s="24">
        <f>IF($B163="","",COUNTIFS(tblBilling[Month],$C$22,tblBilling[Location Code],$B163,tblBilling[Balance],"&gt;0"))</f>
        <v/>
      </c>
      <c r="J163" s="24">
        <f>IF($B163="","",COUNTIFS(tblCustomers[Location Code],$B163,tblCustomers[Customer Status],"Active"))</f>
        <v/>
      </c>
    </row>
    <row r="164">
      <c r="B164">
        <f>IFERROR(INDEX(tblLocations[Location Code],141)&amp;"","")</f>
        <v/>
      </c>
      <c r="C164">
        <f>IF($B164="","",INDEX(tblLocations[Full Address],141))</f>
        <v/>
      </c>
      <c r="D164" s="24">
        <f>IF($B164="","",COUNTIFS(tblBilling[Month],$C$22,tblBilling[Location Code],$B164))</f>
        <v/>
      </c>
      <c r="E164" s="25">
        <f>IF($B164="","",SUMIFS(tblBilling[Monthly Fee],tblBilling[Month],$C$22,tblBilling[Location Code],$B164))</f>
        <v/>
      </c>
      <c r="F164" s="25">
        <f>IF($B164="","",SUMIFS(tblBilling[Amount Paid],tblBilling[Month],$C$22,tblBilling[Location Code],$B164))</f>
        <v/>
      </c>
      <c r="G164" s="25">
        <f>IF($B164="","",SUMIFS(tblBilling[Balance],tblBilling[Month],$C$22,tblBilling[Location Code],$B164))</f>
        <v/>
      </c>
      <c r="H164" s="91">
        <f>IF(OR($B164="",N(E164)=0),"",F164/E164)</f>
        <v/>
      </c>
      <c r="I164" s="24">
        <f>IF($B164="","",COUNTIFS(tblBilling[Month],$C$22,tblBilling[Location Code],$B164,tblBilling[Balance],"&gt;0"))</f>
        <v/>
      </c>
      <c r="J164" s="24">
        <f>IF($B164="","",COUNTIFS(tblCustomers[Location Code],$B164,tblCustomers[Customer Status],"Active"))</f>
        <v/>
      </c>
    </row>
    <row r="165">
      <c r="B165">
        <f>IFERROR(INDEX(tblLocations[Location Code],142)&amp;"","")</f>
        <v/>
      </c>
      <c r="C165">
        <f>IF($B165="","",INDEX(tblLocations[Full Address],142))</f>
        <v/>
      </c>
      <c r="D165" s="24">
        <f>IF($B165="","",COUNTIFS(tblBilling[Month],$C$22,tblBilling[Location Code],$B165))</f>
        <v/>
      </c>
      <c r="E165" s="25">
        <f>IF($B165="","",SUMIFS(tblBilling[Monthly Fee],tblBilling[Month],$C$22,tblBilling[Location Code],$B165))</f>
        <v/>
      </c>
      <c r="F165" s="25">
        <f>IF($B165="","",SUMIFS(tblBilling[Amount Paid],tblBilling[Month],$C$22,tblBilling[Location Code],$B165))</f>
        <v/>
      </c>
      <c r="G165" s="25">
        <f>IF($B165="","",SUMIFS(tblBilling[Balance],tblBilling[Month],$C$22,tblBilling[Location Code],$B165))</f>
        <v/>
      </c>
      <c r="H165" s="91">
        <f>IF(OR($B165="",N(E165)=0),"",F165/E165)</f>
        <v/>
      </c>
      <c r="I165" s="24">
        <f>IF($B165="","",COUNTIFS(tblBilling[Month],$C$22,tblBilling[Location Code],$B165,tblBilling[Balance],"&gt;0"))</f>
        <v/>
      </c>
      <c r="J165" s="24">
        <f>IF($B165="","",COUNTIFS(tblCustomers[Location Code],$B165,tblCustomers[Customer Status],"Active"))</f>
        <v/>
      </c>
    </row>
    <row r="166">
      <c r="B166">
        <f>IFERROR(INDEX(tblLocations[Location Code],143)&amp;"","")</f>
        <v/>
      </c>
      <c r="C166">
        <f>IF($B166="","",INDEX(tblLocations[Full Address],143))</f>
        <v/>
      </c>
      <c r="D166" s="24">
        <f>IF($B166="","",COUNTIFS(tblBilling[Month],$C$22,tblBilling[Location Code],$B166))</f>
        <v/>
      </c>
      <c r="E166" s="25">
        <f>IF($B166="","",SUMIFS(tblBilling[Monthly Fee],tblBilling[Month],$C$22,tblBilling[Location Code],$B166))</f>
        <v/>
      </c>
      <c r="F166" s="25">
        <f>IF($B166="","",SUMIFS(tblBilling[Amount Paid],tblBilling[Month],$C$22,tblBilling[Location Code],$B166))</f>
        <v/>
      </c>
      <c r="G166" s="25">
        <f>IF($B166="","",SUMIFS(tblBilling[Balance],tblBilling[Month],$C$22,tblBilling[Location Code],$B166))</f>
        <v/>
      </c>
      <c r="H166" s="91">
        <f>IF(OR($B166="",N(E166)=0),"",F166/E166)</f>
        <v/>
      </c>
      <c r="I166" s="24">
        <f>IF($B166="","",COUNTIFS(tblBilling[Month],$C$22,tblBilling[Location Code],$B166,tblBilling[Balance],"&gt;0"))</f>
        <v/>
      </c>
      <c r="J166" s="24">
        <f>IF($B166="","",COUNTIFS(tblCustomers[Location Code],$B166,tblCustomers[Customer Status],"Active"))</f>
        <v/>
      </c>
    </row>
    <row r="167">
      <c r="B167">
        <f>IFERROR(INDEX(tblLocations[Location Code],144)&amp;"","")</f>
        <v/>
      </c>
      <c r="C167">
        <f>IF($B167="","",INDEX(tblLocations[Full Address],144))</f>
        <v/>
      </c>
      <c r="D167" s="24">
        <f>IF($B167="","",COUNTIFS(tblBilling[Month],$C$22,tblBilling[Location Code],$B167))</f>
        <v/>
      </c>
      <c r="E167" s="25">
        <f>IF($B167="","",SUMIFS(tblBilling[Monthly Fee],tblBilling[Month],$C$22,tblBilling[Location Code],$B167))</f>
        <v/>
      </c>
      <c r="F167" s="25">
        <f>IF($B167="","",SUMIFS(tblBilling[Amount Paid],tblBilling[Month],$C$22,tblBilling[Location Code],$B167))</f>
        <v/>
      </c>
      <c r="G167" s="25">
        <f>IF($B167="","",SUMIFS(tblBilling[Balance],tblBilling[Month],$C$22,tblBilling[Location Code],$B167))</f>
        <v/>
      </c>
      <c r="H167" s="91">
        <f>IF(OR($B167="",N(E167)=0),"",F167/E167)</f>
        <v/>
      </c>
      <c r="I167" s="24">
        <f>IF($B167="","",COUNTIFS(tblBilling[Month],$C$22,tblBilling[Location Code],$B167,tblBilling[Balance],"&gt;0"))</f>
        <v/>
      </c>
      <c r="J167" s="24">
        <f>IF($B167="","",COUNTIFS(tblCustomers[Location Code],$B167,tblCustomers[Customer Status],"Active"))</f>
        <v/>
      </c>
    </row>
    <row r="168">
      <c r="B168">
        <f>IFERROR(INDEX(tblLocations[Location Code],145)&amp;"","")</f>
        <v/>
      </c>
      <c r="C168">
        <f>IF($B168="","",INDEX(tblLocations[Full Address],145))</f>
        <v/>
      </c>
      <c r="D168" s="24">
        <f>IF($B168="","",COUNTIFS(tblBilling[Month],$C$22,tblBilling[Location Code],$B168))</f>
        <v/>
      </c>
      <c r="E168" s="25">
        <f>IF($B168="","",SUMIFS(tblBilling[Monthly Fee],tblBilling[Month],$C$22,tblBilling[Location Code],$B168))</f>
        <v/>
      </c>
      <c r="F168" s="25">
        <f>IF($B168="","",SUMIFS(tblBilling[Amount Paid],tblBilling[Month],$C$22,tblBilling[Location Code],$B168))</f>
        <v/>
      </c>
      <c r="G168" s="25">
        <f>IF($B168="","",SUMIFS(tblBilling[Balance],tblBilling[Month],$C$22,tblBilling[Location Code],$B168))</f>
        <v/>
      </c>
      <c r="H168" s="91">
        <f>IF(OR($B168="",N(E168)=0),"",F168/E168)</f>
        <v/>
      </c>
      <c r="I168" s="24">
        <f>IF($B168="","",COUNTIFS(tblBilling[Month],$C$22,tblBilling[Location Code],$B168,tblBilling[Balance],"&gt;0"))</f>
        <v/>
      </c>
      <c r="J168" s="24">
        <f>IF($B168="","",COUNTIFS(tblCustomers[Location Code],$B168,tblCustomers[Customer Status],"Active"))</f>
        <v/>
      </c>
    </row>
    <row r="169">
      <c r="B169">
        <f>IFERROR(INDEX(tblLocations[Location Code],146)&amp;"","")</f>
        <v/>
      </c>
      <c r="C169">
        <f>IF($B169="","",INDEX(tblLocations[Full Address],146))</f>
        <v/>
      </c>
      <c r="D169" s="24">
        <f>IF($B169="","",COUNTIFS(tblBilling[Month],$C$22,tblBilling[Location Code],$B169))</f>
        <v/>
      </c>
      <c r="E169" s="25">
        <f>IF($B169="","",SUMIFS(tblBilling[Monthly Fee],tblBilling[Month],$C$22,tblBilling[Location Code],$B169))</f>
        <v/>
      </c>
      <c r="F169" s="25">
        <f>IF($B169="","",SUMIFS(tblBilling[Amount Paid],tblBilling[Month],$C$22,tblBilling[Location Code],$B169))</f>
        <v/>
      </c>
      <c r="G169" s="25">
        <f>IF($B169="","",SUMIFS(tblBilling[Balance],tblBilling[Month],$C$22,tblBilling[Location Code],$B169))</f>
        <v/>
      </c>
      <c r="H169" s="91">
        <f>IF(OR($B169="",N(E169)=0),"",F169/E169)</f>
        <v/>
      </c>
      <c r="I169" s="24">
        <f>IF($B169="","",COUNTIFS(tblBilling[Month],$C$22,tblBilling[Location Code],$B169,tblBilling[Balance],"&gt;0"))</f>
        <v/>
      </c>
      <c r="J169" s="24">
        <f>IF($B169="","",COUNTIFS(tblCustomers[Location Code],$B169,tblCustomers[Customer Status],"Active"))</f>
        <v/>
      </c>
    </row>
    <row r="170">
      <c r="B170">
        <f>IFERROR(INDEX(tblLocations[Location Code],147)&amp;"","")</f>
        <v/>
      </c>
      <c r="C170">
        <f>IF($B170="","",INDEX(tblLocations[Full Address],147))</f>
        <v/>
      </c>
      <c r="D170" s="24">
        <f>IF($B170="","",COUNTIFS(tblBilling[Month],$C$22,tblBilling[Location Code],$B170))</f>
        <v/>
      </c>
      <c r="E170" s="25">
        <f>IF($B170="","",SUMIFS(tblBilling[Monthly Fee],tblBilling[Month],$C$22,tblBilling[Location Code],$B170))</f>
        <v/>
      </c>
      <c r="F170" s="25">
        <f>IF($B170="","",SUMIFS(tblBilling[Amount Paid],tblBilling[Month],$C$22,tblBilling[Location Code],$B170))</f>
        <v/>
      </c>
      <c r="G170" s="25">
        <f>IF($B170="","",SUMIFS(tblBilling[Balance],tblBilling[Month],$C$22,tblBilling[Location Code],$B170))</f>
        <v/>
      </c>
      <c r="H170" s="91">
        <f>IF(OR($B170="",N(E170)=0),"",F170/E170)</f>
        <v/>
      </c>
      <c r="I170" s="24">
        <f>IF($B170="","",COUNTIFS(tblBilling[Month],$C$22,tblBilling[Location Code],$B170,tblBilling[Balance],"&gt;0"))</f>
        <v/>
      </c>
      <c r="J170" s="24">
        <f>IF($B170="","",COUNTIFS(tblCustomers[Location Code],$B170,tblCustomers[Customer Status],"Active"))</f>
        <v/>
      </c>
    </row>
    <row r="171">
      <c r="B171">
        <f>IFERROR(INDEX(tblLocations[Location Code],148)&amp;"","")</f>
        <v/>
      </c>
      <c r="C171">
        <f>IF($B171="","",INDEX(tblLocations[Full Address],148))</f>
        <v/>
      </c>
      <c r="D171" s="24">
        <f>IF($B171="","",COUNTIFS(tblBilling[Month],$C$22,tblBilling[Location Code],$B171))</f>
        <v/>
      </c>
      <c r="E171" s="25">
        <f>IF($B171="","",SUMIFS(tblBilling[Monthly Fee],tblBilling[Month],$C$22,tblBilling[Location Code],$B171))</f>
        <v/>
      </c>
      <c r="F171" s="25">
        <f>IF($B171="","",SUMIFS(tblBilling[Amount Paid],tblBilling[Month],$C$22,tblBilling[Location Code],$B171))</f>
        <v/>
      </c>
      <c r="G171" s="25">
        <f>IF($B171="","",SUMIFS(tblBilling[Balance],tblBilling[Month],$C$22,tblBilling[Location Code],$B171))</f>
        <v/>
      </c>
      <c r="H171" s="91">
        <f>IF(OR($B171="",N(E171)=0),"",F171/E171)</f>
        <v/>
      </c>
      <c r="I171" s="24">
        <f>IF($B171="","",COUNTIFS(tblBilling[Month],$C$22,tblBilling[Location Code],$B171,tblBilling[Balance],"&gt;0"))</f>
        <v/>
      </c>
      <c r="J171" s="24">
        <f>IF($B171="","",COUNTIFS(tblCustomers[Location Code],$B171,tblCustomers[Customer Status],"Active"))</f>
        <v/>
      </c>
    </row>
    <row r="172">
      <c r="B172">
        <f>IFERROR(INDEX(tblLocations[Location Code],149)&amp;"","")</f>
        <v/>
      </c>
      <c r="C172">
        <f>IF($B172="","",INDEX(tblLocations[Full Address],149))</f>
        <v/>
      </c>
      <c r="D172" s="24">
        <f>IF($B172="","",COUNTIFS(tblBilling[Month],$C$22,tblBilling[Location Code],$B172))</f>
        <v/>
      </c>
      <c r="E172" s="25">
        <f>IF($B172="","",SUMIFS(tblBilling[Monthly Fee],tblBilling[Month],$C$22,tblBilling[Location Code],$B172))</f>
        <v/>
      </c>
      <c r="F172" s="25">
        <f>IF($B172="","",SUMIFS(tblBilling[Amount Paid],tblBilling[Month],$C$22,tblBilling[Location Code],$B172))</f>
        <v/>
      </c>
      <c r="G172" s="25">
        <f>IF($B172="","",SUMIFS(tblBilling[Balance],tblBilling[Month],$C$22,tblBilling[Location Code],$B172))</f>
        <v/>
      </c>
      <c r="H172" s="91">
        <f>IF(OR($B172="",N(E172)=0),"",F172/E172)</f>
        <v/>
      </c>
      <c r="I172" s="24">
        <f>IF($B172="","",COUNTIFS(tblBilling[Month],$C$22,tblBilling[Location Code],$B172,tblBilling[Balance],"&gt;0"))</f>
        <v/>
      </c>
      <c r="J172" s="24">
        <f>IF($B172="","",COUNTIFS(tblCustomers[Location Code],$B172,tblCustomers[Customer Status],"Active"))</f>
        <v/>
      </c>
    </row>
    <row r="173">
      <c r="B173">
        <f>IFERROR(INDEX(tblLocations[Location Code],150)&amp;"","")</f>
        <v/>
      </c>
      <c r="C173">
        <f>IF($B173="","",INDEX(tblLocations[Full Address],150))</f>
        <v/>
      </c>
      <c r="D173" s="24">
        <f>IF($B173="","",COUNTIFS(tblBilling[Month],$C$22,tblBilling[Location Code],$B173))</f>
        <v/>
      </c>
      <c r="E173" s="25">
        <f>IF($B173="","",SUMIFS(tblBilling[Monthly Fee],tblBilling[Month],$C$22,tblBilling[Location Code],$B173))</f>
        <v/>
      </c>
      <c r="F173" s="25">
        <f>IF($B173="","",SUMIFS(tblBilling[Amount Paid],tblBilling[Month],$C$22,tblBilling[Location Code],$B173))</f>
        <v/>
      </c>
      <c r="G173" s="25">
        <f>IF($B173="","",SUMIFS(tblBilling[Balance],tblBilling[Month],$C$22,tblBilling[Location Code],$B173))</f>
        <v/>
      </c>
      <c r="H173" s="91">
        <f>IF(OR($B173="",N(E173)=0),"",F173/E173)</f>
        <v/>
      </c>
      <c r="I173" s="24">
        <f>IF($B173="","",COUNTIFS(tblBilling[Month],$C$22,tblBilling[Location Code],$B173,tblBilling[Balance],"&gt;0"))</f>
        <v/>
      </c>
      <c r="J173" s="24">
        <f>IF($B173="","",COUNTIFS(tblCustomers[Location Code],$B173,tblCustomers[Customer Status],"Active"))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23:J173"/>
  <dataValidations count="3">
    <dataValidation sqref="C5" showDropDown="0" showInputMessage="0" showErrorMessage="1" allowBlank="1" errorTitle="CITY LINKS" error="Choose a month in the format YYYY-MM, e.g. 2026-10." type="list">
      <formula1>L_Months</formula1>
    </dataValidation>
    <dataValidation sqref="C6" showDropDown="0" showInputMessage="0" showErrorMessage="1" allowBlank="1" errorTitle="CITY LINKS" error="Choose a month in the format YYYY-MM, e.g. 2026-10." type="list">
      <formula1>L_Months</formula1>
    </dataValidation>
    <dataValidation sqref="C22" showDropDown="0" showInputMessage="0" showErrorMessage="1" allowBlank="1" errorTitle="CITY LINKS" error="Choose a month in the format YYYY-MM, e.g. 2026-10." type="list">
      <formula1>L_Months</formula1>
    </dataValidation>
  </dataValidations>
  <hyperlinks>
    <hyperlink ref="J1" location="'HOME'!A1" display="◄ HOME"/>
    <hyperlink ref="B19" location="'MONTHS'!A1" display="► Open Monthly Archiv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30" customWidth="1" min="5" max="5"/>
    <col width="10" customWidth="1" min="6" max="6"/>
    <col width="13" customWidth="1" min="7" max="7"/>
    <col width="13" customWidth="1" min="8" max="8"/>
    <col width="13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>
      <c r="A1" s="13" t="inlineStr">
        <is>
          <t>MONTHLY ARCHIVE</t>
        </is>
      </c>
      <c r="M1" s="9" t="inlineStr">
        <is>
          <t>◄ HOME</t>
        </is>
      </c>
    </row>
    <row r="2">
      <c r="A2" s="16" t="inlineStr">
        <is>
          <t>One row per generated month (created by GENERATE NEW MONTH). Prevents duplicate months.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Month</t>
        </is>
      </c>
      <c r="B4" s="31" t="inlineStr">
        <is>
          <t>Month Name</t>
        </is>
      </c>
      <c r="C4" s="31" t="inlineStr">
        <is>
          <t>Generated At</t>
        </is>
      </c>
      <c r="D4" s="31" t="inlineStr">
        <is>
          <t>Billing Records</t>
        </is>
      </c>
      <c r="E4" s="29" t="inlineStr">
        <is>
          <t>Notes</t>
        </is>
      </c>
      <c r="F4" s="30" t="inlineStr">
        <is>
          <t>Customers Billed</t>
        </is>
      </c>
      <c r="G4" s="30" t="inlineStr">
        <is>
          <t>Total Billing</t>
        </is>
      </c>
      <c r="H4" s="30" t="inlineStr">
        <is>
          <t>Recovered</t>
        </is>
      </c>
      <c r="I4" s="30" t="inlineStr">
        <is>
          <t>Outstanding</t>
        </is>
      </c>
      <c r="J4" s="30" t="inlineStr">
        <is>
          <t>Paid Count</t>
        </is>
      </c>
      <c r="K4" s="30" t="inlineStr">
        <is>
          <t>Partial Count</t>
        </is>
      </c>
      <c r="L4" s="30" t="inlineStr">
        <is>
          <t>Pending Count</t>
        </is>
      </c>
      <c r="M4" s="30" t="inlineStr">
        <is>
          <t>Recovery Pct</t>
        </is>
      </c>
    </row>
    <row r="5">
      <c r="A5" s="32" t="n"/>
      <c r="F5" s="35">
        <f>COUNTIF(tblBilling[Month],tblMonths[[#This Row],[Month]])</f>
        <v/>
      </c>
      <c r="G5" s="34">
        <f>SUMIFS(tblBilling[Monthly Fee],tblBilling[Month],tblMonths[[#This Row],[Month]])</f>
        <v/>
      </c>
      <c r="H5" s="34">
        <f>SUMIFS(tblBilling[Amount Paid],tblBilling[Month],tblMonths[[#This Row],[Month]])</f>
        <v/>
      </c>
      <c r="I5" s="34">
        <f>SUMIFS(tblBilling[Balance],tblBilling[Month],tblMonths[[#This Row],[Month]])</f>
        <v/>
      </c>
      <c r="J5" s="35">
        <f>COUNTIFS(tblBilling[Month],tblMonths[[#This Row],[Month]],tblBilling[Payment Status],"PAID")</f>
        <v/>
      </c>
      <c r="K5" s="35">
        <f>COUNTIFS(tblBilling[Month],tblMonths[[#This Row],[Month]],tblBilling[Payment Status],"PARTIAL")</f>
        <v/>
      </c>
      <c r="L5" s="35">
        <f>COUNTIFS(tblBilling[Month],tblMonths[[#This Row],[Month]],tblBilling[Payment Status],"PENDING")</f>
        <v/>
      </c>
      <c r="M5" s="95">
        <f>IF(tblMonths[[#This Row],[Total Billing]]=0,0,tblMonths[[#This Row],[Recovered]]/tblMonths[[#This Row],[Total Billing]])</f>
        <v/>
      </c>
    </row>
    <row r="6">
      <c r="A6" s="32" t="n"/>
    </row>
    <row r="7">
      <c r="A7" s="32" t="n"/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3" customWidth="1" min="4" max="4"/>
    <col width="16" customWidth="1" min="5" max="5"/>
    <col width="18" customWidth="1" min="6" max="6"/>
    <col width="18" customWidth="1" min="7" max="7"/>
    <col width="40" customWidth="1" min="8" max="8"/>
    <col width="16" customWidth="1" min="9" max="9"/>
  </cols>
  <sheetData>
    <row r="1">
      <c r="A1" s="13" t="inlineStr">
        <is>
          <t>CUSTOMER EVENTS (CONNECTION HISTORY)</t>
        </is>
      </c>
      <c r="J1" s="9" t="inlineStr">
        <is>
          <t>◄ HOME</t>
        </is>
      </c>
    </row>
    <row r="2">
      <c r="A2" s="16" t="inlineStr">
        <is>
          <t>New connections, VLAN / package / address / status changes. Never delete rows.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Event ID</t>
        </is>
      </c>
      <c r="B4" s="29" t="inlineStr">
        <is>
          <t>Customer ID</t>
        </is>
      </c>
      <c r="C4" s="30" t="inlineStr">
        <is>
          <t>Customer Name</t>
        </is>
      </c>
      <c r="D4" s="29" t="inlineStr">
        <is>
          <t>Event Date</t>
        </is>
      </c>
      <c r="E4" s="29" t="inlineStr">
        <is>
          <t>Event Type</t>
        </is>
      </c>
      <c r="F4" s="29" t="inlineStr">
        <is>
          <t>Old Value</t>
        </is>
      </c>
      <c r="G4" s="29" t="inlineStr">
        <is>
          <t>New Value</t>
        </is>
      </c>
      <c r="H4" s="29" t="inlineStr">
        <is>
          <t>Notes</t>
        </is>
      </c>
      <c r="I4" s="31" t="inlineStr">
        <is>
          <t>Recorded At</t>
        </is>
      </c>
    </row>
    <row r="5">
      <c r="A5" s="32" t="n"/>
      <c r="B5" s="32" t="n"/>
      <c r="C5" s="33">
        <f>IFERROR(INDEX(tblCustomers[Customer Name],MATCH(tblEvents[[#This Row],[Customer ID]],tblCustomers[Customer ID],0)),"")</f>
        <v/>
      </c>
    </row>
    <row r="6">
      <c r="A6" s="32" t="n"/>
      <c r="B6" s="32" t="n"/>
    </row>
    <row r="7">
      <c r="A7" s="32" t="n"/>
      <c r="B7" s="32" t="n"/>
    </row>
    <row r="8">
      <c r="A8" s="32" t="n"/>
      <c r="B8" s="32" t="n"/>
    </row>
    <row r="9">
      <c r="A9" s="32" t="n"/>
      <c r="B9" s="32" t="n"/>
    </row>
    <row r="10">
      <c r="A10" s="32" t="n"/>
      <c r="B10" s="32" t="n"/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dataValidations count="2">
    <dataValidation sqref="D5:D5004" showDropDown="0" showInputMessage="0" showErrorMessage="1" allowBlank="1" errorTitle="CITY LINKS" error="Enter a valid date, e.g. 15-10-2026." type="date" operator="between">
      <formula1>36526</formula1>
      <formula2>73051</formula2>
    </dataValidation>
    <dataValidation sqref="E5:E5004" showDropDown="0" showInputMessage="0" showErrorMessage="1" allowBlank="1" errorTitle="CITY LINKS" error="Choose an event type from the list." type="list">
      <formula1>L_EventTypes</formula1>
    </dataValidation>
  </dataValidations>
  <hyperlinks>
    <hyperlink ref="J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9" customWidth="1" min="4" max="4"/>
    <col width="36" customWidth="1" min="5" max="5"/>
  </cols>
  <sheetData>
    <row r="1">
      <c r="A1" s="13" t="inlineStr">
        <is>
          <t>AREAS</t>
        </is>
      </c>
      <c r="F1" s="9" t="inlineStr">
        <is>
          <t>◄ HOME</t>
        </is>
      </c>
    </row>
    <row r="2">
      <c r="A2" s="16" t="inlineStr">
        <is>
          <t>Area master. A = Arif Town, B = Arai Colony ... Add new areas at the bottom.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Area Code</t>
        </is>
      </c>
      <c r="B4" s="29" t="inlineStr">
        <is>
          <t>Area Name</t>
        </is>
      </c>
      <c r="C4" s="29" t="inlineStr">
        <is>
          <t>Area Name Urdu</t>
        </is>
      </c>
      <c r="D4" s="29" t="inlineStr">
        <is>
          <t>Active</t>
        </is>
      </c>
      <c r="E4" s="29" t="inlineStr">
        <is>
          <t>Notes</t>
        </is>
      </c>
    </row>
    <row r="5">
      <c r="A5" s="83" t="inlineStr">
        <is>
          <t>A</t>
        </is>
      </c>
      <c r="B5" s="84" t="inlineStr">
        <is>
          <t>Arif Town</t>
        </is>
      </c>
      <c r="C5" s="84" t="inlineStr">
        <is>
          <t>عارف ٹاؤن</t>
        </is>
      </c>
      <c r="D5" s="84" t="inlineStr">
        <is>
          <t>Yes</t>
        </is>
      </c>
      <c r="E5" s="84" t="n"/>
    </row>
    <row r="6">
      <c r="A6" s="83" t="inlineStr">
        <is>
          <t>B</t>
        </is>
      </c>
      <c r="B6" s="84" t="inlineStr">
        <is>
          <t>Arai Colony</t>
        </is>
      </c>
      <c r="C6" s="84" t="inlineStr">
        <is>
          <t>آرائیں کالونی</t>
        </is>
      </c>
      <c r="D6" s="84" t="inlineStr">
        <is>
          <t>Yes</t>
        </is>
      </c>
      <c r="E6" s="84" t="n"/>
    </row>
    <row r="7">
      <c r="A7" s="32" t="n"/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dataValidations count="1">
    <dataValidation sqref="D5:D5004" showDropDown="0" showInputMessage="0" showErrorMessage="1" allowBlank="1" errorTitle="CITY LINKS" error="Choose Yes or No." type="list">
      <formula1>L_YesNo</formula1>
    </dataValidation>
  </dataValidations>
  <hyperlinks>
    <hyperlink ref="F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3" customWidth="1" min="4" max="4"/>
    <col width="16" customWidth="1" min="5" max="5"/>
    <col width="30" customWidth="1" min="6" max="6"/>
    <col width="9" customWidth="1" min="7" max="7"/>
    <col width="26" customWidth="1" min="8" max="8"/>
    <col width="30" customWidth="1" min="9" max="9"/>
  </cols>
  <sheetData>
    <row r="1">
      <c r="A1" s="13" t="inlineStr">
        <is>
          <t>LOCATION CODES</t>
        </is>
      </c>
      <c r="J1" s="9" t="inlineStr">
        <is>
          <t>◄ HOME</t>
        </is>
      </c>
    </row>
    <row r="2">
      <c r="A2" s="16" t="inlineStr">
        <is>
          <t>A1 = Arif Town, Gali 1. Area Name and Full Address are calculated from AREAS.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Location Code</t>
        </is>
      </c>
      <c r="B4" s="29" t="inlineStr">
        <is>
          <t>Area Code</t>
        </is>
      </c>
      <c r="C4" s="30" t="inlineStr">
        <is>
          <t>Area Name</t>
        </is>
      </c>
      <c r="D4" s="29" t="inlineStr">
        <is>
          <t>Street Number</t>
        </is>
      </c>
      <c r="E4" s="29" t="inlineStr">
        <is>
          <t>Street Name</t>
        </is>
      </c>
      <c r="F4" s="30" t="inlineStr">
        <is>
          <t>Full Address</t>
        </is>
      </c>
      <c r="G4" s="29" t="inlineStr">
        <is>
          <t>Active</t>
        </is>
      </c>
      <c r="H4" s="29" t="inlineStr">
        <is>
          <t>Notes</t>
        </is>
      </c>
      <c r="I4" s="30" t="inlineStr">
        <is>
          <t>Data Check</t>
        </is>
      </c>
    </row>
    <row r="5">
      <c r="A5" s="83" t="inlineStr">
        <is>
          <t>A1</t>
        </is>
      </c>
      <c r="B5" s="83" t="inlineStr">
        <is>
          <t>A</t>
        </is>
      </c>
      <c r="C5" s="33">
        <f>IFERROR(INDEX(tblAreas[Area Name],MATCH(tblLocations[[#This Row],[Area Code]],tblAreas[Area Code],0)),"AREA CODE NOT FOUND")</f>
        <v/>
      </c>
      <c r="D5" s="85" t="n">
        <v>1</v>
      </c>
      <c r="E5" s="84" t="inlineStr">
        <is>
          <t>Gali 1</t>
        </is>
      </c>
      <c r="F5" s="33">
        <f>IF(tblLocations[[#This Row],[Street Name]]="",tblLocations[[#This Row],[Area Name]],tblLocations[[#This Row],[Area Name]]&amp;", "&amp;tblLocations[[#This Row],[Street Name]])</f>
        <v/>
      </c>
      <c r="G5" s="84" t="inlineStr">
        <is>
          <t>Yes</t>
        </is>
      </c>
      <c r="H5" s="84" t="n"/>
      <c r="I5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6">
      <c r="A6" s="83" t="inlineStr">
        <is>
          <t>A2</t>
        </is>
      </c>
      <c r="B6" s="83" t="inlineStr">
        <is>
          <t>A</t>
        </is>
      </c>
      <c r="C6" s="33">
        <f>IFERROR(INDEX(tblAreas[Area Name],MATCH(tblLocations[[#This Row],[Area Code]],tblAreas[Area Code],0)),"AREA CODE NOT FOUND")</f>
        <v/>
      </c>
      <c r="D6" s="85" t="n">
        <v>2</v>
      </c>
      <c r="E6" s="84" t="inlineStr">
        <is>
          <t>Gali 2</t>
        </is>
      </c>
      <c r="F6" s="33">
        <f>IF(tblLocations[[#This Row],[Street Name]]="",tblLocations[[#This Row],[Area Name]],tblLocations[[#This Row],[Area Name]]&amp;", "&amp;tblLocations[[#This Row],[Street Name]])</f>
        <v/>
      </c>
      <c r="G6" s="84" t="inlineStr">
        <is>
          <t>Yes</t>
        </is>
      </c>
      <c r="H6" s="84" t="n"/>
      <c r="I6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7">
      <c r="A7" s="83" t="inlineStr">
        <is>
          <t>A3</t>
        </is>
      </c>
      <c r="B7" s="83" t="inlineStr">
        <is>
          <t>A</t>
        </is>
      </c>
      <c r="C7" s="33">
        <f>IFERROR(INDEX(tblAreas[Area Name],MATCH(tblLocations[[#This Row],[Area Code]],tblAreas[Area Code],0)),"AREA CODE NOT FOUND")</f>
        <v/>
      </c>
      <c r="D7" s="85" t="n">
        <v>3</v>
      </c>
      <c r="E7" s="84" t="inlineStr">
        <is>
          <t>Gali 3</t>
        </is>
      </c>
      <c r="F7" s="33">
        <f>IF(tblLocations[[#This Row],[Street Name]]="",tblLocations[[#This Row],[Area Name]],tblLocations[[#This Row],[Area Name]]&amp;", "&amp;tblLocations[[#This Row],[Street Name]])</f>
        <v/>
      </c>
      <c r="G7" s="84" t="inlineStr">
        <is>
          <t>Yes</t>
        </is>
      </c>
      <c r="H7" s="84" t="inlineStr">
        <is>
          <t>Add more streets with the next number (e.g. A4)</t>
        </is>
      </c>
      <c r="I7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8">
      <c r="A8" s="83" t="inlineStr">
        <is>
          <t>B1</t>
        </is>
      </c>
      <c r="B8" s="83" t="inlineStr">
        <is>
          <t>B</t>
        </is>
      </c>
      <c r="C8" s="33">
        <f>IFERROR(INDEX(tblAreas[Area Name],MATCH(tblLocations[[#This Row],[Area Code]],tblAreas[Area Code],0)),"AREA CODE NOT FOUND")</f>
        <v/>
      </c>
      <c r="D8" s="85" t="n">
        <v>1</v>
      </c>
      <c r="E8" s="84" t="inlineStr">
        <is>
          <t>Gali 1</t>
        </is>
      </c>
      <c r="F8" s="33">
        <f>IF(tblLocations[[#This Row],[Street Name]]="",tblLocations[[#This Row],[Area Name]],tblLocations[[#This Row],[Area Name]]&amp;", "&amp;tblLocations[[#This Row],[Street Name]])</f>
        <v/>
      </c>
      <c r="G8" s="84" t="inlineStr">
        <is>
          <t>Yes</t>
        </is>
      </c>
      <c r="H8" s="84" t="n"/>
      <c r="I8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9">
      <c r="A9" s="83" t="inlineStr">
        <is>
          <t>B2</t>
        </is>
      </c>
      <c r="B9" s="83" t="inlineStr">
        <is>
          <t>B</t>
        </is>
      </c>
      <c r="C9" s="33">
        <f>IFERROR(INDEX(tblAreas[Area Name],MATCH(tblLocations[[#This Row],[Area Code]],tblAreas[Area Code],0)),"AREA CODE NOT FOUND")</f>
        <v/>
      </c>
      <c r="D9" s="85" t="n">
        <v>2</v>
      </c>
      <c r="E9" s="84" t="inlineStr">
        <is>
          <t>Gali 2</t>
        </is>
      </c>
      <c r="F9" s="33">
        <f>IF(tblLocations[[#This Row],[Street Name]]="",tblLocations[[#This Row],[Area Name]],tblLocations[[#This Row],[Area Name]]&amp;", "&amp;tblLocations[[#This Row],[Street Name]])</f>
        <v/>
      </c>
      <c r="G9" s="84" t="inlineStr">
        <is>
          <t>Yes</t>
        </is>
      </c>
      <c r="H9" s="84" t="n"/>
      <c r="I9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10">
      <c r="A10" s="83" t="inlineStr">
        <is>
          <t>B3</t>
        </is>
      </c>
      <c r="B10" s="83" t="inlineStr">
        <is>
          <t>B</t>
        </is>
      </c>
      <c r="C10" s="33">
        <f>IFERROR(INDEX(tblAreas[Area Name],MATCH(tblLocations[[#This Row],[Area Code]],tblAreas[Area Code],0)),"AREA CODE NOT FOUND")</f>
        <v/>
      </c>
      <c r="D10" s="85" t="n">
        <v>3</v>
      </c>
      <c r="E10" s="84" t="inlineStr">
        <is>
          <t>Gali 3</t>
        </is>
      </c>
      <c r="F10" s="33">
        <f>IF(tblLocations[[#This Row],[Street Name]]="",tblLocations[[#This Row],[Area Name]],tblLocations[[#This Row],[Area Name]]&amp;", "&amp;tblLocations[[#This Row],[Street Name]])</f>
        <v/>
      </c>
      <c r="G10" s="84" t="inlineStr">
        <is>
          <t>Yes</t>
        </is>
      </c>
      <c r="H10" s="84" t="inlineStr">
        <is>
          <t>Add more streets with the next number (e.g. A4)</t>
        </is>
      </c>
      <c r="I10" s="33">
        <f>TRIM(IF(COUNTIF(tblLocations[Location Code],tblLocations[[#This Row],[Location Code]])&gt;1,"DUPLICATE CODE. ","")&amp;IF(tblLocations[[#This Row],[Location Code]]&lt;&gt;tblLocations[[#This Row],[Area Code]]&amp;tblLocations[[#This Row],[Street Number]],"CODE SHOULD BE "&amp;tblLocations[[#This Row],[Area Code]]&amp;tblLocations[[#This Row],[Street Number]]&amp;". ",""))</f>
        <v/>
      </c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I5:I5004">
    <cfRule type="expression" priority="1" dxfId="3">
      <formula>LEN(I5)&gt;0</formula>
    </cfRule>
  </conditionalFormatting>
  <dataValidations count="2">
    <dataValidation sqref="B5:B5004" showDropDown="0" showInputMessage="0" showErrorMessage="1" allowBlank="1" errorTitle="CITY LINKS" error="This Area Code does not exist. Add it in AREAS first." type="list">
      <formula1>L_AreaCodes</formula1>
    </dataValidation>
    <dataValidation sqref="G5:G5004" showDropDown="0" showInputMessage="0" showErrorMessage="1" allowBlank="1" errorTitle="CITY LINKS" error="Choose Yes or No." type="list">
      <formula1>L_YesNo</formula1>
    </dataValidation>
  </dataValidations>
  <hyperlinks>
    <hyperlink ref="J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9" customWidth="1" min="5" max="5"/>
    <col width="40" customWidth="1" min="6" max="6"/>
  </cols>
  <sheetData>
    <row r="1">
      <c r="A1" s="13" t="inlineStr">
        <is>
          <t>PACKAGES</t>
        </is>
      </c>
      <c r="G1" s="9" t="inlineStr">
        <is>
          <t>◄ HOME</t>
        </is>
      </c>
    </row>
    <row r="2">
      <c r="A2" s="16" t="inlineStr">
        <is>
          <t>Internet packages. Edit names, speeds and fees to match your real packages.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Package ID</t>
        </is>
      </c>
      <c r="B4" s="29" t="inlineStr">
        <is>
          <t>Package Name</t>
        </is>
      </c>
      <c r="C4" s="29" t="inlineStr">
        <is>
          <t>Speed</t>
        </is>
      </c>
      <c r="D4" s="29" t="inlineStr">
        <is>
          <t>Default Monthly Fee</t>
        </is>
      </c>
      <c r="E4" s="29" t="inlineStr">
        <is>
          <t>Active</t>
        </is>
      </c>
      <c r="F4" s="29" t="inlineStr">
        <is>
          <t>Notes</t>
        </is>
      </c>
    </row>
    <row r="5">
      <c r="A5" s="83" t="inlineStr">
        <is>
          <t>PKG-01</t>
        </is>
      </c>
      <c r="B5" s="84" t="inlineStr">
        <is>
          <t>Basic</t>
        </is>
      </c>
      <c r="C5" s="84" t="inlineStr">
        <is>
          <t>10 Mbps</t>
        </is>
      </c>
      <c r="D5" s="86" t="n">
        <v>1300</v>
      </c>
      <c r="E5" s="84" t="inlineStr">
        <is>
          <t>Yes</t>
        </is>
      </c>
      <c r="F5" s="84" t="inlineStr">
        <is>
          <t>EXAMPLE - edit to your real package</t>
        </is>
      </c>
    </row>
    <row r="6">
      <c r="A6" s="83" t="inlineStr">
        <is>
          <t>PKG-02</t>
        </is>
      </c>
      <c r="B6" s="84" t="inlineStr">
        <is>
          <t>Standard</t>
        </is>
      </c>
      <c r="C6" s="84" t="inlineStr">
        <is>
          <t>15 Mbps</t>
        </is>
      </c>
      <c r="D6" s="86" t="n">
        <v>1500</v>
      </c>
      <c r="E6" s="84" t="inlineStr">
        <is>
          <t>Yes</t>
        </is>
      </c>
      <c r="F6" s="84" t="inlineStr">
        <is>
          <t>EXAMPLE - edit to your real package</t>
        </is>
      </c>
    </row>
    <row r="7">
      <c r="A7" s="83" t="inlineStr">
        <is>
          <t>PKG-03</t>
        </is>
      </c>
      <c r="B7" s="84" t="inlineStr">
        <is>
          <t>Premium</t>
        </is>
      </c>
      <c r="C7" s="84" t="inlineStr">
        <is>
          <t>20 Mbps</t>
        </is>
      </c>
      <c r="D7" s="86" t="n">
        <v>1800</v>
      </c>
      <c r="E7" s="84" t="inlineStr">
        <is>
          <t>Yes</t>
        </is>
      </c>
      <c r="F7" s="84" t="inlineStr">
        <is>
          <t>EXAMPLE - edit to your real package</t>
        </is>
      </c>
    </row>
    <row r="8">
      <c r="A8" s="32" t="n"/>
    </row>
    <row r="9">
      <c r="A9" s="32" t="n"/>
    </row>
    <row r="10">
      <c r="A10" s="32" t="n"/>
    </row>
    <row r="11">
      <c r="A11" s="32" t="n"/>
    </row>
    <row r="12">
      <c r="A12" s="32" t="n"/>
    </row>
    <row r="13">
      <c r="A13" s="32" t="n"/>
    </row>
    <row r="14">
      <c r="A14" s="32" t="n"/>
    </row>
    <row r="15">
      <c r="A15" s="32" t="n"/>
    </row>
    <row r="16">
      <c r="A16" s="32" t="n"/>
    </row>
    <row r="17">
      <c r="A17" s="32" t="n"/>
    </row>
    <row r="18">
      <c r="A18" s="32" t="n"/>
    </row>
    <row r="19">
      <c r="A19" s="32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  <row r="29">
      <c r="A29" s="32" t="n"/>
    </row>
    <row r="30">
      <c r="A30" s="32" t="n"/>
    </row>
    <row r="31">
      <c r="A31" s="32" t="n"/>
    </row>
    <row r="32">
      <c r="A32" s="32" t="n"/>
    </row>
    <row r="33">
      <c r="A33" s="32" t="n"/>
    </row>
    <row r="34">
      <c r="A34" s="32" t="n"/>
    </row>
    <row r="35">
      <c r="A35" s="32" t="n"/>
    </row>
    <row r="36">
      <c r="A36" s="32" t="n"/>
    </row>
    <row r="37">
      <c r="A37" s="32" t="n"/>
    </row>
    <row r="38">
      <c r="A38" s="32" t="n"/>
    </row>
    <row r="39">
      <c r="A39" s="32" t="n"/>
    </row>
    <row r="40">
      <c r="A40" s="32" t="n"/>
    </row>
    <row r="41">
      <c r="A41" s="32" t="n"/>
    </row>
    <row r="42">
      <c r="A42" s="32" t="n"/>
    </row>
    <row r="43">
      <c r="A43" s="32" t="n"/>
    </row>
    <row r="44">
      <c r="A44" s="32" t="n"/>
    </row>
    <row r="45">
      <c r="A45" s="32" t="n"/>
    </row>
    <row r="46">
      <c r="A46" s="32" t="n"/>
    </row>
    <row r="47">
      <c r="A47" s="32" t="n"/>
    </row>
    <row r="48">
      <c r="A48" s="32" t="n"/>
    </row>
    <row r="49">
      <c r="A49" s="32" t="n"/>
    </row>
    <row r="50">
      <c r="A50" s="32" t="n"/>
    </row>
    <row r="51">
      <c r="A51" s="32" t="n"/>
    </row>
    <row r="52">
      <c r="A52" s="32" t="n"/>
    </row>
    <row r="53">
      <c r="A53" s="32" t="n"/>
    </row>
    <row r="54">
      <c r="A54" s="32" t="n"/>
    </row>
    <row r="55">
      <c r="A55" s="32" t="n"/>
    </row>
    <row r="56">
      <c r="A56" s="32" t="n"/>
    </row>
    <row r="57">
      <c r="A57" s="32" t="n"/>
    </row>
    <row r="58">
      <c r="A58" s="32" t="n"/>
    </row>
    <row r="59">
      <c r="A59" s="32" t="n"/>
    </row>
    <row r="60">
      <c r="A60" s="32" t="n"/>
    </row>
    <row r="61">
      <c r="A61" s="32" t="n"/>
    </row>
    <row r="62">
      <c r="A62" s="32" t="n"/>
    </row>
    <row r="63">
      <c r="A63" s="32" t="n"/>
    </row>
    <row r="64">
      <c r="A64" s="32" t="n"/>
    </row>
    <row r="65">
      <c r="A65" s="32" t="n"/>
    </row>
    <row r="66">
      <c r="A66" s="32" t="n"/>
    </row>
    <row r="67">
      <c r="A67" s="32" t="n"/>
    </row>
    <row r="68">
      <c r="A68" s="32" t="n"/>
    </row>
    <row r="69">
      <c r="A69" s="32" t="n"/>
    </row>
    <row r="70">
      <c r="A70" s="32" t="n"/>
    </row>
    <row r="71">
      <c r="A71" s="32" t="n"/>
    </row>
    <row r="72">
      <c r="A72" s="32" t="n"/>
    </row>
    <row r="73">
      <c r="A73" s="32" t="n"/>
    </row>
    <row r="74">
      <c r="A74" s="32" t="n"/>
    </row>
    <row r="75">
      <c r="A75" s="32" t="n"/>
    </row>
    <row r="76">
      <c r="A76" s="32" t="n"/>
    </row>
    <row r="77">
      <c r="A77" s="32" t="n"/>
    </row>
    <row r="78">
      <c r="A78" s="32" t="n"/>
    </row>
    <row r="79">
      <c r="A79" s="32" t="n"/>
    </row>
    <row r="80">
      <c r="A80" s="32" t="n"/>
    </row>
    <row r="81">
      <c r="A81" s="32" t="n"/>
    </row>
    <row r="82">
      <c r="A82" s="32" t="n"/>
    </row>
    <row r="83">
      <c r="A83" s="32" t="n"/>
    </row>
    <row r="84">
      <c r="A84" s="32" t="n"/>
    </row>
    <row r="85">
      <c r="A85" s="32" t="n"/>
    </row>
    <row r="86">
      <c r="A86" s="32" t="n"/>
    </row>
    <row r="87">
      <c r="A87" s="32" t="n"/>
    </row>
    <row r="88">
      <c r="A88" s="32" t="n"/>
    </row>
    <row r="89">
      <c r="A89" s="32" t="n"/>
    </row>
    <row r="90">
      <c r="A90" s="32" t="n"/>
    </row>
    <row r="91">
      <c r="A91" s="32" t="n"/>
    </row>
    <row r="92">
      <c r="A92" s="32" t="n"/>
    </row>
    <row r="93">
      <c r="A93" s="32" t="n"/>
    </row>
    <row r="94">
      <c r="A94" s="32" t="n"/>
    </row>
    <row r="95">
      <c r="A95" s="32" t="n"/>
    </row>
    <row r="96">
      <c r="A96" s="32" t="n"/>
    </row>
    <row r="97">
      <c r="A97" s="32" t="n"/>
    </row>
    <row r="98">
      <c r="A98" s="32" t="n"/>
    </row>
    <row r="99">
      <c r="A99" s="32" t="n"/>
    </row>
    <row r="100">
      <c r="A100" s="32" t="n"/>
    </row>
    <row r="101">
      <c r="A101" s="32" t="n"/>
    </row>
    <row r="102">
      <c r="A102" s="32" t="n"/>
    </row>
    <row r="103">
      <c r="A103" s="32" t="n"/>
    </row>
    <row r="104">
      <c r="A104" s="32" t="n"/>
    </row>
    <row r="105">
      <c r="A105" s="32" t="n"/>
    </row>
    <row r="106">
      <c r="A106" s="32" t="n"/>
    </row>
    <row r="107">
      <c r="A107" s="32" t="n"/>
    </row>
    <row r="108">
      <c r="A108" s="32" t="n"/>
    </row>
    <row r="109">
      <c r="A109" s="32" t="n"/>
    </row>
    <row r="110">
      <c r="A110" s="32" t="n"/>
    </row>
    <row r="111">
      <c r="A111" s="32" t="n"/>
    </row>
    <row r="112">
      <c r="A112" s="32" t="n"/>
    </row>
    <row r="113">
      <c r="A113" s="32" t="n"/>
    </row>
    <row r="114">
      <c r="A114" s="32" t="n"/>
    </row>
    <row r="115">
      <c r="A115" s="32" t="n"/>
    </row>
    <row r="116">
      <c r="A116" s="32" t="n"/>
    </row>
    <row r="117">
      <c r="A117" s="32" t="n"/>
    </row>
    <row r="118">
      <c r="A118" s="32" t="n"/>
    </row>
    <row r="119">
      <c r="A119" s="32" t="n"/>
    </row>
    <row r="120">
      <c r="A120" s="32" t="n"/>
    </row>
    <row r="121">
      <c r="A121" s="32" t="n"/>
    </row>
    <row r="122">
      <c r="A122" s="32" t="n"/>
    </row>
    <row r="123">
      <c r="A123" s="32" t="n"/>
    </row>
    <row r="124">
      <c r="A124" s="32" t="n"/>
    </row>
    <row r="125">
      <c r="A125" s="32" t="n"/>
    </row>
    <row r="126">
      <c r="A126" s="32" t="n"/>
    </row>
    <row r="127">
      <c r="A127" s="32" t="n"/>
    </row>
    <row r="128">
      <c r="A128" s="32" t="n"/>
    </row>
    <row r="129">
      <c r="A129" s="32" t="n"/>
    </row>
    <row r="130">
      <c r="A130" s="32" t="n"/>
    </row>
    <row r="131">
      <c r="A131" s="32" t="n"/>
    </row>
    <row r="132">
      <c r="A132" s="32" t="n"/>
    </row>
    <row r="133">
      <c r="A133" s="32" t="n"/>
    </row>
    <row r="134">
      <c r="A134" s="32" t="n"/>
    </row>
    <row r="135">
      <c r="A135" s="32" t="n"/>
    </row>
    <row r="136">
      <c r="A136" s="32" t="n"/>
    </row>
    <row r="137">
      <c r="A137" s="32" t="n"/>
    </row>
    <row r="138">
      <c r="A138" s="32" t="n"/>
    </row>
    <row r="139">
      <c r="A139" s="32" t="n"/>
    </row>
    <row r="140">
      <c r="A140" s="32" t="n"/>
    </row>
    <row r="141">
      <c r="A141" s="32" t="n"/>
    </row>
    <row r="142">
      <c r="A142" s="32" t="n"/>
    </row>
    <row r="143">
      <c r="A143" s="32" t="n"/>
    </row>
    <row r="144">
      <c r="A144" s="32" t="n"/>
    </row>
    <row r="145">
      <c r="A145" s="32" t="n"/>
    </row>
    <row r="146">
      <c r="A146" s="32" t="n"/>
    </row>
    <row r="147">
      <c r="A147" s="32" t="n"/>
    </row>
    <row r="148">
      <c r="A148" s="32" t="n"/>
    </row>
    <row r="149">
      <c r="A149" s="32" t="n"/>
    </row>
    <row r="150">
      <c r="A150" s="32" t="n"/>
    </row>
    <row r="151">
      <c r="A151" s="32" t="n"/>
    </row>
    <row r="152">
      <c r="A152" s="32" t="n"/>
    </row>
    <row r="153">
      <c r="A153" s="32" t="n"/>
    </row>
    <row r="154">
      <c r="A154" s="32" t="n"/>
    </row>
    <row r="155">
      <c r="A155" s="32" t="n"/>
    </row>
    <row r="156">
      <c r="A156" s="32" t="n"/>
    </row>
    <row r="157">
      <c r="A157" s="32" t="n"/>
    </row>
    <row r="158">
      <c r="A158" s="32" t="n"/>
    </row>
    <row r="159">
      <c r="A159" s="32" t="n"/>
    </row>
    <row r="160">
      <c r="A160" s="32" t="n"/>
    </row>
    <row r="161">
      <c r="A161" s="32" t="n"/>
    </row>
    <row r="162">
      <c r="A162" s="32" t="n"/>
    </row>
    <row r="163">
      <c r="A163" s="32" t="n"/>
    </row>
    <row r="164">
      <c r="A164" s="32" t="n"/>
    </row>
    <row r="165">
      <c r="A165" s="32" t="n"/>
    </row>
    <row r="166">
      <c r="A166" s="32" t="n"/>
    </row>
    <row r="167">
      <c r="A167" s="32" t="n"/>
    </row>
    <row r="168">
      <c r="A168" s="32" t="n"/>
    </row>
    <row r="169">
      <c r="A169" s="32" t="n"/>
    </row>
    <row r="170">
      <c r="A170" s="32" t="n"/>
    </row>
    <row r="171">
      <c r="A171" s="32" t="n"/>
    </row>
    <row r="172">
      <c r="A172" s="32" t="n"/>
    </row>
    <row r="173">
      <c r="A173" s="32" t="n"/>
    </row>
    <row r="174">
      <c r="A174" s="32" t="n"/>
    </row>
    <row r="175">
      <c r="A175" s="32" t="n"/>
    </row>
    <row r="176">
      <c r="A176" s="32" t="n"/>
    </row>
    <row r="177">
      <c r="A177" s="32" t="n"/>
    </row>
    <row r="178">
      <c r="A178" s="32" t="n"/>
    </row>
    <row r="179">
      <c r="A179" s="32" t="n"/>
    </row>
    <row r="180">
      <c r="A180" s="32" t="n"/>
    </row>
    <row r="181">
      <c r="A181" s="32" t="n"/>
    </row>
    <row r="182">
      <c r="A182" s="32" t="n"/>
    </row>
    <row r="183">
      <c r="A183" s="32" t="n"/>
    </row>
    <row r="184">
      <c r="A184" s="32" t="n"/>
    </row>
    <row r="185">
      <c r="A185" s="32" t="n"/>
    </row>
    <row r="186">
      <c r="A186" s="32" t="n"/>
    </row>
    <row r="187">
      <c r="A187" s="32" t="n"/>
    </row>
    <row r="188">
      <c r="A188" s="32" t="n"/>
    </row>
    <row r="189">
      <c r="A189" s="32" t="n"/>
    </row>
    <row r="190">
      <c r="A190" s="32" t="n"/>
    </row>
    <row r="191">
      <c r="A191" s="32" t="n"/>
    </row>
    <row r="192">
      <c r="A192" s="32" t="n"/>
    </row>
    <row r="193">
      <c r="A193" s="32" t="n"/>
    </row>
    <row r="194">
      <c r="A194" s="32" t="n"/>
    </row>
    <row r="195">
      <c r="A195" s="32" t="n"/>
    </row>
    <row r="196">
      <c r="A196" s="32" t="n"/>
    </row>
    <row r="197">
      <c r="A197" s="32" t="n"/>
    </row>
    <row r="198">
      <c r="A198" s="32" t="n"/>
    </row>
    <row r="199">
      <c r="A199" s="32" t="n"/>
    </row>
    <row r="200">
      <c r="A200" s="32" t="n"/>
    </row>
    <row r="201">
      <c r="A201" s="32" t="n"/>
    </row>
    <row r="202">
      <c r="A202" s="32" t="n"/>
    </row>
    <row r="203">
      <c r="A203" s="32" t="n"/>
    </row>
    <row r="204">
      <c r="A204" s="32" t="n"/>
    </row>
  </sheetData>
  <dataValidations count="2">
    <dataValidation sqref="D5:D5004" showDropDown="0" showInputMessage="0" showErrorMessage="1" allowBlank="1" errorTitle="CITY LINKS" error="Amount cannot be negative." type="decimal" operator="greaterThanOrEqual">
      <formula1>0</formula1>
    </dataValidation>
    <dataValidation sqref="E5:E5004" showDropDown="0" showInputMessage="0" showErrorMessage="1" allowBlank="1" errorTitle="CITY LINKS" error="Choose Yes or No." type="list">
      <formula1>L_YesNo</formula1>
    </dataValidation>
  </dataValidations>
  <hyperlinks>
    <hyperlink ref="G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9" customWidth="1" min="4" max="4"/>
    <col width="40" customWidth="1" min="5" max="5"/>
  </cols>
  <sheetData>
    <row r="1">
      <c r="A1" s="13" t="inlineStr">
        <is>
          <t>COLLECTORS (RECOVERY BOYS)</t>
        </is>
      </c>
      <c r="F1" s="9" t="inlineStr">
        <is>
          <t>◄ HOME</t>
        </is>
      </c>
    </row>
    <row r="2">
      <c r="A2" s="16" t="inlineStr">
        <is>
          <t>Recovery boys. Collector ID never changes.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29" t="inlineStr">
        <is>
          <t>Collector ID</t>
        </is>
      </c>
      <c r="B4" s="29" t="inlineStr">
        <is>
          <t>Collector Name</t>
        </is>
      </c>
      <c r="C4" s="29" t="inlineStr">
        <is>
          <t>Mobile</t>
        </is>
      </c>
      <c r="D4" s="29" t="inlineStr">
        <is>
          <t>Active</t>
        </is>
      </c>
      <c r="E4" s="29" t="inlineStr">
        <is>
          <t>Notes</t>
        </is>
      </c>
    </row>
    <row r="5">
      <c r="A5" s="83" t="inlineStr">
        <is>
          <t>B01</t>
        </is>
      </c>
      <c r="B5" s="84" t="inlineStr">
        <is>
          <t>Ali</t>
        </is>
      </c>
      <c r="C5" s="83" t="n"/>
      <c r="D5" s="84" t="inlineStr">
        <is>
          <t>Yes</t>
        </is>
      </c>
      <c r="E5" s="84" t="inlineStr">
        <is>
          <t>PLACEHOLDER - edit name/mobile</t>
        </is>
      </c>
    </row>
    <row r="6">
      <c r="A6" s="83" t="inlineStr">
        <is>
          <t>B02</t>
        </is>
      </c>
      <c r="B6" s="84" t="inlineStr">
        <is>
          <t>Bilal</t>
        </is>
      </c>
      <c r="C6" s="83" t="n"/>
      <c r="D6" s="84" t="inlineStr">
        <is>
          <t>Yes</t>
        </is>
      </c>
      <c r="E6" s="84" t="inlineStr">
        <is>
          <t>PLACEHOLDER - edit name/mobile</t>
        </is>
      </c>
    </row>
    <row r="7">
      <c r="A7" s="83" t="inlineStr">
        <is>
          <t>B03</t>
        </is>
      </c>
      <c r="B7" s="84" t="inlineStr">
        <is>
          <t>Asad</t>
        </is>
      </c>
      <c r="C7" s="83" t="n"/>
      <c r="D7" s="84" t="inlineStr">
        <is>
          <t>Yes</t>
        </is>
      </c>
      <c r="E7" s="84" t="inlineStr">
        <is>
          <t>PLACEHOLDER - edit name/mobile</t>
        </is>
      </c>
    </row>
    <row r="8">
      <c r="A8" s="32" t="n"/>
      <c r="C8" s="32" t="n"/>
    </row>
    <row r="9">
      <c r="A9" s="32" t="n"/>
      <c r="C9" s="32" t="n"/>
    </row>
    <row r="10">
      <c r="A10" s="32" t="n"/>
      <c r="C10" s="32" t="n"/>
    </row>
    <row r="11">
      <c r="A11" s="32" t="n"/>
      <c r="C11" s="32" t="n"/>
    </row>
    <row r="12">
      <c r="A12" s="32" t="n"/>
      <c r="C12" s="32" t="n"/>
    </row>
    <row r="13">
      <c r="A13" s="32" t="n"/>
      <c r="C13" s="32" t="n"/>
    </row>
    <row r="14">
      <c r="A14" s="32" t="n"/>
      <c r="C14" s="32" t="n"/>
    </row>
    <row r="15">
      <c r="A15" s="32" t="n"/>
      <c r="C15" s="32" t="n"/>
    </row>
    <row r="16">
      <c r="A16" s="32" t="n"/>
      <c r="C16" s="32" t="n"/>
    </row>
    <row r="17">
      <c r="A17" s="32" t="n"/>
      <c r="C17" s="32" t="n"/>
    </row>
    <row r="18">
      <c r="A18" s="32" t="n"/>
      <c r="C18" s="32" t="n"/>
    </row>
    <row r="19">
      <c r="A19" s="32" t="n"/>
      <c r="C19" s="32" t="n"/>
    </row>
    <row r="20">
      <c r="A20" s="32" t="n"/>
      <c r="C20" s="32" t="n"/>
    </row>
    <row r="21">
      <c r="A21" s="32" t="n"/>
      <c r="C21" s="32" t="n"/>
    </row>
    <row r="22">
      <c r="A22" s="32" t="n"/>
      <c r="C22" s="32" t="n"/>
    </row>
    <row r="23">
      <c r="A23" s="32" t="n"/>
      <c r="C23" s="32" t="n"/>
    </row>
    <row r="24">
      <c r="A24" s="32" t="n"/>
      <c r="C24" s="32" t="n"/>
    </row>
    <row r="25">
      <c r="A25" s="32" t="n"/>
      <c r="C25" s="32" t="n"/>
    </row>
    <row r="26">
      <c r="A26" s="32" t="n"/>
      <c r="C26" s="32" t="n"/>
    </row>
    <row r="27">
      <c r="A27" s="32" t="n"/>
      <c r="C27" s="32" t="n"/>
    </row>
    <row r="28">
      <c r="A28" s="32" t="n"/>
      <c r="C28" s="32" t="n"/>
    </row>
    <row r="29">
      <c r="A29" s="32" t="n"/>
      <c r="C29" s="32" t="n"/>
    </row>
    <row r="30">
      <c r="A30" s="32" t="n"/>
      <c r="C30" s="32" t="n"/>
    </row>
    <row r="31">
      <c r="A31" s="32" t="n"/>
      <c r="C31" s="32" t="n"/>
    </row>
    <row r="32">
      <c r="A32" s="32" t="n"/>
      <c r="C32" s="32" t="n"/>
    </row>
    <row r="33">
      <c r="A33" s="32" t="n"/>
      <c r="C33" s="32" t="n"/>
    </row>
    <row r="34">
      <c r="A34" s="32" t="n"/>
      <c r="C34" s="32" t="n"/>
    </row>
    <row r="35">
      <c r="A35" s="32" t="n"/>
      <c r="C35" s="32" t="n"/>
    </row>
    <row r="36">
      <c r="A36" s="32" t="n"/>
      <c r="C36" s="32" t="n"/>
    </row>
    <row r="37">
      <c r="A37" s="32" t="n"/>
      <c r="C37" s="32" t="n"/>
    </row>
    <row r="38">
      <c r="A38" s="32" t="n"/>
      <c r="C38" s="32" t="n"/>
    </row>
    <row r="39">
      <c r="A39" s="32" t="n"/>
      <c r="C39" s="32" t="n"/>
    </row>
    <row r="40">
      <c r="A40" s="32" t="n"/>
      <c r="C40" s="32" t="n"/>
    </row>
    <row r="41">
      <c r="A41" s="32" t="n"/>
      <c r="C41" s="32" t="n"/>
    </row>
    <row r="42">
      <c r="A42" s="32" t="n"/>
      <c r="C42" s="32" t="n"/>
    </row>
    <row r="43">
      <c r="A43" s="32" t="n"/>
      <c r="C43" s="32" t="n"/>
    </row>
    <row r="44">
      <c r="A44" s="32" t="n"/>
      <c r="C44" s="32" t="n"/>
    </row>
    <row r="45">
      <c r="A45" s="32" t="n"/>
      <c r="C45" s="32" t="n"/>
    </row>
    <row r="46">
      <c r="A46" s="32" t="n"/>
      <c r="C46" s="32" t="n"/>
    </row>
    <row r="47">
      <c r="A47" s="32" t="n"/>
      <c r="C47" s="32" t="n"/>
    </row>
    <row r="48">
      <c r="A48" s="32" t="n"/>
      <c r="C48" s="32" t="n"/>
    </row>
    <row r="49">
      <c r="A49" s="32" t="n"/>
      <c r="C49" s="32" t="n"/>
    </row>
    <row r="50">
      <c r="A50" s="32" t="n"/>
      <c r="C50" s="32" t="n"/>
    </row>
    <row r="51">
      <c r="A51" s="32" t="n"/>
      <c r="C51" s="32" t="n"/>
    </row>
    <row r="52">
      <c r="A52" s="32" t="n"/>
      <c r="C52" s="32" t="n"/>
    </row>
    <row r="53">
      <c r="A53" s="32" t="n"/>
      <c r="C53" s="32" t="n"/>
    </row>
    <row r="54">
      <c r="A54" s="32" t="n"/>
      <c r="C54" s="32" t="n"/>
    </row>
    <row r="55">
      <c r="A55" s="32" t="n"/>
      <c r="C55" s="32" t="n"/>
    </row>
    <row r="56">
      <c r="A56" s="32" t="n"/>
      <c r="C56" s="32" t="n"/>
    </row>
    <row r="57">
      <c r="A57" s="32" t="n"/>
      <c r="C57" s="32" t="n"/>
    </row>
    <row r="58">
      <c r="A58" s="32" t="n"/>
      <c r="C58" s="32" t="n"/>
    </row>
    <row r="59">
      <c r="A59" s="32" t="n"/>
      <c r="C59" s="32" t="n"/>
    </row>
    <row r="60">
      <c r="A60" s="32" t="n"/>
      <c r="C60" s="32" t="n"/>
    </row>
    <row r="61">
      <c r="A61" s="32" t="n"/>
      <c r="C61" s="32" t="n"/>
    </row>
    <row r="62">
      <c r="A62" s="32" t="n"/>
      <c r="C62" s="32" t="n"/>
    </row>
    <row r="63">
      <c r="A63" s="32" t="n"/>
      <c r="C63" s="32" t="n"/>
    </row>
    <row r="64">
      <c r="A64" s="32" t="n"/>
      <c r="C64" s="32" t="n"/>
    </row>
    <row r="65">
      <c r="A65" s="32" t="n"/>
      <c r="C65" s="32" t="n"/>
    </row>
    <row r="66">
      <c r="A66" s="32" t="n"/>
      <c r="C66" s="32" t="n"/>
    </row>
    <row r="67">
      <c r="A67" s="32" t="n"/>
      <c r="C67" s="32" t="n"/>
    </row>
    <row r="68">
      <c r="A68" s="32" t="n"/>
      <c r="C68" s="32" t="n"/>
    </row>
    <row r="69">
      <c r="A69" s="32" t="n"/>
      <c r="C69" s="32" t="n"/>
    </row>
    <row r="70">
      <c r="A70" s="32" t="n"/>
      <c r="C70" s="32" t="n"/>
    </row>
    <row r="71">
      <c r="A71" s="32" t="n"/>
      <c r="C71" s="32" t="n"/>
    </row>
    <row r="72">
      <c r="A72" s="32" t="n"/>
      <c r="C72" s="32" t="n"/>
    </row>
    <row r="73">
      <c r="A73" s="32" t="n"/>
      <c r="C73" s="32" t="n"/>
    </row>
    <row r="74">
      <c r="A74" s="32" t="n"/>
      <c r="C74" s="32" t="n"/>
    </row>
    <row r="75">
      <c r="A75" s="32" t="n"/>
      <c r="C75" s="32" t="n"/>
    </row>
    <row r="76">
      <c r="A76" s="32" t="n"/>
      <c r="C76" s="32" t="n"/>
    </row>
    <row r="77">
      <c r="A77" s="32" t="n"/>
      <c r="C77" s="32" t="n"/>
    </row>
    <row r="78">
      <c r="A78" s="32" t="n"/>
      <c r="C78" s="32" t="n"/>
    </row>
    <row r="79">
      <c r="A79" s="32" t="n"/>
      <c r="C79" s="32" t="n"/>
    </row>
    <row r="80">
      <c r="A80" s="32" t="n"/>
      <c r="C80" s="32" t="n"/>
    </row>
    <row r="81">
      <c r="A81" s="32" t="n"/>
      <c r="C81" s="32" t="n"/>
    </row>
    <row r="82">
      <c r="A82" s="32" t="n"/>
      <c r="C82" s="32" t="n"/>
    </row>
    <row r="83">
      <c r="A83" s="32" t="n"/>
      <c r="C83" s="32" t="n"/>
    </row>
    <row r="84">
      <c r="A84" s="32" t="n"/>
      <c r="C84" s="32" t="n"/>
    </row>
    <row r="85">
      <c r="A85" s="32" t="n"/>
      <c r="C85" s="32" t="n"/>
    </row>
    <row r="86">
      <c r="A86" s="32" t="n"/>
      <c r="C86" s="32" t="n"/>
    </row>
    <row r="87">
      <c r="A87" s="32" t="n"/>
      <c r="C87" s="32" t="n"/>
    </row>
    <row r="88">
      <c r="A88" s="32" t="n"/>
      <c r="C88" s="32" t="n"/>
    </row>
    <row r="89">
      <c r="A89" s="32" t="n"/>
      <c r="C89" s="32" t="n"/>
    </row>
    <row r="90">
      <c r="A90" s="32" t="n"/>
      <c r="C90" s="32" t="n"/>
    </row>
    <row r="91">
      <c r="A91" s="32" t="n"/>
      <c r="C91" s="32" t="n"/>
    </row>
    <row r="92">
      <c r="A92" s="32" t="n"/>
      <c r="C92" s="32" t="n"/>
    </row>
    <row r="93">
      <c r="A93" s="32" t="n"/>
      <c r="C93" s="32" t="n"/>
    </row>
    <row r="94">
      <c r="A94" s="32" t="n"/>
      <c r="C94" s="32" t="n"/>
    </row>
    <row r="95">
      <c r="A95" s="32" t="n"/>
      <c r="C95" s="32" t="n"/>
    </row>
    <row r="96">
      <c r="A96" s="32" t="n"/>
      <c r="C96" s="32" t="n"/>
    </row>
    <row r="97">
      <c r="A97" s="32" t="n"/>
      <c r="C97" s="32" t="n"/>
    </row>
    <row r="98">
      <c r="A98" s="32" t="n"/>
      <c r="C98" s="32" t="n"/>
    </row>
    <row r="99">
      <c r="A99" s="32" t="n"/>
      <c r="C99" s="32" t="n"/>
    </row>
    <row r="100">
      <c r="A100" s="32" t="n"/>
      <c r="C100" s="32" t="n"/>
    </row>
    <row r="101">
      <c r="A101" s="32" t="n"/>
      <c r="C101" s="32" t="n"/>
    </row>
    <row r="102">
      <c r="A102" s="32" t="n"/>
      <c r="C102" s="32" t="n"/>
    </row>
    <row r="103">
      <c r="A103" s="32" t="n"/>
      <c r="C103" s="32" t="n"/>
    </row>
    <row r="104">
      <c r="A104" s="32" t="n"/>
      <c r="C104" s="32" t="n"/>
    </row>
    <row r="105">
      <c r="A105" s="32" t="n"/>
      <c r="C105" s="32" t="n"/>
    </row>
    <row r="106">
      <c r="A106" s="32" t="n"/>
      <c r="C106" s="32" t="n"/>
    </row>
    <row r="107">
      <c r="A107" s="32" t="n"/>
      <c r="C107" s="32" t="n"/>
    </row>
    <row r="108">
      <c r="A108" s="32" t="n"/>
      <c r="C108" s="32" t="n"/>
    </row>
    <row r="109">
      <c r="A109" s="32" t="n"/>
      <c r="C109" s="32" t="n"/>
    </row>
    <row r="110">
      <c r="A110" s="32" t="n"/>
      <c r="C110" s="32" t="n"/>
    </row>
    <row r="111">
      <c r="A111" s="32" t="n"/>
      <c r="C111" s="32" t="n"/>
    </row>
    <row r="112">
      <c r="A112" s="32" t="n"/>
      <c r="C112" s="32" t="n"/>
    </row>
    <row r="113">
      <c r="A113" s="32" t="n"/>
      <c r="C113" s="32" t="n"/>
    </row>
    <row r="114">
      <c r="A114" s="32" t="n"/>
      <c r="C114" s="32" t="n"/>
    </row>
    <row r="115">
      <c r="A115" s="32" t="n"/>
      <c r="C115" s="32" t="n"/>
    </row>
    <row r="116">
      <c r="A116" s="32" t="n"/>
      <c r="C116" s="32" t="n"/>
    </row>
    <row r="117">
      <c r="A117" s="32" t="n"/>
      <c r="C117" s="32" t="n"/>
    </row>
    <row r="118">
      <c r="A118" s="32" t="n"/>
      <c r="C118" s="32" t="n"/>
    </row>
    <row r="119">
      <c r="A119" s="32" t="n"/>
      <c r="C119" s="32" t="n"/>
    </row>
    <row r="120">
      <c r="A120" s="32" t="n"/>
      <c r="C120" s="32" t="n"/>
    </row>
    <row r="121">
      <c r="A121" s="32" t="n"/>
      <c r="C121" s="32" t="n"/>
    </row>
    <row r="122">
      <c r="A122" s="32" t="n"/>
      <c r="C122" s="32" t="n"/>
    </row>
    <row r="123">
      <c r="A123" s="32" t="n"/>
      <c r="C123" s="32" t="n"/>
    </row>
    <row r="124">
      <c r="A124" s="32" t="n"/>
      <c r="C124" s="32" t="n"/>
    </row>
    <row r="125">
      <c r="A125" s="32" t="n"/>
      <c r="C125" s="32" t="n"/>
    </row>
    <row r="126">
      <c r="A126" s="32" t="n"/>
      <c r="C126" s="32" t="n"/>
    </row>
    <row r="127">
      <c r="A127" s="32" t="n"/>
      <c r="C127" s="32" t="n"/>
    </row>
    <row r="128">
      <c r="A128" s="32" t="n"/>
      <c r="C128" s="32" t="n"/>
    </row>
    <row r="129">
      <c r="A129" s="32" t="n"/>
      <c r="C129" s="32" t="n"/>
    </row>
    <row r="130">
      <c r="A130" s="32" t="n"/>
      <c r="C130" s="32" t="n"/>
    </row>
    <row r="131">
      <c r="A131" s="32" t="n"/>
      <c r="C131" s="32" t="n"/>
    </row>
    <row r="132">
      <c r="A132" s="32" t="n"/>
      <c r="C132" s="32" t="n"/>
    </row>
    <row r="133">
      <c r="A133" s="32" t="n"/>
      <c r="C133" s="32" t="n"/>
    </row>
    <row r="134">
      <c r="A134" s="32" t="n"/>
      <c r="C134" s="32" t="n"/>
    </row>
    <row r="135">
      <c r="A135" s="32" t="n"/>
      <c r="C135" s="32" t="n"/>
    </row>
    <row r="136">
      <c r="A136" s="32" t="n"/>
      <c r="C136" s="32" t="n"/>
    </row>
    <row r="137">
      <c r="A137" s="32" t="n"/>
      <c r="C137" s="32" t="n"/>
    </row>
    <row r="138">
      <c r="A138" s="32" t="n"/>
      <c r="C138" s="32" t="n"/>
    </row>
    <row r="139">
      <c r="A139" s="32" t="n"/>
      <c r="C139" s="32" t="n"/>
    </row>
    <row r="140">
      <c r="A140" s="32" t="n"/>
      <c r="C140" s="32" t="n"/>
    </row>
    <row r="141">
      <c r="A141" s="32" t="n"/>
      <c r="C141" s="32" t="n"/>
    </row>
    <row r="142">
      <c r="A142" s="32" t="n"/>
      <c r="C142" s="32" t="n"/>
    </row>
    <row r="143">
      <c r="A143" s="32" t="n"/>
      <c r="C143" s="32" t="n"/>
    </row>
    <row r="144">
      <c r="A144" s="32" t="n"/>
      <c r="C144" s="32" t="n"/>
    </row>
    <row r="145">
      <c r="A145" s="32" t="n"/>
      <c r="C145" s="32" t="n"/>
    </row>
    <row r="146">
      <c r="A146" s="32" t="n"/>
      <c r="C146" s="32" t="n"/>
    </row>
    <row r="147">
      <c r="A147" s="32" t="n"/>
      <c r="C147" s="32" t="n"/>
    </row>
    <row r="148">
      <c r="A148" s="32" t="n"/>
      <c r="C148" s="32" t="n"/>
    </row>
    <row r="149">
      <c r="A149" s="32" t="n"/>
      <c r="C149" s="32" t="n"/>
    </row>
    <row r="150">
      <c r="A150" s="32" t="n"/>
      <c r="C150" s="32" t="n"/>
    </row>
    <row r="151">
      <c r="A151" s="32" t="n"/>
      <c r="C151" s="32" t="n"/>
    </row>
    <row r="152">
      <c r="A152" s="32" t="n"/>
      <c r="C152" s="32" t="n"/>
    </row>
    <row r="153">
      <c r="A153" s="32" t="n"/>
      <c r="C153" s="32" t="n"/>
    </row>
    <row r="154">
      <c r="A154" s="32" t="n"/>
      <c r="C154" s="32" t="n"/>
    </row>
    <row r="155">
      <c r="A155" s="32" t="n"/>
      <c r="C155" s="32" t="n"/>
    </row>
    <row r="156">
      <c r="A156" s="32" t="n"/>
      <c r="C156" s="32" t="n"/>
    </row>
    <row r="157">
      <c r="A157" s="32" t="n"/>
      <c r="C157" s="32" t="n"/>
    </row>
    <row r="158">
      <c r="A158" s="32" t="n"/>
      <c r="C158" s="32" t="n"/>
    </row>
    <row r="159">
      <c r="A159" s="32" t="n"/>
      <c r="C159" s="32" t="n"/>
    </row>
    <row r="160">
      <c r="A160" s="32" t="n"/>
      <c r="C160" s="32" t="n"/>
    </row>
    <row r="161">
      <c r="A161" s="32" t="n"/>
      <c r="C161" s="32" t="n"/>
    </row>
    <row r="162">
      <c r="A162" s="32" t="n"/>
      <c r="C162" s="32" t="n"/>
    </row>
    <row r="163">
      <c r="A163" s="32" t="n"/>
      <c r="C163" s="32" t="n"/>
    </row>
    <row r="164">
      <c r="A164" s="32" t="n"/>
      <c r="C164" s="32" t="n"/>
    </row>
    <row r="165">
      <c r="A165" s="32" t="n"/>
      <c r="C165" s="32" t="n"/>
    </row>
    <row r="166">
      <c r="A166" s="32" t="n"/>
      <c r="C166" s="32" t="n"/>
    </row>
    <row r="167">
      <c r="A167" s="32" t="n"/>
      <c r="C167" s="32" t="n"/>
    </row>
    <row r="168">
      <c r="A168" s="32" t="n"/>
      <c r="C168" s="32" t="n"/>
    </row>
    <row r="169">
      <c r="A169" s="32" t="n"/>
      <c r="C169" s="32" t="n"/>
    </row>
    <row r="170">
      <c r="A170" s="32" t="n"/>
      <c r="C170" s="32" t="n"/>
    </row>
    <row r="171">
      <c r="A171" s="32" t="n"/>
      <c r="C171" s="32" t="n"/>
    </row>
    <row r="172">
      <c r="A172" s="32" t="n"/>
      <c r="C172" s="32" t="n"/>
    </row>
    <row r="173">
      <c r="A173" s="32" t="n"/>
      <c r="C173" s="32" t="n"/>
    </row>
    <row r="174">
      <c r="A174" s="32" t="n"/>
      <c r="C174" s="32" t="n"/>
    </row>
    <row r="175">
      <c r="A175" s="32" t="n"/>
      <c r="C175" s="32" t="n"/>
    </row>
    <row r="176">
      <c r="A176" s="32" t="n"/>
      <c r="C176" s="32" t="n"/>
    </row>
    <row r="177">
      <c r="A177" s="32" t="n"/>
      <c r="C177" s="32" t="n"/>
    </row>
    <row r="178">
      <c r="A178" s="32" t="n"/>
      <c r="C178" s="32" t="n"/>
    </row>
    <row r="179">
      <c r="A179" s="32" t="n"/>
      <c r="C179" s="32" t="n"/>
    </row>
    <row r="180">
      <c r="A180" s="32" t="n"/>
      <c r="C180" s="32" t="n"/>
    </row>
    <row r="181">
      <c r="A181" s="32" t="n"/>
      <c r="C181" s="32" t="n"/>
    </row>
    <row r="182">
      <c r="A182" s="32" t="n"/>
      <c r="C182" s="32" t="n"/>
    </row>
    <row r="183">
      <c r="A183" s="32" t="n"/>
      <c r="C183" s="32" t="n"/>
    </row>
    <row r="184">
      <c r="A184" s="32" t="n"/>
      <c r="C184" s="32" t="n"/>
    </row>
    <row r="185">
      <c r="A185" s="32" t="n"/>
      <c r="C185" s="32" t="n"/>
    </row>
    <row r="186">
      <c r="A186" s="32" t="n"/>
      <c r="C186" s="32" t="n"/>
    </row>
    <row r="187">
      <c r="A187" s="32" t="n"/>
      <c r="C187" s="32" t="n"/>
    </row>
    <row r="188">
      <c r="A188" s="32" t="n"/>
      <c r="C188" s="32" t="n"/>
    </row>
    <row r="189">
      <c r="A189" s="32" t="n"/>
      <c r="C189" s="32" t="n"/>
    </row>
    <row r="190">
      <c r="A190" s="32" t="n"/>
      <c r="C190" s="32" t="n"/>
    </row>
    <row r="191">
      <c r="A191" s="32" t="n"/>
      <c r="C191" s="32" t="n"/>
    </row>
    <row r="192">
      <c r="A192" s="32" t="n"/>
      <c r="C192" s="32" t="n"/>
    </row>
    <row r="193">
      <c r="A193" s="32" t="n"/>
      <c r="C193" s="32" t="n"/>
    </row>
    <row r="194">
      <c r="A194" s="32" t="n"/>
      <c r="C194" s="32" t="n"/>
    </row>
    <row r="195">
      <c r="A195" s="32" t="n"/>
      <c r="C195" s="32" t="n"/>
    </row>
    <row r="196">
      <c r="A196" s="32" t="n"/>
      <c r="C196" s="32" t="n"/>
    </row>
    <row r="197">
      <c r="A197" s="32" t="n"/>
      <c r="C197" s="32" t="n"/>
    </row>
    <row r="198">
      <c r="A198" s="32" t="n"/>
      <c r="C198" s="32" t="n"/>
    </row>
    <row r="199">
      <c r="A199" s="32" t="n"/>
      <c r="C199" s="32" t="n"/>
    </row>
    <row r="200">
      <c r="A200" s="32" t="n"/>
      <c r="C200" s="32" t="n"/>
    </row>
    <row r="201">
      <c r="A201" s="32" t="n"/>
      <c r="C201" s="32" t="n"/>
    </row>
    <row r="202">
      <c r="A202" s="32" t="n"/>
      <c r="C202" s="32" t="n"/>
    </row>
    <row r="203">
      <c r="A203" s="32" t="n"/>
      <c r="C203" s="32" t="n"/>
    </row>
    <row r="204">
      <c r="A204" s="32" t="n"/>
      <c r="C204" s="32" t="n"/>
    </row>
  </sheetData>
  <dataValidations count="1">
    <dataValidation sqref="D5:D5004" showDropDown="0" showInputMessage="0" showErrorMessage="1" allowBlank="1" errorTitle="CITY LINKS" error="Choose Yes or No." type="list">
      <formula1>L_YesNo</formula1>
    </dataValidation>
  </dataValidations>
  <hyperlinks>
    <hyperlink ref="F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N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22" customWidth="1" min="4" max="4"/>
    <col width="9" customWidth="1" min="5" max="5"/>
    <col width="8" customWidth="1" min="6" max="6"/>
    <col width="7" customWidth="1" min="7" max="7"/>
    <col width="9" customWidth="1" min="8" max="8"/>
    <col width="13" customWidth="1" min="9" max="9"/>
    <col width="20" customWidth="1" min="10" max="10"/>
    <col width="24" customWidth="1" min="11" max="11"/>
    <col width="17" customWidth="1" min="12" max="12"/>
    <col width="12" customWidth="1" min="13" max="13"/>
    <col width="30" customWidth="1" min="14" max="14"/>
  </cols>
  <sheetData>
    <row r="1">
      <c r="A1" s="13" t="inlineStr">
        <is>
          <t>IMPORT STAGING (HANDWRITTEN / OCR)</t>
        </is>
      </c>
      <c r="M1" s="9" t="inlineStr">
        <is>
          <t>◄ HOME</t>
        </is>
      </c>
    </row>
    <row r="2">
      <c r="A2" s="16" t="inlineStr">
        <is>
          <t>Rows read from handwritten sheets. Nothing here is a customer until it is verified and committed.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Batch ID</t>
        </is>
      </c>
      <c r="B4" s="31" t="inlineStr">
        <is>
          <t>Row No</t>
        </is>
      </c>
      <c r="C4" s="31" t="inlineStr">
        <is>
          <t>Page</t>
        </is>
      </c>
      <c r="D4" s="29" t="inlineStr">
        <is>
          <t>Customer Name</t>
        </is>
      </c>
      <c r="E4" s="29" t="inlineStr">
        <is>
          <t>Location Code</t>
        </is>
      </c>
      <c r="F4" s="29" t="inlineStr">
        <is>
          <t>VLAN ID</t>
        </is>
      </c>
      <c r="G4" s="29" t="inlineStr">
        <is>
          <t>Due Date</t>
        </is>
      </c>
      <c r="H4" s="29" t="inlineStr">
        <is>
          <t>Monthly Fee</t>
        </is>
      </c>
      <c r="I4" s="29" t="inlineStr">
        <is>
          <t>Mobile Number</t>
        </is>
      </c>
      <c r="J4" s="29" t="inlineStr">
        <is>
          <t>Other Fields</t>
        </is>
      </c>
      <c r="K4" s="31" t="inlineStr">
        <is>
          <t>Source File</t>
        </is>
      </c>
      <c r="L4" s="31" t="inlineStr">
        <is>
          <t>Row Status</t>
        </is>
      </c>
      <c r="M4" s="31" t="inlineStr">
        <is>
          <t>Customer ID Assigned</t>
        </is>
      </c>
      <c r="N4" s="29" t="inlineStr">
        <is>
          <t>Notes</t>
        </is>
      </c>
    </row>
    <row r="5">
      <c r="A5" s="32" t="n"/>
      <c r="E5" s="32" t="n"/>
      <c r="F5" s="32" t="n"/>
      <c r="I5" s="32" t="n"/>
      <c r="M5" s="32" t="n"/>
    </row>
    <row r="6">
      <c r="A6" s="32" t="n"/>
      <c r="E6" s="32" t="n"/>
      <c r="F6" s="32" t="n"/>
      <c r="I6" s="32" t="n"/>
      <c r="M6" s="32" t="n"/>
    </row>
    <row r="7">
      <c r="A7" s="32" t="n"/>
      <c r="E7" s="32" t="n"/>
      <c r="F7" s="32" t="n"/>
      <c r="I7" s="32" t="n"/>
      <c r="M7" s="32" t="n"/>
    </row>
    <row r="8">
      <c r="A8" s="32" t="n"/>
      <c r="E8" s="32" t="n"/>
      <c r="F8" s="32" t="n"/>
      <c r="I8" s="32" t="n"/>
      <c r="M8" s="32" t="n"/>
    </row>
    <row r="9">
      <c r="A9" s="32" t="n"/>
      <c r="E9" s="32" t="n"/>
      <c r="F9" s="32" t="n"/>
      <c r="I9" s="32" t="n"/>
      <c r="M9" s="32" t="n"/>
    </row>
    <row r="10">
      <c r="A10" s="32" t="n"/>
      <c r="E10" s="32" t="n"/>
      <c r="F10" s="32" t="n"/>
      <c r="I10" s="32" t="n"/>
      <c r="M10" s="32" t="n"/>
    </row>
    <row r="11">
      <c r="A11" s="32" t="n"/>
      <c r="E11" s="32" t="n"/>
      <c r="F11" s="32" t="n"/>
      <c r="I11" s="32" t="n"/>
      <c r="M11" s="32" t="n"/>
    </row>
    <row r="12">
      <c r="A12" s="32" t="n"/>
      <c r="E12" s="32" t="n"/>
      <c r="F12" s="32" t="n"/>
      <c r="I12" s="32" t="n"/>
      <c r="M12" s="32" t="n"/>
    </row>
    <row r="13">
      <c r="A13" s="32" t="n"/>
      <c r="E13" s="32" t="n"/>
      <c r="F13" s="32" t="n"/>
      <c r="I13" s="32" t="n"/>
      <c r="M13" s="32" t="n"/>
    </row>
    <row r="14">
      <c r="A14" s="32" t="n"/>
      <c r="E14" s="32" t="n"/>
      <c r="F14" s="32" t="n"/>
      <c r="I14" s="32" t="n"/>
      <c r="M14" s="32" t="n"/>
    </row>
    <row r="15">
      <c r="A15" s="32" t="n"/>
      <c r="E15" s="32" t="n"/>
      <c r="F15" s="32" t="n"/>
      <c r="I15" s="32" t="n"/>
      <c r="M15" s="32" t="n"/>
    </row>
    <row r="16">
      <c r="A16" s="32" t="n"/>
      <c r="E16" s="32" t="n"/>
      <c r="F16" s="32" t="n"/>
      <c r="I16" s="32" t="n"/>
      <c r="M16" s="32" t="n"/>
    </row>
    <row r="17">
      <c r="A17" s="32" t="n"/>
      <c r="E17" s="32" t="n"/>
      <c r="F17" s="32" t="n"/>
      <c r="I17" s="32" t="n"/>
      <c r="M17" s="32" t="n"/>
    </row>
    <row r="18">
      <c r="A18" s="32" t="n"/>
      <c r="E18" s="32" t="n"/>
      <c r="F18" s="32" t="n"/>
      <c r="I18" s="32" t="n"/>
      <c r="M18" s="32" t="n"/>
    </row>
    <row r="19">
      <c r="A19" s="32" t="n"/>
      <c r="E19" s="32" t="n"/>
      <c r="F19" s="32" t="n"/>
      <c r="I19" s="32" t="n"/>
      <c r="M19" s="32" t="n"/>
    </row>
    <row r="20">
      <c r="A20" s="32" t="n"/>
      <c r="E20" s="32" t="n"/>
      <c r="F20" s="32" t="n"/>
      <c r="I20" s="32" t="n"/>
      <c r="M20" s="32" t="n"/>
    </row>
    <row r="21">
      <c r="A21" s="32" t="n"/>
      <c r="E21" s="32" t="n"/>
      <c r="F21" s="32" t="n"/>
      <c r="I21" s="32" t="n"/>
      <c r="M21" s="32" t="n"/>
    </row>
    <row r="22">
      <c r="A22" s="32" t="n"/>
      <c r="E22" s="32" t="n"/>
      <c r="F22" s="32" t="n"/>
      <c r="I22" s="32" t="n"/>
      <c r="M22" s="32" t="n"/>
    </row>
    <row r="23">
      <c r="A23" s="32" t="n"/>
      <c r="E23" s="32" t="n"/>
      <c r="F23" s="32" t="n"/>
      <c r="I23" s="32" t="n"/>
      <c r="M23" s="32" t="n"/>
    </row>
    <row r="24">
      <c r="A24" s="32" t="n"/>
      <c r="E24" s="32" t="n"/>
      <c r="F24" s="32" t="n"/>
      <c r="I24" s="32" t="n"/>
      <c r="M24" s="32" t="n"/>
    </row>
    <row r="25">
      <c r="A25" s="32" t="n"/>
      <c r="E25" s="32" t="n"/>
      <c r="F25" s="32" t="n"/>
      <c r="I25" s="32" t="n"/>
      <c r="M25" s="32" t="n"/>
    </row>
    <row r="26">
      <c r="A26" s="32" t="n"/>
      <c r="E26" s="32" t="n"/>
      <c r="F26" s="32" t="n"/>
      <c r="I26" s="32" t="n"/>
      <c r="M26" s="32" t="n"/>
    </row>
    <row r="27">
      <c r="A27" s="32" t="n"/>
      <c r="E27" s="32" t="n"/>
      <c r="F27" s="32" t="n"/>
      <c r="I27" s="32" t="n"/>
      <c r="M27" s="32" t="n"/>
    </row>
    <row r="28">
      <c r="A28" s="32" t="n"/>
      <c r="E28" s="32" t="n"/>
      <c r="F28" s="32" t="n"/>
      <c r="I28" s="32" t="n"/>
      <c r="M28" s="32" t="n"/>
    </row>
    <row r="29">
      <c r="A29" s="32" t="n"/>
      <c r="E29" s="32" t="n"/>
      <c r="F29" s="32" t="n"/>
      <c r="I29" s="32" t="n"/>
      <c r="M29" s="32" t="n"/>
    </row>
    <row r="30">
      <c r="A30" s="32" t="n"/>
      <c r="E30" s="32" t="n"/>
      <c r="F30" s="32" t="n"/>
      <c r="I30" s="32" t="n"/>
      <c r="M30" s="32" t="n"/>
    </row>
    <row r="31">
      <c r="A31" s="32" t="n"/>
      <c r="E31" s="32" t="n"/>
      <c r="F31" s="32" t="n"/>
      <c r="I31" s="32" t="n"/>
      <c r="M31" s="32" t="n"/>
    </row>
    <row r="32">
      <c r="A32" s="32" t="n"/>
      <c r="E32" s="32" t="n"/>
      <c r="F32" s="32" t="n"/>
      <c r="I32" s="32" t="n"/>
      <c r="M32" s="32" t="n"/>
    </row>
    <row r="33">
      <c r="A33" s="32" t="n"/>
      <c r="E33" s="32" t="n"/>
      <c r="F33" s="32" t="n"/>
      <c r="I33" s="32" t="n"/>
      <c r="M33" s="32" t="n"/>
    </row>
    <row r="34">
      <c r="A34" s="32" t="n"/>
      <c r="E34" s="32" t="n"/>
      <c r="F34" s="32" t="n"/>
      <c r="I34" s="32" t="n"/>
      <c r="M34" s="32" t="n"/>
    </row>
    <row r="35">
      <c r="A35" s="32" t="n"/>
      <c r="E35" s="32" t="n"/>
      <c r="F35" s="32" t="n"/>
      <c r="I35" s="32" t="n"/>
      <c r="M35" s="32" t="n"/>
    </row>
    <row r="36">
      <c r="A36" s="32" t="n"/>
      <c r="E36" s="32" t="n"/>
      <c r="F36" s="32" t="n"/>
      <c r="I36" s="32" t="n"/>
      <c r="M36" s="32" t="n"/>
    </row>
    <row r="37">
      <c r="A37" s="32" t="n"/>
      <c r="E37" s="32" t="n"/>
      <c r="F37" s="32" t="n"/>
      <c r="I37" s="32" t="n"/>
      <c r="M37" s="32" t="n"/>
    </row>
    <row r="38">
      <c r="A38" s="32" t="n"/>
      <c r="E38" s="32" t="n"/>
      <c r="F38" s="32" t="n"/>
      <c r="I38" s="32" t="n"/>
      <c r="M38" s="32" t="n"/>
    </row>
    <row r="39">
      <c r="A39" s="32" t="n"/>
      <c r="E39" s="32" t="n"/>
      <c r="F39" s="32" t="n"/>
      <c r="I39" s="32" t="n"/>
      <c r="M39" s="32" t="n"/>
    </row>
    <row r="40">
      <c r="A40" s="32" t="n"/>
      <c r="E40" s="32" t="n"/>
      <c r="F40" s="32" t="n"/>
      <c r="I40" s="32" t="n"/>
      <c r="M40" s="32" t="n"/>
    </row>
    <row r="41">
      <c r="A41" s="32" t="n"/>
      <c r="E41" s="32" t="n"/>
      <c r="F41" s="32" t="n"/>
      <c r="I41" s="32" t="n"/>
      <c r="M41" s="32" t="n"/>
    </row>
    <row r="42">
      <c r="A42" s="32" t="n"/>
      <c r="E42" s="32" t="n"/>
      <c r="F42" s="32" t="n"/>
      <c r="I42" s="32" t="n"/>
      <c r="M42" s="32" t="n"/>
    </row>
    <row r="43">
      <c r="A43" s="32" t="n"/>
      <c r="E43" s="32" t="n"/>
      <c r="F43" s="32" t="n"/>
      <c r="I43" s="32" t="n"/>
      <c r="M43" s="32" t="n"/>
    </row>
    <row r="44">
      <c r="A44" s="32" t="n"/>
      <c r="E44" s="32" t="n"/>
      <c r="F44" s="32" t="n"/>
      <c r="I44" s="32" t="n"/>
      <c r="M44" s="32" t="n"/>
    </row>
    <row r="45">
      <c r="A45" s="32" t="n"/>
      <c r="E45" s="32" t="n"/>
      <c r="F45" s="32" t="n"/>
      <c r="I45" s="32" t="n"/>
      <c r="M45" s="32" t="n"/>
    </row>
    <row r="46">
      <c r="A46" s="32" t="n"/>
      <c r="E46" s="32" t="n"/>
      <c r="F46" s="32" t="n"/>
      <c r="I46" s="32" t="n"/>
      <c r="M46" s="32" t="n"/>
    </row>
    <row r="47">
      <c r="A47" s="32" t="n"/>
      <c r="E47" s="32" t="n"/>
      <c r="F47" s="32" t="n"/>
      <c r="I47" s="32" t="n"/>
      <c r="M47" s="32" t="n"/>
    </row>
    <row r="48">
      <c r="A48" s="32" t="n"/>
      <c r="E48" s="32" t="n"/>
      <c r="F48" s="32" t="n"/>
      <c r="I48" s="32" t="n"/>
      <c r="M48" s="32" t="n"/>
    </row>
    <row r="49">
      <c r="A49" s="32" t="n"/>
      <c r="E49" s="32" t="n"/>
      <c r="F49" s="32" t="n"/>
      <c r="I49" s="32" t="n"/>
      <c r="M49" s="32" t="n"/>
    </row>
    <row r="50">
      <c r="A50" s="32" t="n"/>
      <c r="E50" s="32" t="n"/>
      <c r="F50" s="32" t="n"/>
      <c r="I50" s="32" t="n"/>
      <c r="M50" s="32" t="n"/>
    </row>
    <row r="51">
      <c r="A51" s="32" t="n"/>
      <c r="E51" s="32" t="n"/>
      <c r="F51" s="32" t="n"/>
      <c r="I51" s="32" t="n"/>
      <c r="M51" s="32" t="n"/>
    </row>
    <row r="52">
      <c r="A52" s="32" t="n"/>
      <c r="E52" s="32" t="n"/>
      <c r="F52" s="32" t="n"/>
      <c r="I52" s="32" t="n"/>
      <c r="M52" s="32" t="n"/>
    </row>
    <row r="53">
      <c r="A53" s="32" t="n"/>
      <c r="E53" s="32" t="n"/>
      <c r="F53" s="32" t="n"/>
      <c r="I53" s="32" t="n"/>
      <c r="M53" s="32" t="n"/>
    </row>
    <row r="54">
      <c r="A54" s="32" t="n"/>
      <c r="E54" s="32" t="n"/>
      <c r="F54" s="32" t="n"/>
      <c r="I54" s="32" t="n"/>
      <c r="M54" s="32" t="n"/>
    </row>
    <row r="55">
      <c r="A55" s="32" t="n"/>
      <c r="E55" s="32" t="n"/>
      <c r="F55" s="32" t="n"/>
      <c r="I55" s="32" t="n"/>
      <c r="M55" s="32" t="n"/>
    </row>
    <row r="56">
      <c r="A56" s="32" t="n"/>
      <c r="E56" s="32" t="n"/>
      <c r="F56" s="32" t="n"/>
      <c r="I56" s="32" t="n"/>
      <c r="M56" s="32" t="n"/>
    </row>
    <row r="57">
      <c r="A57" s="32" t="n"/>
      <c r="E57" s="32" t="n"/>
      <c r="F57" s="32" t="n"/>
      <c r="I57" s="32" t="n"/>
      <c r="M57" s="32" t="n"/>
    </row>
    <row r="58">
      <c r="A58" s="32" t="n"/>
      <c r="E58" s="32" t="n"/>
      <c r="F58" s="32" t="n"/>
      <c r="I58" s="32" t="n"/>
      <c r="M58" s="32" t="n"/>
    </row>
    <row r="59">
      <c r="A59" s="32" t="n"/>
      <c r="E59" s="32" t="n"/>
      <c r="F59" s="32" t="n"/>
      <c r="I59" s="32" t="n"/>
      <c r="M59" s="32" t="n"/>
    </row>
    <row r="60">
      <c r="A60" s="32" t="n"/>
      <c r="E60" s="32" t="n"/>
      <c r="F60" s="32" t="n"/>
      <c r="I60" s="32" t="n"/>
      <c r="M60" s="32" t="n"/>
    </row>
    <row r="61">
      <c r="A61" s="32" t="n"/>
      <c r="E61" s="32" t="n"/>
      <c r="F61" s="32" t="n"/>
      <c r="I61" s="32" t="n"/>
      <c r="M61" s="32" t="n"/>
    </row>
    <row r="62">
      <c r="A62" s="32" t="n"/>
      <c r="E62" s="32" t="n"/>
      <c r="F62" s="32" t="n"/>
      <c r="I62" s="32" t="n"/>
      <c r="M62" s="32" t="n"/>
    </row>
    <row r="63">
      <c r="A63" s="32" t="n"/>
      <c r="E63" s="32" t="n"/>
      <c r="F63" s="32" t="n"/>
      <c r="I63" s="32" t="n"/>
      <c r="M63" s="32" t="n"/>
    </row>
    <row r="64">
      <c r="A64" s="32" t="n"/>
      <c r="E64" s="32" t="n"/>
      <c r="F64" s="32" t="n"/>
      <c r="I64" s="32" t="n"/>
      <c r="M64" s="32" t="n"/>
    </row>
    <row r="65">
      <c r="A65" s="32" t="n"/>
      <c r="E65" s="32" t="n"/>
      <c r="F65" s="32" t="n"/>
      <c r="I65" s="32" t="n"/>
      <c r="M65" s="32" t="n"/>
    </row>
    <row r="66">
      <c r="A66" s="32" t="n"/>
      <c r="E66" s="32" t="n"/>
      <c r="F66" s="32" t="n"/>
      <c r="I66" s="32" t="n"/>
      <c r="M66" s="32" t="n"/>
    </row>
    <row r="67">
      <c r="A67" s="32" t="n"/>
      <c r="E67" s="32" t="n"/>
      <c r="F67" s="32" t="n"/>
      <c r="I67" s="32" t="n"/>
      <c r="M67" s="32" t="n"/>
    </row>
    <row r="68">
      <c r="A68" s="32" t="n"/>
      <c r="E68" s="32" t="n"/>
      <c r="F68" s="32" t="n"/>
      <c r="I68" s="32" t="n"/>
      <c r="M68" s="32" t="n"/>
    </row>
    <row r="69">
      <c r="A69" s="32" t="n"/>
      <c r="E69" s="32" t="n"/>
      <c r="F69" s="32" t="n"/>
      <c r="I69" s="32" t="n"/>
      <c r="M69" s="32" t="n"/>
    </row>
    <row r="70">
      <c r="A70" s="32" t="n"/>
      <c r="E70" s="32" t="n"/>
      <c r="F70" s="32" t="n"/>
      <c r="I70" s="32" t="n"/>
      <c r="M70" s="32" t="n"/>
    </row>
    <row r="71">
      <c r="A71" s="32" t="n"/>
      <c r="E71" s="32" t="n"/>
      <c r="F71" s="32" t="n"/>
      <c r="I71" s="32" t="n"/>
      <c r="M71" s="32" t="n"/>
    </row>
    <row r="72">
      <c r="A72" s="32" t="n"/>
      <c r="E72" s="32" t="n"/>
      <c r="F72" s="32" t="n"/>
      <c r="I72" s="32" t="n"/>
      <c r="M72" s="32" t="n"/>
    </row>
    <row r="73">
      <c r="A73" s="32" t="n"/>
      <c r="E73" s="32" t="n"/>
      <c r="F73" s="32" t="n"/>
      <c r="I73" s="32" t="n"/>
      <c r="M73" s="32" t="n"/>
    </row>
    <row r="74">
      <c r="A74" s="32" t="n"/>
      <c r="E74" s="32" t="n"/>
      <c r="F74" s="32" t="n"/>
      <c r="I74" s="32" t="n"/>
      <c r="M74" s="32" t="n"/>
    </row>
    <row r="75">
      <c r="A75" s="32" t="n"/>
      <c r="E75" s="32" t="n"/>
      <c r="F75" s="32" t="n"/>
      <c r="I75" s="32" t="n"/>
      <c r="M75" s="32" t="n"/>
    </row>
    <row r="76">
      <c r="A76" s="32" t="n"/>
      <c r="E76" s="32" t="n"/>
      <c r="F76" s="32" t="n"/>
      <c r="I76" s="32" t="n"/>
      <c r="M76" s="32" t="n"/>
    </row>
    <row r="77">
      <c r="A77" s="32" t="n"/>
      <c r="E77" s="32" t="n"/>
      <c r="F77" s="32" t="n"/>
      <c r="I77" s="32" t="n"/>
      <c r="M77" s="32" t="n"/>
    </row>
    <row r="78">
      <c r="A78" s="32" t="n"/>
      <c r="E78" s="32" t="n"/>
      <c r="F78" s="32" t="n"/>
      <c r="I78" s="32" t="n"/>
      <c r="M78" s="32" t="n"/>
    </row>
    <row r="79">
      <c r="A79" s="32" t="n"/>
      <c r="E79" s="32" t="n"/>
      <c r="F79" s="32" t="n"/>
      <c r="I79" s="32" t="n"/>
      <c r="M79" s="32" t="n"/>
    </row>
    <row r="80">
      <c r="A80" s="32" t="n"/>
      <c r="E80" s="32" t="n"/>
      <c r="F80" s="32" t="n"/>
      <c r="I80" s="32" t="n"/>
      <c r="M80" s="32" t="n"/>
    </row>
    <row r="81">
      <c r="A81" s="32" t="n"/>
      <c r="E81" s="32" t="n"/>
      <c r="F81" s="32" t="n"/>
      <c r="I81" s="32" t="n"/>
      <c r="M81" s="32" t="n"/>
    </row>
    <row r="82">
      <c r="A82" s="32" t="n"/>
      <c r="E82" s="32" t="n"/>
      <c r="F82" s="32" t="n"/>
      <c r="I82" s="32" t="n"/>
      <c r="M82" s="32" t="n"/>
    </row>
    <row r="83">
      <c r="A83" s="32" t="n"/>
      <c r="E83" s="32" t="n"/>
      <c r="F83" s="32" t="n"/>
      <c r="I83" s="32" t="n"/>
      <c r="M83" s="32" t="n"/>
    </row>
    <row r="84">
      <c r="A84" s="32" t="n"/>
      <c r="E84" s="32" t="n"/>
      <c r="F84" s="32" t="n"/>
      <c r="I84" s="32" t="n"/>
      <c r="M84" s="32" t="n"/>
    </row>
    <row r="85">
      <c r="A85" s="32" t="n"/>
      <c r="E85" s="32" t="n"/>
      <c r="F85" s="32" t="n"/>
      <c r="I85" s="32" t="n"/>
      <c r="M85" s="32" t="n"/>
    </row>
    <row r="86">
      <c r="A86" s="32" t="n"/>
      <c r="E86" s="32" t="n"/>
      <c r="F86" s="32" t="n"/>
      <c r="I86" s="32" t="n"/>
      <c r="M86" s="32" t="n"/>
    </row>
    <row r="87">
      <c r="A87" s="32" t="n"/>
      <c r="E87" s="32" t="n"/>
      <c r="F87" s="32" t="n"/>
      <c r="I87" s="32" t="n"/>
      <c r="M87" s="32" t="n"/>
    </row>
    <row r="88">
      <c r="A88" s="32" t="n"/>
      <c r="E88" s="32" t="n"/>
      <c r="F88" s="32" t="n"/>
      <c r="I88" s="32" t="n"/>
      <c r="M88" s="32" t="n"/>
    </row>
    <row r="89">
      <c r="A89" s="32" t="n"/>
      <c r="E89" s="32" t="n"/>
      <c r="F89" s="32" t="n"/>
      <c r="I89" s="32" t="n"/>
      <c r="M89" s="32" t="n"/>
    </row>
    <row r="90">
      <c r="A90" s="32" t="n"/>
      <c r="E90" s="32" t="n"/>
      <c r="F90" s="32" t="n"/>
      <c r="I90" s="32" t="n"/>
      <c r="M90" s="32" t="n"/>
    </row>
    <row r="91">
      <c r="A91" s="32" t="n"/>
      <c r="E91" s="32" t="n"/>
      <c r="F91" s="32" t="n"/>
      <c r="I91" s="32" t="n"/>
      <c r="M91" s="32" t="n"/>
    </row>
    <row r="92">
      <c r="A92" s="32" t="n"/>
      <c r="E92" s="32" t="n"/>
      <c r="F92" s="32" t="n"/>
      <c r="I92" s="32" t="n"/>
      <c r="M92" s="32" t="n"/>
    </row>
    <row r="93">
      <c r="A93" s="32" t="n"/>
      <c r="E93" s="32" t="n"/>
      <c r="F93" s="32" t="n"/>
      <c r="I93" s="32" t="n"/>
      <c r="M93" s="32" t="n"/>
    </row>
    <row r="94">
      <c r="A94" s="32" t="n"/>
      <c r="E94" s="32" t="n"/>
      <c r="F94" s="32" t="n"/>
      <c r="I94" s="32" t="n"/>
      <c r="M94" s="32" t="n"/>
    </row>
    <row r="95">
      <c r="A95" s="32" t="n"/>
      <c r="E95" s="32" t="n"/>
      <c r="F95" s="32" t="n"/>
      <c r="I95" s="32" t="n"/>
      <c r="M95" s="32" t="n"/>
    </row>
    <row r="96">
      <c r="A96" s="32" t="n"/>
      <c r="E96" s="32" t="n"/>
      <c r="F96" s="32" t="n"/>
      <c r="I96" s="32" t="n"/>
      <c r="M96" s="32" t="n"/>
    </row>
    <row r="97">
      <c r="A97" s="32" t="n"/>
      <c r="E97" s="32" t="n"/>
      <c r="F97" s="32" t="n"/>
      <c r="I97" s="32" t="n"/>
      <c r="M97" s="32" t="n"/>
    </row>
    <row r="98">
      <c r="A98" s="32" t="n"/>
      <c r="E98" s="32" t="n"/>
      <c r="F98" s="32" t="n"/>
      <c r="I98" s="32" t="n"/>
      <c r="M98" s="32" t="n"/>
    </row>
    <row r="99">
      <c r="A99" s="32" t="n"/>
      <c r="E99" s="32" t="n"/>
      <c r="F99" s="32" t="n"/>
      <c r="I99" s="32" t="n"/>
      <c r="M99" s="32" t="n"/>
    </row>
    <row r="100">
      <c r="A100" s="32" t="n"/>
      <c r="E100" s="32" t="n"/>
      <c r="F100" s="32" t="n"/>
      <c r="I100" s="32" t="n"/>
      <c r="M100" s="32" t="n"/>
    </row>
    <row r="101">
      <c r="A101" s="32" t="n"/>
      <c r="E101" s="32" t="n"/>
      <c r="F101" s="32" t="n"/>
      <c r="I101" s="32" t="n"/>
      <c r="M101" s="32" t="n"/>
    </row>
    <row r="102">
      <c r="A102" s="32" t="n"/>
      <c r="E102" s="32" t="n"/>
      <c r="F102" s="32" t="n"/>
      <c r="I102" s="32" t="n"/>
      <c r="M102" s="32" t="n"/>
    </row>
    <row r="103">
      <c r="A103" s="32" t="n"/>
      <c r="E103" s="32" t="n"/>
      <c r="F103" s="32" t="n"/>
      <c r="I103" s="32" t="n"/>
      <c r="M103" s="32" t="n"/>
    </row>
    <row r="104">
      <c r="A104" s="32" t="n"/>
      <c r="E104" s="32" t="n"/>
      <c r="F104" s="32" t="n"/>
      <c r="I104" s="32" t="n"/>
      <c r="M104" s="32" t="n"/>
    </row>
    <row r="105">
      <c r="A105" s="32" t="n"/>
      <c r="E105" s="32" t="n"/>
      <c r="F105" s="32" t="n"/>
      <c r="I105" s="32" t="n"/>
      <c r="M105" s="32" t="n"/>
    </row>
    <row r="106">
      <c r="A106" s="32" t="n"/>
      <c r="E106" s="32" t="n"/>
      <c r="F106" s="32" t="n"/>
      <c r="I106" s="32" t="n"/>
      <c r="M106" s="32" t="n"/>
    </row>
    <row r="107">
      <c r="A107" s="32" t="n"/>
      <c r="E107" s="32" t="n"/>
      <c r="F107" s="32" t="n"/>
      <c r="I107" s="32" t="n"/>
      <c r="M107" s="32" t="n"/>
    </row>
    <row r="108">
      <c r="A108" s="32" t="n"/>
      <c r="E108" s="32" t="n"/>
      <c r="F108" s="32" t="n"/>
      <c r="I108" s="32" t="n"/>
      <c r="M108" s="32" t="n"/>
    </row>
    <row r="109">
      <c r="A109" s="32" t="n"/>
      <c r="E109" s="32" t="n"/>
      <c r="F109" s="32" t="n"/>
      <c r="I109" s="32" t="n"/>
      <c r="M109" s="32" t="n"/>
    </row>
    <row r="110">
      <c r="A110" s="32" t="n"/>
      <c r="E110" s="32" t="n"/>
      <c r="F110" s="32" t="n"/>
      <c r="I110" s="32" t="n"/>
      <c r="M110" s="32" t="n"/>
    </row>
    <row r="111">
      <c r="A111" s="32" t="n"/>
      <c r="E111" s="32" t="n"/>
      <c r="F111" s="32" t="n"/>
      <c r="I111" s="32" t="n"/>
      <c r="M111" s="32" t="n"/>
    </row>
    <row r="112">
      <c r="A112" s="32" t="n"/>
      <c r="E112" s="32" t="n"/>
      <c r="F112" s="32" t="n"/>
      <c r="I112" s="32" t="n"/>
      <c r="M112" s="32" t="n"/>
    </row>
    <row r="113">
      <c r="A113" s="32" t="n"/>
      <c r="E113" s="32" t="n"/>
      <c r="F113" s="32" t="n"/>
      <c r="I113" s="32" t="n"/>
      <c r="M113" s="32" t="n"/>
    </row>
    <row r="114">
      <c r="A114" s="32" t="n"/>
      <c r="E114" s="32" t="n"/>
      <c r="F114" s="32" t="n"/>
      <c r="I114" s="32" t="n"/>
      <c r="M114" s="32" t="n"/>
    </row>
    <row r="115">
      <c r="A115" s="32" t="n"/>
      <c r="E115" s="32" t="n"/>
      <c r="F115" s="32" t="n"/>
      <c r="I115" s="32" t="n"/>
      <c r="M115" s="32" t="n"/>
    </row>
    <row r="116">
      <c r="A116" s="32" t="n"/>
      <c r="E116" s="32" t="n"/>
      <c r="F116" s="32" t="n"/>
      <c r="I116" s="32" t="n"/>
      <c r="M116" s="32" t="n"/>
    </row>
    <row r="117">
      <c r="A117" s="32" t="n"/>
      <c r="E117" s="32" t="n"/>
      <c r="F117" s="32" t="n"/>
      <c r="I117" s="32" t="n"/>
      <c r="M117" s="32" t="n"/>
    </row>
    <row r="118">
      <c r="A118" s="32" t="n"/>
      <c r="E118" s="32" t="n"/>
      <c r="F118" s="32" t="n"/>
      <c r="I118" s="32" t="n"/>
      <c r="M118" s="32" t="n"/>
    </row>
    <row r="119">
      <c r="A119" s="32" t="n"/>
      <c r="E119" s="32" t="n"/>
      <c r="F119" s="32" t="n"/>
      <c r="I119" s="32" t="n"/>
      <c r="M119" s="32" t="n"/>
    </row>
    <row r="120">
      <c r="A120" s="32" t="n"/>
      <c r="E120" s="32" t="n"/>
      <c r="F120" s="32" t="n"/>
      <c r="I120" s="32" t="n"/>
      <c r="M120" s="32" t="n"/>
    </row>
    <row r="121">
      <c r="A121" s="32" t="n"/>
      <c r="E121" s="32" t="n"/>
      <c r="F121" s="32" t="n"/>
      <c r="I121" s="32" t="n"/>
      <c r="M121" s="32" t="n"/>
    </row>
    <row r="122">
      <c r="A122" s="32" t="n"/>
      <c r="E122" s="32" t="n"/>
      <c r="F122" s="32" t="n"/>
      <c r="I122" s="32" t="n"/>
      <c r="M122" s="32" t="n"/>
    </row>
    <row r="123">
      <c r="A123" s="32" t="n"/>
      <c r="E123" s="32" t="n"/>
      <c r="F123" s="32" t="n"/>
      <c r="I123" s="32" t="n"/>
      <c r="M123" s="32" t="n"/>
    </row>
    <row r="124">
      <c r="A124" s="32" t="n"/>
      <c r="E124" s="32" t="n"/>
      <c r="F124" s="32" t="n"/>
      <c r="I124" s="32" t="n"/>
      <c r="M124" s="32" t="n"/>
    </row>
    <row r="125">
      <c r="A125" s="32" t="n"/>
      <c r="E125" s="32" t="n"/>
      <c r="F125" s="32" t="n"/>
      <c r="I125" s="32" t="n"/>
      <c r="M125" s="32" t="n"/>
    </row>
    <row r="126">
      <c r="A126" s="32" t="n"/>
      <c r="E126" s="32" t="n"/>
      <c r="F126" s="32" t="n"/>
      <c r="I126" s="32" t="n"/>
      <c r="M126" s="32" t="n"/>
    </row>
    <row r="127">
      <c r="A127" s="32" t="n"/>
      <c r="E127" s="32" t="n"/>
      <c r="F127" s="32" t="n"/>
      <c r="I127" s="32" t="n"/>
      <c r="M127" s="32" t="n"/>
    </row>
    <row r="128">
      <c r="A128" s="32" t="n"/>
      <c r="E128" s="32" t="n"/>
      <c r="F128" s="32" t="n"/>
      <c r="I128" s="32" t="n"/>
      <c r="M128" s="32" t="n"/>
    </row>
    <row r="129">
      <c r="A129" s="32" t="n"/>
      <c r="E129" s="32" t="n"/>
      <c r="F129" s="32" t="n"/>
      <c r="I129" s="32" t="n"/>
      <c r="M129" s="32" t="n"/>
    </row>
    <row r="130">
      <c r="A130" s="32" t="n"/>
      <c r="E130" s="32" t="n"/>
      <c r="F130" s="32" t="n"/>
      <c r="I130" s="32" t="n"/>
      <c r="M130" s="32" t="n"/>
    </row>
    <row r="131">
      <c r="A131" s="32" t="n"/>
      <c r="E131" s="32" t="n"/>
      <c r="F131" s="32" t="n"/>
      <c r="I131" s="32" t="n"/>
      <c r="M131" s="32" t="n"/>
    </row>
    <row r="132">
      <c r="A132" s="32" t="n"/>
      <c r="E132" s="32" t="n"/>
      <c r="F132" s="32" t="n"/>
      <c r="I132" s="32" t="n"/>
      <c r="M132" s="32" t="n"/>
    </row>
    <row r="133">
      <c r="A133" s="32" t="n"/>
      <c r="E133" s="32" t="n"/>
      <c r="F133" s="32" t="n"/>
      <c r="I133" s="32" t="n"/>
      <c r="M133" s="32" t="n"/>
    </row>
    <row r="134">
      <c r="A134" s="32" t="n"/>
      <c r="E134" s="32" t="n"/>
      <c r="F134" s="32" t="n"/>
      <c r="I134" s="32" t="n"/>
      <c r="M134" s="32" t="n"/>
    </row>
    <row r="135">
      <c r="A135" s="32" t="n"/>
      <c r="E135" s="32" t="n"/>
      <c r="F135" s="32" t="n"/>
      <c r="I135" s="32" t="n"/>
      <c r="M135" s="32" t="n"/>
    </row>
    <row r="136">
      <c r="A136" s="32" t="n"/>
      <c r="E136" s="32" t="n"/>
      <c r="F136" s="32" t="n"/>
      <c r="I136" s="32" t="n"/>
      <c r="M136" s="32" t="n"/>
    </row>
    <row r="137">
      <c r="A137" s="32" t="n"/>
      <c r="E137" s="32" t="n"/>
      <c r="F137" s="32" t="n"/>
      <c r="I137" s="32" t="n"/>
      <c r="M137" s="32" t="n"/>
    </row>
    <row r="138">
      <c r="A138" s="32" t="n"/>
      <c r="E138" s="32" t="n"/>
      <c r="F138" s="32" t="n"/>
      <c r="I138" s="32" t="n"/>
      <c r="M138" s="32" t="n"/>
    </row>
    <row r="139">
      <c r="A139" s="32" t="n"/>
      <c r="E139" s="32" t="n"/>
      <c r="F139" s="32" t="n"/>
      <c r="I139" s="32" t="n"/>
      <c r="M139" s="32" t="n"/>
    </row>
    <row r="140">
      <c r="A140" s="32" t="n"/>
      <c r="E140" s="32" t="n"/>
      <c r="F140" s="32" t="n"/>
      <c r="I140" s="32" t="n"/>
      <c r="M140" s="32" t="n"/>
    </row>
    <row r="141">
      <c r="A141" s="32" t="n"/>
      <c r="E141" s="32" t="n"/>
      <c r="F141" s="32" t="n"/>
      <c r="I141" s="32" t="n"/>
      <c r="M141" s="32" t="n"/>
    </row>
    <row r="142">
      <c r="A142" s="32" t="n"/>
      <c r="E142" s="32" t="n"/>
      <c r="F142" s="32" t="n"/>
      <c r="I142" s="32" t="n"/>
      <c r="M142" s="32" t="n"/>
    </row>
    <row r="143">
      <c r="A143" s="32" t="n"/>
      <c r="E143" s="32" t="n"/>
      <c r="F143" s="32" t="n"/>
      <c r="I143" s="32" t="n"/>
      <c r="M143" s="32" t="n"/>
    </row>
    <row r="144">
      <c r="A144" s="32" t="n"/>
      <c r="E144" s="32" t="n"/>
      <c r="F144" s="32" t="n"/>
      <c r="I144" s="32" t="n"/>
      <c r="M144" s="32" t="n"/>
    </row>
    <row r="145">
      <c r="A145" s="32" t="n"/>
      <c r="E145" s="32" t="n"/>
      <c r="F145" s="32" t="n"/>
      <c r="I145" s="32" t="n"/>
      <c r="M145" s="32" t="n"/>
    </row>
    <row r="146">
      <c r="A146" s="32" t="n"/>
      <c r="E146" s="32" t="n"/>
      <c r="F146" s="32" t="n"/>
      <c r="I146" s="32" t="n"/>
      <c r="M146" s="32" t="n"/>
    </row>
    <row r="147">
      <c r="A147" s="32" t="n"/>
      <c r="E147" s="32" t="n"/>
      <c r="F147" s="32" t="n"/>
      <c r="I147" s="32" t="n"/>
      <c r="M147" s="32" t="n"/>
    </row>
    <row r="148">
      <c r="A148" s="32" t="n"/>
      <c r="E148" s="32" t="n"/>
      <c r="F148" s="32" t="n"/>
      <c r="I148" s="32" t="n"/>
      <c r="M148" s="32" t="n"/>
    </row>
    <row r="149">
      <c r="A149" s="32" t="n"/>
      <c r="E149" s="32" t="n"/>
      <c r="F149" s="32" t="n"/>
      <c r="I149" s="32" t="n"/>
      <c r="M149" s="32" t="n"/>
    </row>
    <row r="150">
      <c r="A150" s="32" t="n"/>
      <c r="E150" s="32" t="n"/>
      <c r="F150" s="32" t="n"/>
      <c r="I150" s="32" t="n"/>
      <c r="M150" s="32" t="n"/>
    </row>
    <row r="151">
      <c r="A151" s="32" t="n"/>
      <c r="E151" s="32" t="n"/>
      <c r="F151" s="32" t="n"/>
      <c r="I151" s="32" t="n"/>
      <c r="M151" s="32" t="n"/>
    </row>
    <row r="152">
      <c r="A152" s="32" t="n"/>
      <c r="E152" s="32" t="n"/>
      <c r="F152" s="32" t="n"/>
      <c r="I152" s="32" t="n"/>
      <c r="M152" s="32" t="n"/>
    </row>
    <row r="153">
      <c r="A153" s="32" t="n"/>
      <c r="E153" s="32" t="n"/>
      <c r="F153" s="32" t="n"/>
      <c r="I153" s="32" t="n"/>
      <c r="M153" s="32" t="n"/>
    </row>
    <row r="154">
      <c r="A154" s="32" t="n"/>
      <c r="E154" s="32" t="n"/>
      <c r="F154" s="32" t="n"/>
      <c r="I154" s="32" t="n"/>
      <c r="M154" s="32" t="n"/>
    </row>
    <row r="155">
      <c r="A155" s="32" t="n"/>
      <c r="E155" s="32" t="n"/>
      <c r="F155" s="32" t="n"/>
      <c r="I155" s="32" t="n"/>
      <c r="M155" s="32" t="n"/>
    </row>
    <row r="156">
      <c r="A156" s="32" t="n"/>
      <c r="E156" s="32" t="n"/>
      <c r="F156" s="32" t="n"/>
      <c r="I156" s="32" t="n"/>
      <c r="M156" s="32" t="n"/>
    </row>
    <row r="157">
      <c r="A157" s="32" t="n"/>
      <c r="E157" s="32" t="n"/>
      <c r="F157" s="32" t="n"/>
      <c r="I157" s="32" t="n"/>
      <c r="M157" s="32" t="n"/>
    </row>
    <row r="158">
      <c r="A158" s="32" t="n"/>
      <c r="E158" s="32" t="n"/>
      <c r="F158" s="32" t="n"/>
      <c r="I158" s="32" t="n"/>
      <c r="M158" s="32" t="n"/>
    </row>
    <row r="159">
      <c r="A159" s="32" t="n"/>
      <c r="E159" s="32" t="n"/>
      <c r="F159" s="32" t="n"/>
      <c r="I159" s="32" t="n"/>
      <c r="M159" s="32" t="n"/>
    </row>
    <row r="160">
      <c r="A160" s="32" t="n"/>
      <c r="E160" s="32" t="n"/>
      <c r="F160" s="32" t="n"/>
      <c r="I160" s="32" t="n"/>
      <c r="M160" s="32" t="n"/>
    </row>
    <row r="161">
      <c r="A161" s="32" t="n"/>
      <c r="E161" s="32" t="n"/>
      <c r="F161" s="32" t="n"/>
      <c r="I161" s="32" t="n"/>
      <c r="M161" s="32" t="n"/>
    </row>
    <row r="162">
      <c r="A162" s="32" t="n"/>
      <c r="E162" s="32" t="n"/>
      <c r="F162" s="32" t="n"/>
      <c r="I162" s="32" t="n"/>
      <c r="M162" s="32" t="n"/>
    </row>
    <row r="163">
      <c r="A163" s="32" t="n"/>
      <c r="E163" s="32" t="n"/>
      <c r="F163" s="32" t="n"/>
      <c r="I163" s="32" t="n"/>
      <c r="M163" s="32" t="n"/>
    </row>
    <row r="164">
      <c r="A164" s="32" t="n"/>
      <c r="E164" s="32" t="n"/>
      <c r="F164" s="32" t="n"/>
      <c r="I164" s="32" t="n"/>
      <c r="M164" s="32" t="n"/>
    </row>
    <row r="165">
      <c r="A165" s="32" t="n"/>
      <c r="E165" s="32" t="n"/>
      <c r="F165" s="32" t="n"/>
      <c r="I165" s="32" t="n"/>
      <c r="M165" s="32" t="n"/>
    </row>
    <row r="166">
      <c r="A166" s="32" t="n"/>
      <c r="E166" s="32" t="n"/>
      <c r="F166" s="32" t="n"/>
      <c r="I166" s="32" t="n"/>
      <c r="M166" s="32" t="n"/>
    </row>
    <row r="167">
      <c r="A167" s="32" t="n"/>
      <c r="E167" s="32" t="n"/>
      <c r="F167" s="32" t="n"/>
      <c r="I167" s="32" t="n"/>
      <c r="M167" s="32" t="n"/>
    </row>
    <row r="168">
      <c r="A168" s="32" t="n"/>
      <c r="E168" s="32" t="n"/>
      <c r="F168" s="32" t="n"/>
      <c r="I168" s="32" t="n"/>
      <c r="M168" s="32" t="n"/>
    </row>
    <row r="169">
      <c r="A169" s="32" t="n"/>
      <c r="E169" s="32" t="n"/>
      <c r="F169" s="32" t="n"/>
      <c r="I169" s="32" t="n"/>
      <c r="M169" s="32" t="n"/>
    </row>
    <row r="170">
      <c r="A170" s="32" t="n"/>
      <c r="E170" s="32" t="n"/>
      <c r="F170" s="32" t="n"/>
      <c r="I170" s="32" t="n"/>
      <c r="M170" s="32" t="n"/>
    </row>
    <row r="171">
      <c r="A171" s="32" t="n"/>
      <c r="E171" s="32" t="n"/>
      <c r="F171" s="32" t="n"/>
      <c r="I171" s="32" t="n"/>
      <c r="M171" s="32" t="n"/>
    </row>
    <row r="172">
      <c r="A172" s="32" t="n"/>
      <c r="E172" s="32" t="n"/>
      <c r="F172" s="32" t="n"/>
      <c r="I172" s="32" t="n"/>
      <c r="M172" s="32" t="n"/>
    </row>
    <row r="173">
      <c r="A173" s="32" t="n"/>
      <c r="E173" s="32" t="n"/>
      <c r="F173" s="32" t="n"/>
      <c r="I173" s="32" t="n"/>
      <c r="M173" s="32" t="n"/>
    </row>
    <row r="174">
      <c r="A174" s="32" t="n"/>
      <c r="E174" s="32" t="n"/>
      <c r="F174" s="32" t="n"/>
      <c r="I174" s="32" t="n"/>
      <c r="M174" s="32" t="n"/>
    </row>
    <row r="175">
      <c r="A175" s="32" t="n"/>
      <c r="E175" s="32" t="n"/>
      <c r="F175" s="32" t="n"/>
      <c r="I175" s="32" t="n"/>
      <c r="M175" s="32" t="n"/>
    </row>
    <row r="176">
      <c r="A176" s="32" t="n"/>
      <c r="E176" s="32" t="n"/>
      <c r="F176" s="32" t="n"/>
      <c r="I176" s="32" t="n"/>
      <c r="M176" s="32" t="n"/>
    </row>
    <row r="177">
      <c r="A177" s="32" t="n"/>
      <c r="E177" s="32" t="n"/>
      <c r="F177" s="32" t="n"/>
      <c r="I177" s="32" t="n"/>
      <c r="M177" s="32" t="n"/>
    </row>
    <row r="178">
      <c r="A178" s="32" t="n"/>
      <c r="E178" s="32" t="n"/>
      <c r="F178" s="32" t="n"/>
      <c r="I178" s="32" t="n"/>
      <c r="M178" s="32" t="n"/>
    </row>
    <row r="179">
      <c r="A179" s="32" t="n"/>
      <c r="E179" s="32" t="n"/>
      <c r="F179" s="32" t="n"/>
      <c r="I179" s="32" t="n"/>
      <c r="M179" s="32" t="n"/>
    </row>
    <row r="180">
      <c r="A180" s="32" t="n"/>
      <c r="E180" s="32" t="n"/>
      <c r="F180" s="32" t="n"/>
      <c r="I180" s="32" t="n"/>
      <c r="M180" s="32" t="n"/>
    </row>
    <row r="181">
      <c r="A181" s="32" t="n"/>
      <c r="E181" s="32" t="n"/>
      <c r="F181" s="32" t="n"/>
      <c r="I181" s="32" t="n"/>
      <c r="M181" s="32" t="n"/>
    </row>
    <row r="182">
      <c r="A182" s="32" t="n"/>
      <c r="E182" s="32" t="n"/>
      <c r="F182" s="32" t="n"/>
      <c r="I182" s="32" t="n"/>
      <c r="M182" s="32" t="n"/>
    </row>
    <row r="183">
      <c r="A183" s="32" t="n"/>
      <c r="E183" s="32" t="n"/>
      <c r="F183" s="32" t="n"/>
      <c r="I183" s="32" t="n"/>
      <c r="M183" s="32" t="n"/>
    </row>
    <row r="184">
      <c r="A184" s="32" t="n"/>
      <c r="E184" s="32" t="n"/>
      <c r="F184" s="32" t="n"/>
      <c r="I184" s="32" t="n"/>
      <c r="M184" s="32" t="n"/>
    </row>
    <row r="185">
      <c r="A185" s="32" t="n"/>
      <c r="E185" s="32" t="n"/>
      <c r="F185" s="32" t="n"/>
      <c r="I185" s="32" t="n"/>
      <c r="M185" s="32" t="n"/>
    </row>
    <row r="186">
      <c r="A186" s="32" t="n"/>
      <c r="E186" s="32" t="n"/>
      <c r="F186" s="32" t="n"/>
      <c r="I186" s="32" t="n"/>
      <c r="M186" s="32" t="n"/>
    </row>
    <row r="187">
      <c r="A187" s="32" t="n"/>
      <c r="E187" s="32" t="n"/>
      <c r="F187" s="32" t="n"/>
      <c r="I187" s="32" t="n"/>
      <c r="M187" s="32" t="n"/>
    </row>
    <row r="188">
      <c r="A188" s="32" t="n"/>
      <c r="E188" s="32" t="n"/>
      <c r="F188" s="32" t="n"/>
      <c r="I188" s="32" t="n"/>
      <c r="M188" s="32" t="n"/>
    </row>
    <row r="189">
      <c r="A189" s="32" t="n"/>
      <c r="E189" s="32" t="n"/>
      <c r="F189" s="32" t="n"/>
      <c r="I189" s="32" t="n"/>
      <c r="M189" s="32" t="n"/>
    </row>
    <row r="190">
      <c r="A190" s="32" t="n"/>
      <c r="E190" s="32" t="n"/>
      <c r="F190" s="32" t="n"/>
      <c r="I190" s="32" t="n"/>
      <c r="M190" s="32" t="n"/>
    </row>
    <row r="191">
      <c r="A191" s="32" t="n"/>
      <c r="E191" s="32" t="n"/>
      <c r="F191" s="32" t="n"/>
      <c r="I191" s="32" t="n"/>
      <c r="M191" s="32" t="n"/>
    </row>
    <row r="192">
      <c r="A192" s="32" t="n"/>
      <c r="E192" s="32" t="n"/>
      <c r="F192" s="32" t="n"/>
      <c r="I192" s="32" t="n"/>
      <c r="M192" s="32" t="n"/>
    </row>
    <row r="193">
      <c r="A193" s="32" t="n"/>
      <c r="E193" s="32" t="n"/>
      <c r="F193" s="32" t="n"/>
      <c r="I193" s="32" t="n"/>
      <c r="M193" s="32" t="n"/>
    </row>
    <row r="194">
      <c r="A194" s="32" t="n"/>
      <c r="E194" s="32" t="n"/>
      <c r="F194" s="32" t="n"/>
      <c r="I194" s="32" t="n"/>
      <c r="M194" s="32" t="n"/>
    </row>
    <row r="195">
      <c r="A195" s="32" t="n"/>
      <c r="E195" s="32" t="n"/>
      <c r="F195" s="32" t="n"/>
      <c r="I195" s="32" t="n"/>
      <c r="M195" s="32" t="n"/>
    </row>
    <row r="196">
      <c r="A196" s="32" t="n"/>
      <c r="E196" s="32" t="n"/>
      <c r="F196" s="32" t="n"/>
      <c r="I196" s="32" t="n"/>
      <c r="M196" s="32" t="n"/>
    </row>
    <row r="197">
      <c r="A197" s="32" t="n"/>
      <c r="E197" s="32" t="n"/>
      <c r="F197" s="32" t="n"/>
      <c r="I197" s="32" t="n"/>
      <c r="M197" s="32" t="n"/>
    </row>
    <row r="198">
      <c r="A198" s="32" t="n"/>
      <c r="E198" s="32" t="n"/>
      <c r="F198" s="32" t="n"/>
      <c r="I198" s="32" t="n"/>
      <c r="M198" s="32" t="n"/>
    </row>
    <row r="199">
      <c r="A199" s="32" t="n"/>
      <c r="E199" s="32" t="n"/>
      <c r="F199" s="32" t="n"/>
      <c r="I199" s="32" t="n"/>
      <c r="M199" s="32" t="n"/>
    </row>
    <row r="200">
      <c r="A200" s="32" t="n"/>
      <c r="E200" s="32" t="n"/>
      <c r="F200" s="32" t="n"/>
      <c r="I200" s="32" t="n"/>
      <c r="M200" s="32" t="n"/>
    </row>
    <row r="201">
      <c r="A201" s="32" t="n"/>
      <c r="E201" s="32" t="n"/>
      <c r="F201" s="32" t="n"/>
      <c r="I201" s="32" t="n"/>
      <c r="M201" s="32" t="n"/>
    </row>
    <row r="202">
      <c r="A202" s="32" t="n"/>
      <c r="E202" s="32" t="n"/>
      <c r="F202" s="32" t="n"/>
      <c r="I202" s="32" t="n"/>
      <c r="M202" s="32" t="n"/>
    </row>
    <row r="203">
      <c r="A203" s="32" t="n"/>
      <c r="E203" s="32" t="n"/>
      <c r="F203" s="32" t="n"/>
      <c r="I203" s="32" t="n"/>
      <c r="M203" s="32" t="n"/>
    </row>
    <row r="204">
      <c r="A204" s="32" t="n"/>
      <c r="E204" s="32" t="n"/>
      <c r="F204" s="32" t="n"/>
      <c r="I204" s="32" t="n"/>
      <c r="M204" s="32" t="n"/>
    </row>
  </sheetData>
  <conditionalFormatting sqref="L5:L5004">
    <cfRule type="cellIs" priority="1" operator="equal" dxfId="2">
      <formula>"Needs Verification"</formula>
    </cfRule>
    <cfRule type="cellIs" priority="2" operator="equal" dxfId="3">
      <formula>"Possible Duplicate"</formula>
    </cfRule>
    <cfRule type="cellIs" priority="3" operator="equal" dxfId="5">
      <formula>"Imported"</formula>
    </cfRule>
  </conditionalFormatting>
  <hyperlinks>
    <hyperlink ref="M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L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14" customWidth="1" min="4" max="4"/>
    <col width="18" customWidth="1" min="5" max="5"/>
    <col width="10" customWidth="1" min="6" max="6"/>
    <col width="30" customWidth="1" min="7" max="7"/>
    <col width="38" customWidth="1" min="8" max="8"/>
    <col width="20" customWidth="1" min="9" max="9"/>
    <col width="10" customWidth="1" min="10" max="10"/>
    <col width="16" customWidth="1" min="11" max="11"/>
  </cols>
  <sheetData>
    <row r="1">
      <c r="A1" s="13" t="inlineStr">
        <is>
          <t>VERIFICATION QUEUE</t>
        </is>
      </c>
      <c r="L1" s="9" t="inlineStr">
        <is>
          <t>◄ HOME</t>
        </is>
      </c>
    </row>
    <row r="2">
      <c r="A2" s="16" t="inlineStr">
        <is>
          <t>Unclear handwriting goes here. The system NEVER guesses. Type the correct value in Answer, then run 'Apply verification answers'.</t>
        </is>
      </c>
    </row>
    <row r="3">
      <c r="A3" s="28" t="inlineStr">
        <is>
          <t>Header colours:  dark blue = you type   |   mid blue = system generated (do not edit)   |   grey = calculated formula (never type)</t>
        </is>
      </c>
    </row>
    <row r="4" ht="32" customHeight="1">
      <c r="A4" s="31" t="inlineStr">
        <is>
          <t>Item ID</t>
        </is>
      </c>
      <c r="B4" s="31" t="inlineStr">
        <is>
          <t>Batch ID</t>
        </is>
      </c>
      <c r="C4" s="31" t="inlineStr">
        <is>
          <t>Row No</t>
        </is>
      </c>
      <c r="D4" s="31" t="inlineStr">
        <is>
          <t>Field</t>
        </is>
      </c>
      <c r="E4" s="31" t="inlineStr">
        <is>
          <t>Detected Value</t>
        </is>
      </c>
      <c r="F4" s="31" t="inlineStr">
        <is>
          <t>Confidence</t>
        </is>
      </c>
      <c r="G4" s="31" t="inlineStr">
        <is>
          <t>Reason</t>
        </is>
      </c>
      <c r="H4" s="31" t="inlineStr">
        <is>
          <t>Question</t>
        </is>
      </c>
      <c r="I4" s="29" t="inlineStr">
        <is>
          <t>Answer</t>
        </is>
      </c>
      <c r="J4" s="31" t="inlineStr">
        <is>
          <t>Status</t>
        </is>
      </c>
      <c r="K4" s="31" t="inlineStr">
        <is>
          <t>Resolved At</t>
        </is>
      </c>
    </row>
    <row r="5">
      <c r="A5" s="32" t="n"/>
      <c r="B5" s="32" t="n"/>
    </row>
    <row r="6">
      <c r="A6" s="32" t="n"/>
      <c r="B6" s="32" t="n"/>
    </row>
    <row r="7">
      <c r="A7" s="32" t="n"/>
      <c r="B7" s="32" t="n"/>
    </row>
    <row r="8">
      <c r="A8" s="32" t="n"/>
      <c r="B8" s="32" t="n"/>
    </row>
    <row r="9">
      <c r="A9" s="32" t="n"/>
      <c r="B9" s="32" t="n"/>
    </row>
    <row r="10">
      <c r="A10" s="32" t="n"/>
      <c r="B10" s="32" t="n"/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</sheetData>
  <conditionalFormatting sqref="J5:J5004">
    <cfRule type="cellIs" priority="1" operator="equal" dxfId="2">
      <formula>"Open"</formula>
    </cfRule>
  </conditionalFormatting>
  <conditionalFormatting sqref="I5:I5004">
    <cfRule type="expression" priority="2" dxfId="12">
      <formula>$J5="Open"</formula>
    </cfRule>
  </conditionalFormatting>
  <hyperlinks>
    <hyperlink ref="L1" location="'HOME'!A1" display="◄ HOME"/>
  </hyperlinks>
  <printOptions horizontalCentered="1"/>
  <pageMargins left="0.4" right="0.4" top="0.5" bottom="0.6" header="0.25" footer="0.25"/>
  <pageSetup orientation="landscape" paperSize="9" fitToHeight="0" fitToWidth="1"/>
  <headerFooter>
    <oddHeader/>
    <oddFooter>&amp;R&amp;9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F7F7F"/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0" customWidth="1" min="3" max="3"/>
  </cols>
  <sheetData>
    <row r="1">
      <c r="A1" s="13" t="inlineStr">
        <is>
          <t>SETTINGS</t>
        </is>
      </c>
      <c r="E1" s="9" t="inlineStr">
        <is>
          <t>◄ HOME</t>
        </is>
      </c>
    </row>
    <row r="2">
      <c r="A2" s="16" t="inlineStr">
        <is>
          <t>Change company details and system options here. Yellow cells are editable.</t>
        </is>
      </c>
    </row>
    <row r="4">
      <c r="A4" s="87" t="inlineStr">
        <is>
          <t>Setting</t>
        </is>
      </c>
      <c r="B4" s="87" t="inlineStr">
        <is>
          <t>Value</t>
        </is>
      </c>
      <c r="C4" s="87" t="inlineStr">
        <is>
          <t>Notes</t>
        </is>
      </c>
    </row>
    <row r="5">
      <c r="A5" s="4" t="inlineStr">
        <is>
          <t>Company Name</t>
        </is>
      </c>
      <c r="B5" s="37" t="inlineStr">
        <is>
          <t>CITY LINKS</t>
        </is>
      </c>
      <c r="C5" s="28" t="inlineStr"/>
    </row>
    <row r="6">
      <c r="A6" s="4" t="inlineStr">
        <is>
          <t>Company Short Name</t>
        </is>
      </c>
      <c r="B6" s="37" t="inlineStr">
        <is>
          <t>CL</t>
        </is>
      </c>
      <c r="C6" s="28" t="inlineStr"/>
    </row>
    <row r="7">
      <c r="A7" s="4" t="inlineStr">
        <is>
          <t>Tagline</t>
        </is>
      </c>
      <c r="B7" s="37" t="inlineStr">
        <is>
          <t>INTERNET SERVICE PROVIDER</t>
        </is>
      </c>
      <c r="C7" s="28" t="inlineStr"/>
    </row>
    <row r="8">
      <c r="A8" s="4" t="inlineStr">
        <is>
          <t>Company Phone (for statements)</t>
        </is>
      </c>
      <c r="B8" s="37" t="inlineStr"/>
      <c r="C8" s="28" t="inlineStr">
        <is>
          <t>Optional</t>
        </is>
      </c>
    </row>
    <row r="9">
      <c r="A9" s="4" t="inlineStr">
        <is>
          <t>Company Address (for statements)</t>
        </is>
      </c>
      <c r="B9" s="37" t="inlineStr"/>
      <c r="C9" s="28" t="inlineStr">
        <is>
          <t>Optional</t>
        </is>
      </c>
    </row>
    <row r="10">
      <c r="A10" s="4" t="inlineStr">
        <is>
          <t>Customer ID Prefix</t>
        </is>
      </c>
      <c r="B10" s="14" t="inlineStr">
        <is>
          <t>CL</t>
        </is>
      </c>
      <c r="C10" s="28" t="inlineStr">
        <is>
          <t>New IDs: PREFIX-0001. Existing IDs never change.</t>
        </is>
      </c>
    </row>
    <row r="11">
      <c r="A11" s="4" t="inlineStr">
        <is>
          <t>Customer ID Digits</t>
        </is>
      </c>
      <c r="B11" s="37" t="n">
        <v>4</v>
      </c>
      <c r="C11" s="28" t="inlineStr"/>
    </row>
    <row r="12">
      <c r="A12" s="4" t="inlineStr">
        <is>
          <t>Default Currency</t>
        </is>
      </c>
      <c r="B12" s="37" t="inlineStr">
        <is>
          <t>PKR</t>
        </is>
      </c>
      <c r="C12" s="28" t="inlineStr"/>
    </row>
    <row r="13">
      <c r="A13" s="4" t="inlineStr">
        <is>
          <t>Currency Symbol</t>
        </is>
      </c>
      <c r="B13" s="37" t="inlineStr">
        <is>
          <t>Rs.</t>
        </is>
      </c>
      <c r="C13" s="28" t="inlineStr"/>
    </row>
    <row r="14">
      <c r="A14" s="4" t="inlineStr">
        <is>
          <t>Default Language</t>
        </is>
      </c>
      <c r="B14" s="37" t="inlineStr">
        <is>
          <t>English</t>
        </is>
      </c>
      <c r="C14" s="28" t="inlineStr"/>
    </row>
    <row r="15">
      <c r="A15" s="4" t="inlineStr">
        <is>
          <t>Print Language</t>
        </is>
      </c>
      <c r="B15" s="37" t="inlineStr">
        <is>
          <t>English</t>
        </is>
      </c>
      <c r="C15" s="28" t="inlineStr">
        <is>
          <t>English or Urdu (RTL) print layout</t>
        </is>
      </c>
    </row>
    <row r="16">
      <c r="A16" s="4" t="inlineStr">
        <is>
          <t>Current Month</t>
        </is>
      </c>
      <c r="B16" s="14" t="inlineStr">
        <is>
          <t>2026-10</t>
        </is>
      </c>
      <c r="C16" s="28" t="inlineStr">
        <is>
          <t>Format YYYY-MM e.g. 2026-10</t>
        </is>
      </c>
    </row>
    <row r="17">
      <c r="A17" s="4" t="inlineStr">
        <is>
          <t>Date Format</t>
        </is>
      </c>
      <c r="B17" s="37" t="inlineStr">
        <is>
          <t>DD-MM-YYYY</t>
        </is>
      </c>
      <c r="C17" s="28" t="inlineStr">
        <is>
          <t>Used by the menu program for typing dates</t>
        </is>
      </c>
    </row>
    <row r="18">
      <c r="A18" s="4" t="inlineStr">
        <is>
          <t>Default Payment Method</t>
        </is>
      </c>
      <c r="B18" s="37" t="inlineStr">
        <is>
          <t>Cash</t>
        </is>
      </c>
      <c r="C18" s="28" t="inlineStr"/>
    </row>
    <row r="19">
      <c r="A19" s="4" t="inlineStr">
        <is>
          <t>Allow Negative Balance</t>
        </is>
      </c>
      <c r="B19" s="37" t="inlineStr">
        <is>
          <t>No</t>
        </is>
      </c>
      <c r="C19" s="28" t="inlineStr">
        <is>
          <t>No = overpayment shows in Excess Paid, Balance stays 0</t>
        </is>
      </c>
    </row>
    <row r="20">
      <c r="A20" s="4" t="inlineStr">
        <is>
          <t>Overdue Grace Days</t>
        </is>
      </c>
      <c r="B20" s="37" t="n">
        <v>0</v>
      </c>
      <c r="C20" s="28" t="inlineStr">
        <is>
          <t>Bill is OVERDUE when balance &gt; 0 and today &gt; due date + grace days</t>
        </is>
      </c>
    </row>
    <row r="21">
      <c r="A21" s="4" t="inlineStr">
        <is>
          <t>OCR Confidence Threshold (%)</t>
        </is>
      </c>
      <c r="B21" s="37" t="n">
        <v>90</v>
      </c>
      <c r="C21" s="28" t="inlineStr">
        <is>
          <t>Values below this always go to the Verification Queue</t>
        </is>
      </c>
    </row>
    <row r="22">
      <c r="A22" s="4" t="inlineStr">
        <is>
          <t>WhatsApp Country Code</t>
        </is>
      </c>
      <c r="B22" s="14" t="inlineStr">
        <is>
          <t>92</t>
        </is>
      </c>
      <c r="C22" s="28" t="inlineStr"/>
    </row>
    <row r="23" ht="48" customHeight="1">
      <c r="A23" s="4" t="inlineStr">
        <is>
          <t>WhatsApp Message</t>
        </is>
      </c>
      <c r="B23" s="88" t="inlineStr">
        <is>
          <t>Assalam-o-Alaikum.
Ye aapki CITY LINKS payment history/statement hai.
Barah-e-karam attached statement check kar lein.</t>
        </is>
      </c>
      <c r="C23" s="28" t="inlineStr"/>
    </row>
    <row r="24">
      <c r="A24" s="4" t="inlineStr">
        <is>
          <t>Default Paper Size</t>
        </is>
      </c>
      <c r="B24" s="37" t="inlineStr">
        <is>
          <t>A4</t>
        </is>
      </c>
      <c r="C24" s="28" t="inlineStr"/>
    </row>
    <row r="25">
      <c r="A25" s="4" t="inlineStr">
        <is>
          <t>Recovery List Orientation</t>
        </is>
      </c>
      <c r="B25" s="37" t="inlineStr">
        <is>
          <t>Landscape</t>
        </is>
      </c>
      <c r="C25" s="28" t="inlineStr"/>
    </row>
    <row r="26">
      <c r="A26" s="4" t="inlineStr">
        <is>
          <t>Workbook Type</t>
        </is>
      </c>
      <c r="B26" s="37" t="inlineStr">
        <is>
          <t>REAL DATA</t>
        </is>
      </c>
      <c r="C26" s="28" t="inlineStr">
        <is>
          <t>DEMO workbooks contain sample data only</t>
        </is>
      </c>
    </row>
  </sheetData>
  <dataValidations count="6">
    <dataValidation sqref="B14" showDropDown="0" showInputMessage="0" showErrorMessage="1" allowBlank="1" errorTitle="CITY LINKS" error="Choose English or Urdu." type="list">
      <formula1>L_Languages</formula1>
    </dataValidation>
    <dataValidation sqref="B15" showDropDown="0" showInputMessage="0" showErrorMessage="1" allowBlank="1" errorTitle="CITY LINKS" error="Choose English or Urdu." type="list">
      <formula1>L_Languages</formula1>
    </dataValidation>
    <dataValidation sqref="B16" showDropDown="0" showInputMessage="0" showErrorMessage="1" allowBlank="1" errorTitle="CITY LINKS" error="Choose a month in the format YYYY-MM, e.g. 2026-10." type="list">
      <formula1>L_Months</formula1>
    </dataValidation>
    <dataValidation sqref="B18" showDropDown="0" showInputMessage="0" showErrorMessage="1" allowBlank="1" errorTitle="CITY LINKS" error="Choose Cash, Bank, JazzCash, EasyPaisa or Other." type="list">
      <formula1>L_Methods</formula1>
    </dataValidation>
    <dataValidation sqref="B19" showDropDown="0" showInputMessage="0" showErrorMessage="1" allowBlank="1" errorTitle="CITY LINKS" error="Choose Yes or No." type="list">
      <formula1>L_YesNo</formula1>
    </dataValidation>
    <dataValidation sqref="B25" showDropDown="0" showInputMessage="0" showErrorMessage="1" allowBlank="1" errorTitle="CITY LINKS" error="Choose Landscape or Portrait." type="list">
      <formula1>"Landscape,Portrait"</formula1>
    </dataValidation>
  </dataValidations>
  <hyperlinks>
    <hyperlink ref="E1" location="'HOME'!A1" display="◄ HOME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3" t="inlineStr">
        <is>
          <t>LISTS (system)</t>
        </is>
      </c>
    </row>
    <row r="2">
      <c r="A2" s="16" t="inlineStr">
        <is>
          <t>Dropdown lists used by the workbook. Do not edit - change AREAS / LOCATION_CODES / PACKAGES / COLLECTORS instead.</t>
        </is>
      </c>
    </row>
    <row r="3">
      <c r="A3" s="5" t="inlineStr">
        <is>
          <t>L_CustStatus</t>
        </is>
      </c>
      <c r="B3" s="5" t="inlineStr">
        <is>
          <t>L_PayStatus</t>
        </is>
      </c>
      <c r="C3" s="5" t="inlineStr">
        <is>
          <t>L_Methods</t>
        </is>
      </c>
      <c r="D3" s="5" t="inlineStr">
        <is>
          <t>L_YesNo</t>
        </is>
      </c>
      <c r="E3" s="5" t="inlineStr">
        <is>
          <t>L_EventTypes</t>
        </is>
      </c>
      <c r="F3" s="5" t="inlineStr">
        <is>
          <t>L_AssignStatus</t>
        </is>
      </c>
      <c r="G3" s="5" t="inlineStr">
        <is>
          <t>L_Languages</t>
        </is>
      </c>
      <c r="H3" s="5" t="inlineStr">
        <is>
          <t>L_PrintModes</t>
        </is>
      </c>
      <c r="I3" s="5" t="inlineStr">
        <is>
          <t>L_PrintStatuses</t>
        </is>
      </c>
      <c r="J3" s="5" t="inlineStr">
        <is>
          <t>L_PrintStatusLabels</t>
        </is>
      </c>
      <c r="K3" s="5" t="inlineStr">
        <is>
          <t>L_SearchTypes</t>
        </is>
      </c>
      <c r="L3" s="5" t="inlineStr">
        <is>
          <t>L_Months</t>
        </is>
      </c>
      <c r="M3" s="5" t="inlineStr">
        <is>
          <t>L_MonthsAll</t>
        </is>
      </c>
      <c r="N3" s="5" t="inlineStr">
        <is>
          <t>L_DueDaysAll</t>
        </is>
      </c>
      <c r="O3" s="5" t="inlineStr">
        <is>
          <t>L_AreaCodes</t>
        </is>
      </c>
      <c r="P3" s="5" t="inlineStr">
        <is>
          <t>L_AreaNamesAll</t>
        </is>
      </c>
      <c r="Q3" s="5" t="inlineStr">
        <is>
          <t>L_LocCodes</t>
        </is>
      </c>
      <c r="R3" s="5" t="inlineStr">
        <is>
          <t>L_LocCodesAll</t>
        </is>
      </c>
      <c r="S3" s="5" t="inlineStr">
        <is>
          <t>L_Packages</t>
        </is>
      </c>
      <c r="T3" s="5" t="inlineStr">
        <is>
          <t>L_CollectorIDs</t>
        </is>
      </c>
      <c r="U3" s="5" t="inlineStr">
        <is>
          <t>L_CollectorNamesAll</t>
        </is>
      </c>
      <c r="V3" s="5" t="inlineStr">
        <is>
          <t>L_CustomerIDs</t>
        </is>
      </c>
    </row>
    <row r="4">
      <c r="A4" s="32" t="inlineStr">
        <is>
          <t>Active</t>
        </is>
      </c>
      <c r="B4" s="32" t="inlineStr">
        <is>
          <t>PAID</t>
        </is>
      </c>
      <c r="C4" s="32" t="inlineStr">
        <is>
          <t>Cash</t>
        </is>
      </c>
      <c r="D4" s="32" t="inlineStr">
        <is>
          <t>Yes</t>
        </is>
      </c>
      <c r="E4" s="32" t="inlineStr">
        <is>
          <t>New Connection</t>
        </is>
      </c>
      <c r="F4" s="32" t="inlineStr">
        <is>
          <t>Assigned</t>
        </is>
      </c>
      <c r="G4" s="32" t="inlineStr">
        <is>
          <t>English</t>
        </is>
      </c>
      <c r="H4" s="32" t="inlineStr">
        <is>
          <t>Area-wise Recovery</t>
        </is>
      </c>
      <c r="I4" s="32" t="inlineStr">
        <is>
          <t>All</t>
        </is>
      </c>
      <c r="J4" s="32" t="inlineStr"/>
      <c r="K4" s="32" t="inlineStr">
        <is>
          <t>Customer ID</t>
        </is>
      </c>
      <c r="L4" s="32" t="inlineStr">
        <is>
          <t>2024-01</t>
        </is>
      </c>
      <c r="M4" s="32" t="inlineStr">
        <is>
          <t>All</t>
        </is>
      </c>
      <c r="N4" s="32" t="inlineStr">
        <is>
          <t>All</t>
        </is>
      </c>
      <c r="O4">
        <f>IFERROR(INDEX(tblAreas[Area Code],1)&amp;"","")</f>
        <v/>
      </c>
      <c r="P4" t="inlineStr">
        <is>
          <t>All</t>
        </is>
      </c>
      <c r="Q4">
        <f>IFERROR(INDEX(tblLocations[Location Code],1)&amp;"","")</f>
        <v/>
      </c>
      <c r="R4" t="inlineStr">
        <is>
          <t>All</t>
        </is>
      </c>
      <c r="S4">
        <f>IFERROR(INDEX(tblPackages[Package Name],1)&amp;"","")</f>
        <v/>
      </c>
      <c r="T4">
        <f>IFERROR(INDEX(tblCollectors[Collector ID],1)&amp;"","")</f>
        <v/>
      </c>
      <c r="U4" t="inlineStr">
        <is>
          <t>All</t>
        </is>
      </c>
      <c r="V4">
        <f>IFERROR(INDEX(tblCustomers[Customer ID],1)&amp;"","")</f>
        <v/>
      </c>
    </row>
    <row r="5">
      <c r="A5" s="32" t="inlineStr">
        <is>
          <t>Suspended</t>
        </is>
      </c>
      <c r="B5" s="32" t="inlineStr">
        <is>
          <t>PARTIAL</t>
        </is>
      </c>
      <c r="C5" s="32" t="inlineStr">
        <is>
          <t>Bank</t>
        </is>
      </c>
      <c r="D5" s="32" t="inlineStr">
        <is>
          <t>No</t>
        </is>
      </c>
      <c r="E5" s="32" t="inlineStr">
        <is>
          <t>Package Change</t>
        </is>
      </c>
      <c r="F5" s="32" t="inlineStr">
        <is>
          <t>Completed</t>
        </is>
      </c>
      <c r="G5" s="32" t="inlineStr">
        <is>
          <t>Urdu</t>
        </is>
      </c>
      <c r="H5" s="32" t="inlineStr">
        <is>
          <t>Street-wise Recovery</t>
        </is>
      </c>
      <c r="I5" s="32" t="inlineStr">
        <is>
          <t>UNPAID</t>
        </is>
      </c>
      <c r="J5" s="32" t="inlineStr">
        <is>
          <t>Pending</t>
        </is>
      </c>
      <c r="K5" s="32" t="inlineStr">
        <is>
          <t>Customer Name</t>
        </is>
      </c>
      <c r="L5" s="32" t="inlineStr">
        <is>
          <t>2024-02</t>
        </is>
      </c>
      <c r="M5" s="32" t="inlineStr">
        <is>
          <t>2024-01</t>
        </is>
      </c>
      <c r="N5" t="n">
        <v>1</v>
      </c>
      <c r="O5">
        <f>IFERROR(INDEX(tblAreas[Area Code],2)&amp;"","")</f>
        <v/>
      </c>
      <c r="P5">
        <f>IFERROR(INDEX(tblAreas[Area Name],1)&amp;"","")</f>
        <v/>
      </c>
      <c r="Q5">
        <f>IFERROR(INDEX(tblLocations[Location Code],2)&amp;"","")</f>
        <v/>
      </c>
      <c r="R5">
        <f>IFERROR(INDEX(tblLocations[Location Code],1)&amp;"","")</f>
        <v/>
      </c>
      <c r="S5">
        <f>IFERROR(INDEX(tblPackages[Package Name],2)&amp;"","")</f>
        <v/>
      </c>
      <c r="T5">
        <f>IFERROR(INDEX(tblCollectors[Collector ID],2)&amp;"","")</f>
        <v/>
      </c>
      <c r="U5" t="inlineStr">
        <is>
          <t>Unassigned</t>
        </is>
      </c>
      <c r="V5">
        <f>IFERROR(INDEX(tblCustomers[Customer ID],2)&amp;"","")</f>
        <v/>
      </c>
    </row>
    <row r="6">
      <c r="A6" s="32" t="inlineStr">
        <is>
          <t>Disconnected</t>
        </is>
      </c>
      <c r="B6" s="32" t="inlineStr">
        <is>
          <t>PENDING</t>
        </is>
      </c>
      <c r="C6" s="32" t="inlineStr">
        <is>
          <t>JazzCash</t>
        </is>
      </c>
      <c r="E6" s="32" t="inlineStr">
        <is>
          <t>VLAN Change</t>
        </is>
      </c>
      <c r="F6" s="32" t="inlineStr">
        <is>
          <t>Reassigned</t>
        </is>
      </c>
      <c r="H6" s="32" t="inlineStr">
        <is>
          <t>Collector-wise Recovery</t>
        </is>
      </c>
      <c r="I6" s="32" t="inlineStr">
        <is>
          <t>PENDING</t>
        </is>
      </c>
      <c r="J6" s="32" t="inlineStr">
        <is>
          <t>Unpaid (Pending)</t>
        </is>
      </c>
      <c r="K6" s="32" t="inlineStr">
        <is>
          <t>Mobile Number</t>
        </is>
      </c>
      <c r="L6" s="32" t="inlineStr">
        <is>
          <t>2024-03</t>
        </is>
      </c>
      <c r="M6" s="32" t="inlineStr">
        <is>
          <t>2024-02</t>
        </is>
      </c>
      <c r="N6" t="n">
        <v>2</v>
      </c>
      <c r="O6">
        <f>IFERROR(INDEX(tblAreas[Area Code],3)&amp;"","")</f>
        <v/>
      </c>
      <c r="P6">
        <f>IFERROR(INDEX(tblAreas[Area Name],2)&amp;"","")</f>
        <v/>
      </c>
      <c r="Q6">
        <f>IFERROR(INDEX(tblLocations[Location Code],3)&amp;"","")</f>
        <v/>
      </c>
      <c r="R6">
        <f>IFERROR(INDEX(tblLocations[Location Code],2)&amp;"","")</f>
        <v/>
      </c>
      <c r="S6">
        <f>IFERROR(INDEX(tblPackages[Package Name],3)&amp;"","")</f>
        <v/>
      </c>
      <c r="T6">
        <f>IFERROR(INDEX(tblCollectors[Collector ID],3)&amp;"","")</f>
        <v/>
      </c>
      <c r="U6">
        <f>IFERROR(INDEX(tblCollectors[Collector Name],1)&amp;"","")</f>
        <v/>
      </c>
      <c r="V6">
        <f>IFERROR(INDEX(tblCustomers[Customer ID],3)&amp;"","")</f>
        <v/>
      </c>
    </row>
    <row r="7">
      <c r="A7" s="32" t="inlineStr">
        <is>
          <t>On Hold</t>
        </is>
      </c>
      <c r="C7" s="32" t="inlineStr">
        <is>
          <t>EasyPaisa</t>
        </is>
      </c>
      <c r="E7" s="32" t="inlineStr">
        <is>
          <t>Address Change</t>
        </is>
      </c>
      <c r="F7" s="32" t="inlineStr">
        <is>
          <t>Cancelled</t>
        </is>
      </c>
      <c r="H7" s="32" t="inlineStr">
        <is>
          <t>Due-Date-wise Recovery</t>
        </is>
      </c>
      <c r="I7" s="32" t="inlineStr">
        <is>
          <t>PARTIAL</t>
        </is>
      </c>
      <c r="J7" s="32" t="inlineStr">
        <is>
          <t>Partial Payment</t>
        </is>
      </c>
      <c r="K7" s="32" t="inlineStr">
        <is>
          <t>VLAN ID</t>
        </is>
      </c>
      <c r="L7" s="32" t="inlineStr">
        <is>
          <t>2024-04</t>
        </is>
      </c>
      <c r="M7" s="32" t="inlineStr">
        <is>
          <t>2024-03</t>
        </is>
      </c>
      <c r="N7" t="n">
        <v>3</v>
      </c>
      <c r="O7">
        <f>IFERROR(INDEX(tblAreas[Area Code],4)&amp;"","")</f>
        <v/>
      </c>
      <c r="P7">
        <f>IFERROR(INDEX(tblAreas[Area Name],3)&amp;"","")</f>
        <v/>
      </c>
      <c r="Q7">
        <f>IFERROR(INDEX(tblLocations[Location Code],4)&amp;"","")</f>
        <v/>
      </c>
      <c r="R7">
        <f>IFERROR(INDEX(tblLocations[Location Code],3)&amp;"","")</f>
        <v/>
      </c>
      <c r="S7">
        <f>IFERROR(INDEX(tblPackages[Package Name],4)&amp;"","")</f>
        <v/>
      </c>
      <c r="T7">
        <f>IFERROR(INDEX(tblCollectors[Collector ID],4)&amp;"","")</f>
        <v/>
      </c>
      <c r="U7">
        <f>IFERROR(INDEX(tblCollectors[Collector Name],2)&amp;"","")</f>
        <v/>
      </c>
      <c r="V7">
        <f>IFERROR(INDEX(tblCustomers[Customer ID],4)&amp;"","")</f>
        <v/>
      </c>
    </row>
    <row r="8">
      <c r="C8" s="32" t="inlineStr">
        <is>
          <t>Other</t>
        </is>
      </c>
      <c r="E8" s="32" t="inlineStr">
        <is>
          <t>Location Change</t>
        </is>
      </c>
      <c r="H8" s="32" t="inlineStr">
        <is>
          <t>Pending Recovery</t>
        </is>
      </c>
      <c r="I8" s="32" t="inlineStr">
        <is>
          <t>PAID</t>
        </is>
      </c>
      <c r="J8" s="32" t="inlineStr">
        <is>
          <t>Paid</t>
        </is>
      </c>
      <c r="K8" s="32" t="inlineStr">
        <is>
          <t>Location Code</t>
        </is>
      </c>
      <c r="L8" s="32" t="inlineStr">
        <is>
          <t>2024-05</t>
        </is>
      </c>
      <c r="M8" s="32" t="inlineStr">
        <is>
          <t>2024-04</t>
        </is>
      </c>
      <c r="N8" t="n">
        <v>4</v>
      </c>
      <c r="O8">
        <f>IFERROR(INDEX(tblAreas[Area Code],5)&amp;"","")</f>
        <v/>
      </c>
      <c r="P8">
        <f>IFERROR(INDEX(tblAreas[Area Name],4)&amp;"","")</f>
        <v/>
      </c>
      <c r="Q8">
        <f>IFERROR(INDEX(tblLocations[Location Code],5)&amp;"","")</f>
        <v/>
      </c>
      <c r="R8">
        <f>IFERROR(INDEX(tblLocations[Location Code],4)&amp;"","")</f>
        <v/>
      </c>
      <c r="S8">
        <f>IFERROR(INDEX(tblPackages[Package Name],5)&amp;"","")</f>
        <v/>
      </c>
      <c r="T8">
        <f>IFERROR(INDEX(tblCollectors[Collector ID],5)&amp;"","")</f>
        <v/>
      </c>
      <c r="U8">
        <f>IFERROR(INDEX(tblCollectors[Collector Name],3)&amp;"","")</f>
        <v/>
      </c>
      <c r="V8">
        <f>IFERROR(INDEX(tblCustomers[Customer ID],5)&amp;"","")</f>
        <v/>
      </c>
    </row>
    <row r="9">
      <c r="E9" s="32" t="inlineStr">
        <is>
          <t>Fee Change</t>
        </is>
      </c>
      <c r="H9" s="32" t="inlineStr">
        <is>
          <t>Partial Payment Recovery</t>
        </is>
      </c>
      <c r="I9" s="32" t="inlineStr">
        <is>
          <t>OVERDUE</t>
        </is>
      </c>
      <c r="J9" s="32" t="inlineStr">
        <is>
          <t>Overdue</t>
        </is>
      </c>
      <c r="K9" s="32" t="inlineStr">
        <is>
          <t>Area</t>
        </is>
      </c>
      <c r="L9" s="32" t="inlineStr">
        <is>
          <t>2024-06</t>
        </is>
      </c>
      <c r="M9" s="32" t="inlineStr">
        <is>
          <t>2024-05</t>
        </is>
      </c>
      <c r="N9" t="n">
        <v>5</v>
      </c>
      <c r="O9">
        <f>IFERROR(INDEX(tblAreas[Area Code],6)&amp;"","")</f>
        <v/>
      </c>
      <c r="P9">
        <f>IFERROR(INDEX(tblAreas[Area Name],5)&amp;"","")</f>
        <v/>
      </c>
      <c r="Q9">
        <f>IFERROR(INDEX(tblLocations[Location Code],6)&amp;"","")</f>
        <v/>
      </c>
      <c r="R9">
        <f>IFERROR(INDEX(tblLocations[Location Code],5)&amp;"","")</f>
        <v/>
      </c>
      <c r="S9">
        <f>IFERROR(INDEX(tblPackages[Package Name],6)&amp;"","")</f>
        <v/>
      </c>
      <c r="T9">
        <f>IFERROR(INDEX(tblCollectors[Collector ID],6)&amp;"","")</f>
        <v/>
      </c>
      <c r="U9">
        <f>IFERROR(INDEX(tblCollectors[Collector Name],4)&amp;"","")</f>
        <v/>
      </c>
      <c r="V9">
        <f>IFERROR(INDEX(tblCustomers[Customer ID],6)&amp;"","")</f>
        <v/>
      </c>
    </row>
    <row r="10">
      <c r="E10" s="32" t="inlineStr">
        <is>
          <t>Due Date Change</t>
        </is>
      </c>
      <c r="H10" s="32" t="inlineStr">
        <is>
          <t>Custom Filtered Recovery</t>
        </is>
      </c>
      <c r="K10" s="32" t="inlineStr">
        <is>
          <t>Any Field</t>
        </is>
      </c>
      <c r="L10" s="32" t="inlineStr">
        <is>
          <t>2024-07</t>
        </is>
      </c>
      <c r="M10" s="32" t="inlineStr">
        <is>
          <t>2024-06</t>
        </is>
      </c>
      <c r="N10" t="n">
        <v>6</v>
      </c>
      <c r="O10">
        <f>IFERROR(INDEX(tblAreas[Area Code],7)&amp;"","")</f>
        <v/>
      </c>
      <c r="P10">
        <f>IFERROR(INDEX(tblAreas[Area Name],6)&amp;"","")</f>
        <v/>
      </c>
      <c r="Q10">
        <f>IFERROR(INDEX(tblLocations[Location Code],7)&amp;"","")</f>
        <v/>
      </c>
      <c r="R10">
        <f>IFERROR(INDEX(tblLocations[Location Code],6)&amp;"","")</f>
        <v/>
      </c>
      <c r="S10">
        <f>IFERROR(INDEX(tblPackages[Package Name],7)&amp;"","")</f>
        <v/>
      </c>
      <c r="T10">
        <f>IFERROR(INDEX(tblCollectors[Collector ID],7)&amp;"","")</f>
        <v/>
      </c>
      <c r="U10">
        <f>IFERROR(INDEX(tblCollectors[Collector Name],5)&amp;"","")</f>
        <v/>
      </c>
      <c r="V10">
        <f>IFERROR(INDEX(tblCustomers[Customer ID],7)&amp;"","")</f>
        <v/>
      </c>
    </row>
    <row r="11">
      <c r="E11" s="32" t="inlineStr">
        <is>
          <t>Mobile Change</t>
        </is>
      </c>
      <c r="L11" s="32" t="inlineStr">
        <is>
          <t>2024-08</t>
        </is>
      </c>
      <c r="M11" s="32" t="inlineStr">
        <is>
          <t>2024-07</t>
        </is>
      </c>
      <c r="N11" t="n">
        <v>7</v>
      </c>
      <c r="O11">
        <f>IFERROR(INDEX(tblAreas[Area Code],8)&amp;"","")</f>
        <v/>
      </c>
      <c r="P11">
        <f>IFERROR(INDEX(tblAreas[Area Name],7)&amp;"","")</f>
        <v/>
      </c>
      <c r="Q11">
        <f>IFERROR(INDEX(tblLocations[Location Code],8)&amp;"","")</f>
        <v/>
      </c>
      <c r="R11">
        <f>IFERROR(INDEX(tblLocations[Location Code],7)&amp;"","")</f>
        <v/>
      </c>
      <c r="S11">
        <f>IFERROR(INDEX(tblPackages[Package Name],8)&amp;"","")</f>
        <v/>
      </c>
      <c r="T11">
        <f>IFERROR(INDEX(tblCollectors[Collector ID],8)&amp;"","")</f>
        <v/>
      </c>
      <c r="U11">
        <f>IFERROR(INDEX(tblCollectors[Collector Name],6)&amp;"","")</f>
        <v/>
      </c>
      <c r="V11">
        <f>IFERROR(INDEX(tblCustomers[Customer ID],8)&amp;"","")</f>
        <v/>
      </c>
    </row>
    <row r="12">
      <c r="E12" s="32" t="inlineStr">
        <is>
          <t>Name Change</t>
        </is>
      </c>
      <c r="L12" s="32" t="inlineStr">
        <is>
          <t>2024-09</t>
        </is>
      </c>
      <c r="M12" s="32" t="inlineStr">
        <is>
          <t>2024-08</t>
        </is>
      </c>
      <c r="N12" t="n">
        <v>8</v>
      </c>
      <c r="O12">
        <f>IFERROR(INDEX(tblAreas[Area Code],9)&amp;"","")</f>
        <v/>
      </c>
      <c r="P12">
        <f>IFERROR(INDEX(tblAreas[Area Name],8)&amp;"","")</f>
        <v/>
      </c>
      <c r="Q12">
        <f>IFERROR(INDEX(tblLocations[Location Code],9)&amp;"","")</f>
        <v/>
      </c>
      <c r="R12">
        <f>IFERROR(INDEX(tblLocations[Location Code],8)&amp;"","")</f>
        <v/>
      </c>
      <c r="S12">
        <f>IFERROR(INDEX(tblPackages[Package Name],9)&amp;"","")</f>
        <v/>
      </c>
      <c r="T12">
        <f>IFERROR(INDEX(tblCollectors[Collector ID],9)&amp;"","")</f>
        <v/>
      </c>
      <c r="U12">
        <f>IFERROR(INDEX(tblCollectors[Collector Name],7)&amp;"","")</f>
        <v/>
      </c>
      <c r="V12">
        <f>IFERROR(INDEX(tblCustomers[Customer ID],9)&amp;"","")</f>
        <v/>
      </c>
    </row>
    <row r="13">
      <c r="E13" s="32" t="inlineStr">
        <is>
          <t>Status Change</t>
        </is>
      </c>
      <c r="L13" s="32" t="inlineStr">
        <is>
          <t>2024-10</t>
        </is>
      </c>
      <c r="M13" s="32" t="inlineStr">
        <is>
          <t>2024-09</t>
        </is>
      </c>
      <c r="N13" t="n">
        <v>9</v>
      </c>
      <c r="O13">
        <f>IFERROR(INDEX(tblAreas[Area Code],10)&amp;"","")</f>
        <v/>
      </c>
      <c r="P13">
        <f>IFERROR(INDEX(tblAreas[Area Name],9)&amp;"","")</f>
        <v/>
      </c>
      <c r="Q13">
        <f>IFERROR(INDEX(tblLocations[Location Code],10)&amp;"","")</f>
        <v/>
      </c>
      <c r="R13">
        <f>IFERROR(INDEX(tblLocations[Location Code],9)&amp;"","")</f>
        <v/>
      </c>
      <c r="S13">
        <f>IFERROR(INDEX(tblPackages[Package Name],10)&amp;"","")</f>
        <v/>
      </c>
      <c r="T13">
        <f>IFERROR(INDEX(tblCollectors[Collector ID],10)&amp;"","")</f>
        <v/>
      </c>
      <c r="U13">
        <f>IFERROR(INDEX(tblCollectors[Collector Name],8)&amp;"","")</f>
        <v/>
      </c>
      <c r="V13">
        <f>IFERROR(INDEX(tblCustomers[Customer ID],10)&amp;"","")</f>
        <v/>
      </c>
    </row>
    <row r="14">
      <c r="E14" s="32" t="inlineStr">
        <is>
          <t>Suspension</t>
        </is>
      </c>
      <c r="L14" s="32" t="inlineStr">
        <is>
          <t>2024-11</t>
        </is>
      </c>
      <c r="M14" s="32" t="inlineStr">
        <is>
          <t>2024-10</t>
        </is>
      </c>
      <c r="N14" t="n">
        <v>10</v>
      </c>
      <c r="O14">
        <f>IFERROR(INDEX(tblAreas[Area Code],11)&amp;"","")</f>
        <v/>
      </c>
      <c r="P14">
        <f>IFERROR(INDEX(tblAreas[Area Name],10)&amp;"","")</f>
        <v/>
      </c>
      <c r="Q14">
        <f>IFERROR(INDEX(tblLocations[Location Code],11)&amp;"","")</f>
        <v/>
      </c>
      <c r="R14">
        <f>IFERROR(INDEX(tblLocations[Location Code],10)&amp;"","")</f>
        <v/>
      </c>
      <c r="S14">
        <f>IFERROR(INDEX(tblPackages[Package Name],11)&amp;"","")</f>
        <v/>
      </c>
      <c r="T14">
        <f>IFERROR(INDEX(tblCollectors[Collector ID],11)&amp;"","")</f>
        <v/>
      </c>
      <c r="U14">
        <f>IFERROR(INDEX(tblCollectors[Collector Name],9)&amp;"","")</f>
        <v/>
      </c>
      <c r="V14">
        <f>IFERROR(INDEX(tblCustomers[Customer ID],11)&amp;"","")</f>
        <v/>
      </c>
    </row>
    <row r="15">
      <c r="E15" s="32" t="inlineStr">
        <is>
          <t>Reactivation</t>
        </is>
      </c>
      <c r="L15" s="32" t="inlineStr">
        <is>
          <t>2024-12</t>
        </is>
      </c>
      <c r="M15" s="32" t="inlineStr">
        <is>
          <t>2024-11</t>
        </is>
      </c>
      <c r="N15" t="n">
        <v>11</v>
      </c>
      <c r="O15">
        <f>IFERROR(INDEX(tblAreas[Area Code],12)&amp;"","")</f>
        <v/>
      </c>
      <c r="P15">
        <f>IFERROR(INDEX(tblAreas[Area Name],11)&amp;"","")</f>
        <v/>
      </c>
      <c r="Q15">
        <f>IFERROR(INDEX(tblLocations[Location Code],12)&amp;"","")</f>
        <v/>
      </c>
      <c r="R15">
        <f>IFERROR(INDEX(tblLocations[Location Code],11)&amp;"","")</f>
        <v/>
      </c>
      <c r="S15">
        <f>IFERROR(INDEX(tblPackages[Package Name],12)&amp;"","")</f>
        <v/>
      </c>
      <c r="T15">
        <f>IFERROR(INDEX(tblCollectors[Collector ID],12)&amp;"","")</f>
        <v/>
      </c>
      <c r="U15">
        <f>IFERROR(INDEX(tblCollectors[Collector Name],10)&amp;"","")</f>
        <v/>
      </c>
      <c r="V15">
        <f>IFERROR(INDEX(tblCustomers[Customer ID],12)&amp;"","")</f>
        <v/>
      </c>
    </row>
    <row r="16">
      <c r="E16" s="32" t="inlineStr">
        <is>
          <t>Disconnection</t>
        </is>
      </c>
      <c r="L16" s="32" t="inlineStr">
        <is>
          <t>2025-01</t>
        </is>
      </c>
      <c r="M16" s="32" t="inlineStr">
        <is>
          <t>2024-12</t>
        </is>
      </c>
      <c r="N16" t="n">
        <v>12</v>
      </c>
      <c r="O16">
        <f>IFERROR(INDEX(tblAreas[Area Code],13)&amp;"","")</f>
        <v/>
      </c>
      <c r="P16">
        <f>IFERROR(INDEX(tblAreas[Area Name],12)&amp;"","")</f>
        <v/>
      </c>
      <c r="Q16">
        <f>IFERROR(INDEX(tblLocations[Location Code],13)&amp;"","")</f>
        <v/>
      </c>
      <c r="R16">
        <f>IFERROR(INDEX(tblLocations[Location Code],12)&amp;"","")</f>
        <v/>
      </c>
      <c r="S16">
        <f>IFERROR(INDEX(tblPackages[Package Name],13)&amp;"","")</f>
        <v/>
      </c>
      <c r="T16">
        <f>IFERROR(INDEX(tblCollectors[Collector ID],13)&amp;"","")</f>
        <v/>
      </c>
      <c r="U16">
        <f>IFERROR(INDEX(tblCollectors[Collector Name],11)&amp;"","")</f>
        <v/>
      </c>
      <c r="V16">
        <f>IFERROR(INDEX(tblCustomers[Customer ID],13)&amp;"","")</f>
        <v/>
      </c>
    </row>
    <row r="17">
      <c r="E17" s="32" t="inlineStr">
        <is>
          <t>Collector Change</t>
        </is>
      </c>
      <c r="L17" s="32" t="inlineStr">
        <is>
          <t>2025-02</t>
        </is>
      </c>
      <c r="M17" s="32" t="inlineStr">
        <is>
          <t>2025-01</t>
        </is>
      </c>
      <c r="N17" t="n">
        <v>13</v>
      </c>
      <c r="O17">
        <f>IFERROR(INDEX(tblAreas[Area Code],14)&amp;"","")</f>
        <v/>
      </c>
      <c r="P17">
        <f>IFERROR(INDEX(tblAreas[Area Name],13)&amp;"","")</f>
        <v/>
      </c>
      <c r="Q17">
        <f>IFERROR(INDEX(tblLocations[Location Code],14)&amp;"","")</f>
        <v/>
      </c>
      <c r="R17">
        <f>IFERROR(INDEX(tblLocations[Location Code],13)&amp;"","")</f>
        <v/>
      </c>
      <c r="S17">
        <f>IFERROR(INDEX(tblPackages[Package Name],14)&amp;"","")</f>
        <v/>
      </c>
      <c r="T17">
        <f>IFERROR(INDEX(tblCollectors[Collector ID],14)&amp;"","")</f>
        <v/>
      </c>
      <c r="U17">
        <f>IFERROR(INDEX(tblCollectors[Collector Name],12)&amp;"","")</f>
        <v/>
      </c>
      <c r="V17">
        <f>IFERROR(INDEX(tblCustomers[Customer ID],14)&amp;"","")</f>
        <v/>
      </c>
    </row>
    <row r="18">
      <c r="E18" s="32" t="inlineStr">
        <is>
          <t>Other</t>
        </is>
      </c>
      <c r="L18" s="32" t="inlineStr">
        <is>
          <t>2025-03</t>
        </is>
      </c>
      <c r="M18" s="32" t="inlineStr">
        <is>
          <t>2025-02</t>
        </is>
      </c>
      <c r="N18" t="n">
        <v>14</v>
      </c>
      <c r="O18">
        <f>IFERROR(INDEX(tblAreas[Area Code],15)&amp;"","")</f>
        <v/>
      </c>
      <c r="P18">
        <f>IFERROR(INDEX(tblAreas[Area Name],14)&amp;"","")</f>
        <v/>
      </c>
      <c r="Q18">
        <f>IFERROR(INDEX(tblLocations[Location Code],15)&amp;"","")</f>
        <v/>
      </c>
      <c r="R18">
        <f>IFERROR(INDEX(tblLocations[Location Code],14)&amp;"","")</f>
        <v/>
      </c>
      <c r="S18">
        <f>IFERROR(INDEX(tblPackages[Package Name],15)&amp;"","")</f>
        <v/>
      </c>
      <c r="T18">
        <f>IFERROR(INDEX(tblCollectors[Collector ID],15)&amp;"","")</f>
        <v/>
      </c>
      <c r="U18">
        <f>IFERROR(INDEX(tblCollectors[Collector Name],13)&amp;"","")</f>
        <v/>
      </c>
      <c r="V18">
        <f>IFERROR(INDEX(tblCustomers[Customer ID],15)&amp;"","")</f>
        <v/>
      </c>
    </row>
    <row r="19">
      <c r="L19" s="32" t="inlineStr">
        <is>
          <t>2025-04</t>
        </is>
      </c>
      <c r="M19" s="32" t="inlineStr">
        <is>
          <t>2025-03</t>
        </is>
      </c>
      <c r="N19" t="n">
        <v>15</v>
      </c>
      <c r="O19">
        <f>IFERROR(INDEX(tblAreas[Area Code],16)&amp;"","")</f>
        <v/>
      </c>
      <c r="P19">
        <f>IFERROR(INDEX(tblAreas[Area Name],15)&amp;"","")</f>
        <v/>
      </c>
      <c r="Q19">
        <f>IFERROR(INDEX(tblLocations[Location Code],16)&amp;"","")</f>
        <v/>
      </c>
      <c r="R19">
        <f>IFERROR(INDEX(tblLocations[Location Code],15)&amp;"","")</f>
        <v/>
      </c>
      <c r="S19">
        <f>IFERROR(INDEX(tblPackages[Package Name],16)&amp;"","")</f>
        <v/>
      </c>
      <c r="T19">
        <f>IFERROR(INDEX(tblCollectors[Collector ID],16)&amp;"","")</f>
        <v/>
      </c>
      <c r="U19">
        <f>IFERROR(INDEX(tblCollectors[Collector Name],14)&amp;"","")</f>
        <v/>
      </c>
      <c r="V19">
        <f>IFERROR(INDEX(tblCustomers[Customer ID],16)&amp;"","")</f>
        <v/>
      </c>
    </row>
    <row r="20">
      <c r="L20" s="32" t="inlineStr">
        <is>
          <t>2025-05</t>
        </is>
      </c>
      <c r="M20" s="32" t="inlineStr">
        <is>
          <t>2025-04</t>
        </is>
      </c>
      <c r="N20" t="n">
        <v>16</v>
      </c>
      <c r="O20">
        <f>IFERROR(INDEX(tblAreas[Area Code],17)&amp;"","")</f>
        <v/>
      </c>
      <c r="P20">
        <f>IFERROR(INDEX(tblAreas[Area Name],16)&amp;"","")</f>
        <v/>
      </c>
      <c r="Q20">
        <f>IFERROR(INDEX(tblLocations[Location Code],17)&amp;"","")</f>
        <v/>
      </c>
      <c r="R20">
        <f>IFERROR(INDEX(tblLocations[Location Code],16)&amp;"","")</f>
        <v/>
      </c>
      <c r="S20">
        <f>IFERROR(INDEX(tblPackages[Package Name],17)&amp;"","")</f>
        <v/>
      </c>
      <c r="T20">
        <f>IFERROR(INDEX(tblCollectors[Collector ID],17)&amp;"","")</f>
        <v/>
      </c>
      <c r="U20">
        <f>IFERROR(INDEX(tblCollectors[Collector Name],15)&amp;"","")</f>
        <v/>
      </c>
      <c r="V20">
        <f>IFERROR(INDEX(tblCustomers[Customer ID],17)&amp;"","")</f>
        <v/>
      </c>
    </row>
    <row r="21">
      <c r="L21" s="32" t="inlineStr">
        <is>
          <t>2025-06</t>
        </is>
      </c>
      <c r="M21" s="32" t="inlineStr">
        <is>
          <t>2025-05</t>
        </is>
      </c>
      <c r="N21" t="n">
        <v>17</v>
      </c>
      <c r="O21">
        <f>IFERROR(INDEX(tblAreas[Area Code],18)&amp;"","")</f>
        <v/>
      </c>
      <c r="P21">
        <f>IFERROR(INDEX(tblAreas[Area Name],17)&amp;"","")</f>
        <v/>
      </c>
      <c r="Q21">
        <f>IFERROR(INDEX(tblLocations[Location Code],18)&amp;"","")</f>
        <v/>
      </c>
      <c r="R21">
        <f>IFERROR(INDEX(tblLocations[Location Code],17)&amp;"","")</f>
        <v/>
      </c>
      <c r="S21">
        <f>IFERROR(INDEX(tblPackages[Package Name],18)&amp;"","")</f>
        <v/>
      </c>
      <c r="T21">
        <f>IFERROR(INDEX(tblCollectors[Collector ID],18)&amp;"","")</f>
        <v/>
      </c>
      <c r="U21">
        <f>IFERROR(INDEX(tblCollectors[Collector Name],16)&amp;"","")</f>
        <v/>
      </c>
      <c r="V21">
        <f>IFERROR(INDEX(tblCustomers[Customer ID],18)&amp;"","")</f>
        <v/>
      </c>
    </row>
    <row r="22">
      <c r="L22" s="32" t="inlineStr">
        <is>
          <t>2025-07</t>
        </is>
      </c>
      <c r="M22" s="32" t="inlineStr">
        <is>
          <t>2025-06</t>
        </is>
      </c>
      <c r="N22" t="n">
        <v>18</v>
      </c>
      <c r="O22">
        <f>IFERROR(INDEX(tblAreas[Area Code],19)&amp;"","")</f>
        <v/>
      </c>
      <c r="P22">
        <f>IFERROR(INDEX(tblAreas[Area Name],18)&amp;"","")</f>
        <v/>
      </c>
      <c r="Q22">
        <f>IFERROR(INDEX(tblLocations[Location Code],19)&amp;"","")</f>
        <v/>
      </c>
      <c r="R22">
        <f>IFERROR(INDEX(tblLocations[Location Code],18)&amp;"","")</f>
        <v/>
      </c>
      <c r="S22">
        <f>IFERROR(INDEX(tblPackages[Package Name],19)&amp;"","")</f>
        <v/>
      </c>
      <c r="T22">
        <f>IFERROR(INDEX(tblCollectors[Collector ID],19)&amp;"","")</f>
        <v/>
      </c>
      <c r="U22">
        <f>IFERROR(INDEX(tblCollectors[Collector Name],17)&amp;"","")</f>
        <v/>
      </c>
      <c r="V22">
        <f>IFERROR(INDEX(tblCustomers[Customer ID],19)&amp;"","")</f>
        <v/>
      </c>
    </row>
    <row r="23">
      <c r="L23" s="32" t="inlineStr">
        <is>
          <t>2025-08</t>
        </is>
      </c>
      <c r="M23" s="32" t="inlineStr">
        <is>
          <t>2025-07</t>
        </is>
      </c>
      <c r="N23" t="n">
        <v>19</v>
      </c>
      <c r="O23">
        <f>IFERROR(INDEX(tblAreas[Area Code],20)&amp;"","")</f>
        <v/>
      </c>
      <c r="P23">
        <f>IFERROR(INDEX(tblAreas[Area Name],19)&amp;"","")</f>
        <v/>
      </c>
      <c r="Q23">
        <f>IFERROR(INDEX(tblLocations[Location Code],20)&amp;"","")</f>
        <v/>
      </c>
      <c r="R23">
        <f>IFERROR(INDEX(tblLocations[Location Code],19)&amp;"","")</f>
        <v/>
      </c>
      <c r="S23">
        <f>IFERROR(INDEX(tblPackages[Package Name],20)&amp;"","")</f>
        <v/>
      </c>
      <c r="T23">
        <f>IFERROR(INDEX(tblCollectors[Collector ID],20)&amp;"","")</f>
        <v/>
      </c>
      <c r="U23">
        <f>IFERROR(INDEX(tblCollectors[Collector Name],18)&amp;"","")</f>
        <v/>
      </c>
      <c r="V23">
        <f>IFERROR(INDEX(tblCustomers[Customer ID],20)&amp;"","")</f>
        <v/>
      </c>
    </row>
    <row r="24">
      <c r="L24" s="32" t="inlineStr">
        <is>
          <t>2025-09</t>
        </is>
      </c>
      <c r="M24" s="32" t="inlineStr">
        <is>
          <t>2025-08</t>
        </is>
      </c>
      <c r="N24" t="n">
        <v>20</v>
      </c>
      <c r="O24">
        <f>IFERROR(INDEX(tblAreas[Area Code],21)&amp;"","")</f>
        <v/>
      </c>
      <c r="P24">
        <f>IFERROR(INDEX(tblAreas[Area Name],20)&amp;"","")</f>
        <v/>
      </c>
      <c r="Q24">
        <f>IFERROR(INDEX(tblLocations[Location Code],21)&amp;"","")</f>
        <v/>
      </c>
      <c r="R24">
        <f>IFERROR(INDEX(tblLocations[Location Code],20)&amp;"","")</f>
        <v/>
      </c>
      <c r="S24">
        <f>IFERROR(INDEX(tblPackages[Package Name],21)&amp;"","")</f>
        <v/>
      </c>
      <c r="T24">
        <f>IFERROR(INDEX(tblCollectors[Collector ID],21)&amp;"","")</f>
        <v/>
      </c>
      <c r="U24">
        <f>IFERROR(INDEX(tblCollectors[Collector Name],19)&amp;"","")</f>
        <v/>
      </c>
      <c r="V24">
        <f>IFERROR(INDEX(tblCustomers[Customer ID],21)&amp;"","")</f>
        <v/>
      </c>
    </row>
    <row r="25">
      <c r="L25" s="32" t="inlineStr">
        <is>
          <t>2025-10</t>
        </is>
      </c>
      <c r="M25" s="32" t="inlineStr">
        <is>
          <t>2025-09</t>
        </is>
      </c>
      <c r="N25" t="n">
        <v>21</v>
      </c>
      <c r="O25">
        <f>IFERROR(INDEX(tblAreas[Area Code],22)&amp;"","")</f>
        <v/>
      </c>
      <c r="P25">
        <f>IFERROR(INDEX(tblAreas[Area Name],21)&amp;"","")</f>
        <v/>
      </c>
      <c r="Q25">
        <f>IFERROR(INDEX(tblLocations[Location Code],22)&amp;"","")</f>
        <v/>
      </c>
      <c r="R25">
        <f>IFERROR(INDEX(tblLocations[Location Code],21)&amp;"","")</f>
        <v/>
      </c>
      <c r="S25">
        <f>IFERROR(INDEX(tblPackages[Package Name],22)&amp;"","")</f>
        <v/>
      </c>
      <c r="T25">
        <f>IFERROR(INDEX(tblCollectors[Collector ID],22)&amp;"","")</f>
        <v/>
      </c>
      <c r="U25">
        <f>IFERROR(INDEX(tblCollectors[Collector Name],20)&amp;"","")</f>
        <v/>
      </c>
      <c r="V25">
        <f>IFERROR(INDEX(tblCustomers[Customer ID],22)&amp;"","")</f>
        <v/>
      </c>
    </row>
    <row r="26">
      <c r="L26" s="32" t="inlineStr">
        <is>
          <t>2025-11</t>
        </is>
      </c>
      <c r="M26" s="32" t="inlineStr">
        <is>
          <t>2025-10</t>
        </is>
      </c>
      <c r="N26" t="n">
        <v>22</v>
      </c>
      <c r="O26">
        <f>IFERROR(INDEX(tblAreas[Area Code],23)&amp;"","")</f>
        <v/>
      </c>
      <c r="P26">
        <f>IFERROR(INDEX(tblAreas[Area Name],22)&amp;"","")</f>
        <v/>
      </c>
      <c r="Q26">
        <f>IFERROR(INDEX(tblLocations[Location Code],23)&amp;"","")</f>
        <v/>
      </c>
      <c r="R26">
        <f>IFERROR(INDEX(tblLocations[Location Code],22)&amp;"","")</f>
        <v/>
      </c>
      <c r="S26">
        <f>IFERROR(INDEX(tblPackages[Package Name],23)&amp;"","")</f>
        <v/>
      </c>
      <c r="T26">
        <f>IFERROR(INDEX(tblCollectors[Collector ID],23)&amp;"","")</f>
        <v/>
      </c>
      <c r="U26">
        <f>IFERROR(INDEX(tblCollectors[Collector Name],21)&amp;"","")</f>
        <v/>
      </c>
      <c r="V26">
        <f>IFERROR(INDEX(tblCustomers[Customer ID],23)&amp;"","")</f>
        <v/>
      </c>
    </row>
    <row r="27">
      <c r="L27" s="32" t="inlineStr">
        <is>
          <t>2025-12</t>
        </is>
      </c>
      <c r="M27" s="32" t="inlineStr">
        <is>
          <t>2025-11</t>
        </is>
      </c>
      <c r="N27" t="n">
        <v>23</v>
      </c>
      <c r="O27">
        <f>IFERROR(INDEX(tblAreas[Area Code],24)&amp;"","")</f>
        <v/>
      </c>
      <c r="P27">
        <f>IFERROR(INDEX(tblAreas[Area Name],23)&amp;"","")</f>
        <v/>
      </c>
      <c r="Q27">
        <f>IFERROR(INDEX(tblLocations[Location Code],24)&amp;"","")</f>
        <v/>
      </c>
      <c r="R27">
        <f>IFERROR(INDEX(tblLocations[Location Code],23)&amp;"","")</f>
        <v/>
      </c>
      <c r="S27">
        <f>IFERROR(INDEX(tblPackages[Package Name],24)&amp;"","")</f>
        <v/>
      </c>
      <c r="T27">
        <f>IFERROR(INDEX(tblCollectors[Collector ID],24)&amp;"","")</f>
        <v/>
      </c>
      <c r="U27">
        <f>IFERROR(INDEX(tblCollectors[Collector Name],22)&amp;"","")</f>
        <v/>
      </c>
      <c r="V27">
        <f>IFERROR(INDEX(tblCustomers[Customer ID],24)&amp;"","")</f>
        <v/>
      </c>
    </row>
    <row r="28">
      <c r="L28" s="32" t="inlineStr">
        <is>
          <t>2026-01</t>
        </is>
      </c>
      <c r="M28" s="32" t="inlineStr">
        <is>
          <t>2025-12</t>
        </is>
      </c>
      <c r="N28" t="n">
        <v>24</v>
      </c>
      <c r="O28">
        <f>IFERROR(INDEX(tblAreas[Area Code],25)&amp;"","")</f>
        <v/>
      </c>
      <c r="P28">
        <f>IFERROR(INDEX(tblAreas[Area Name],24)&amp;"","")</f>
        <v/>
      </c>
      <c r="Q28">
        <f>IFERROR(INDEX(tblLocations[Location Code],25)&amp;"","")</f>
        <v/>
      </c>
      <c r="R28">
        <f>IFERROR(INDEX(tblLocations[Location Code],24)&amp;"","")</f>
        <v/>
      </c>
      <c r="S28">
        <f>IFERROR(INDEX(tblPackages[Package Name],25)&amp;"","")</f>
        <v/>
      </c>
      <c r="T28">
        <f>IFERROR(INDEX(tblCollectors[Collector ID],25)&amp;"","")</f>
        <v/>
      </c>
      <c r="U28">
        <f>IFERROR(INDEX(tblCollectors[Collector Name],23)&amp;"","")</f>
        <v/>
      </c>
      <c r="V28">
        <f>IFERROR(INDEX(tblCustomers[Customer ID],25)&amp;"","")</f>
        <v/>
      </c>
    </row>
    <row r="29">
      <c r="L29" s="32" t="inlineStr">
        <is>
          <t>2026-02</t>
        </is>
      </c>
      <c r="M29" s="32" t="inlineStr">
        <is>
          <t>2026-01</t>
        </is>
      </c>
      <c r="N29" t="n">
        <v>25</v>
      </c>
      <c r="O29">
        <f>IFERROR(INDEX(tblAreas[Area Code],26)&amp;"","")</f>
        <v/>
      </c>
      <c r="P29">
        <f>IFERROR(INDEX(tblAreas[Area Name],25)&amp;"","")</f>
        <v/>
      </c>
      <c r="Q29">
        <f>IFERROR(INDEX(tblLocations[Location Code],26)&amp;"","")</f>
        <v/>
      </c>
      <c r="R29">
        <f>IFERROR(INDEX(tblLocations[Location Code],25)&amp;"","")</f>
        <v/>
      </c>
      <c r="S29">
        <f>IFERROR(INDEX(tblPackages[Package Name],26)&amp;"","")</f>
        <v/>
      </c>
      <c r="T29">
        <f>IFERROR(INDEX(tblCollectors[Collector ID],26)&amp;"","")</f>
        <v/>
      </c>
      <c r="U29">
        <f>IFERROR(INDEX(tblCollectors[Collector Name],24)&amp;"","")</f>
        <v/>
      </c>
      <c r="V29">
        <f>IFERROR(INDEX(tblCustomers[Customer ID],26)&amp;"","")</f>
        <v/>
      </c>
    </row>
    <row r="30">
      <c r="L30" s="32" t="inlineStr">
        <is>
          <t>2026-03</t>
        </is>
      </c>
      <c r="M30" s="32" t="inlineStr">
        <is>
          <t>2026-02</t>
        </is>
      </c>
      <c r="N30" t="n">
        <v>26</v>
      </c>
      <c r="O30">
        <f>IFERROR(INDEX(tblAreas[Area Code],27)&amp;"","")</f>
        <v/>
      </c>
      <c r="P30">
        <f>IFERROR(INDEX(tblAreas[Area Name],26)&amp;"","")</f>
        <v/>
      </c>
      <c r="Q30">
        <f>IFERROR(INDEX(tblLocations[Location Code],27)&amp;"","")</f>
        <v/>
      </c>
      <c r="R30">
        <f>IFERROR(INDEX(tblLocations[Location Code],26)&amp;"","")</f>
        <v/>
      </c>
      <c r="S30">
        <f>IFERROR(INDEX(tblPackages[Package Name],27)&amp;"","")</f>
        <v/>
      </c>
      <c r="T30">
        <f>IFERROR(INDEX(tblCollectors[Collector ID],27)&amp;"","")</f>
        <v/>
      </c>
      <c r="U30">
        <f>IFERROR(INDEX(tblCollectors[Collector Name],25)&amp;"","")</f>
        <v/>
      </c>
      <c r="V30">
        <f>IFERROR(INDEX(tblCustomers[Customer ID],27)&amp;"","")</f>
        <v/>
      </c>
    </row>
    <row r="31">
      <c r="L31" s="32" t="inlineStr">
        <is>
          <t>2026-04</t>
        </is>
      </c>
      <c r="M31" s="32" t="inlineStr">
        <is>
          <t>2026-03</t>
        </is>
      </c>
      <c r="N31" t="n">
        <v>27</v>
      </c>
      <c r="O31">
        <f>IFERROR(INDEX(tblAreas[Area Code],28)&amp;"","")</f>
        <v/>
      </c>
      <c r="P31">
        <f>IFERROR(INDEX(tblAreas[Area Name],27)&amp;"","")</f>
        <v/>
      </c>
      <c r="Q31">
        <f>IFERROR(INDEX(tblLocations[Location Code],28)&amp;"","")</f>
        <v/>
      </c>
      <c r="R31">
        <f>IFERROR(INDEX(tblLocations[Location Code],27)&amp;"","")</f>
        <v/>
      </c>
      <c r="S31">
        <f>IFERROR(INDEX(tblPackages[Package Name],28)&amp;"","")</f>
        <v/>
      </c>
      <c r="T31">
        <f>IFERROR(INDEX(tblCollectors[Collector ID],28)&amp;"","")</f>
        <v/>
      </c>
      <c r="U31">
        <f>IFERROR(INDEX(tblCollectors[Collector Name],26)&amp;"","")</f>
        <v/>
      </c>
      <c r="V31">
        <f>IFERROR(INDEX(tblCustomers[Customer ID],28)&amp;"","")</f>
        <v/>
      </c>
    </row>
    <row r="32">
      <c r="L32" s="32" t="inlineStr">
        <is>
          <t>2026-05</t>
        </is>
      </c>
      <c r="M32" s="32" t="inlineStr">
        <is>
          <t>2026-04</t>
        </is>
      </c>
      <c r="N32" t="n">
        <v>28</v>
      </c>
      <c r="O32">
        <f>IFERROR(INDEX(tblAreas[Area Code],29)&amp;"","")</f>
        <v/>
      </c>
      <c r="P32">
        <f>IFERROR(INDEX(tblAreas[Area Name],28)&amp;"","")</f>
        <v/>
      </c>
      <c r="Q32">
        <f>IFERROR(INDEX(tblLocations[Location Code],29)&amp;"","")</f>
        <v/>
      </c>
      <c r="R32">
        <f>IFERROR(INDEX(tblLocations[Location Code],28)&amp;"","")</f>
        <v/>
      </c>
      <c r="S32">
        <f>IFERROR(INDEX(tblPackages[Package Name],29)&amp;"","")</f>
        <v/>
      </c>
      <c r="T32">
        <f>IFERROR(INDEX(tblCollectors[Collector ID],29)&amp;"","")</f>
        <v/>
      </c>
      <c r="U32">
        <f>IFERROR(INDEX(tblCollectors[Collector Name],27)&amp;"","")</f>
        <v/>
      </c>
      <c r="V32">
        <f>IFERROR(INDEX(tblCustomers[Customer ID],29)&amp;"","")</f>
        <v/>
      </c>
    </row>
    <row r="33">
      <c r="L33" s="32" t="inlineStr">
        <is>
          <t>2026-06</t>
        </is>
      </c>
      <c r="M33" s="32" t="inlineStr">
        <is>
          <t>2026-05</t>
        </is>
      </c>
      <c r="N33" t="n">
        <v>29</v>
      </c>
      <c r="O33">
        <f>IFERROR(INDEX(tblAreas[Area Code],30)&amp;"","")</f>
        <v/>
      </c>
      <c r="P33">
        <f>IFERROR(INDEX(tblAreas[Area Name],29)&amp;"","")</f>
        <v/>
      </c>
      <c r="Q33">
        <f>IFERROR(INDEX(tblLocations[Location Code],30)&amp;"","")</f>
        <v/>
      </c>
      <c r="R33">
        <f>IFERROR(INDEX(tblLocations[Location Code],29)&amp;"","")</f>
        <v/>
      </c>
      <c r="S33">
        <f>IFERROR(INDEX(tblPackages[Package Name],30)&amp;"","")</f>
        <v/>
      </c>
      <c r="T33">
        <f>IFERROR(INDEX(tblCollectors[Collector ID],30)&amp;"","")</f>
        <v/>
      </c>
      <c r="U33">
        <f>IFERROR(INDEX(tblCollectors[Collector Name],28)&amp;"","")</f>
        <v/>
      </c>
      <c r="V33">
        <f>IFERROR(INDEX(tblCustomers[Customer ID],30)&amp;"","")</f>
        <v/>
      </c>
    </row>
    <row r="34">
      <c r="L34" s="32" t="inlineStr">
        <is>
          <t>2026-07</t>
        </is>
      </c>
      <c r="M34" s="32" t="inlineStr">
        <is>
          <t>2026-06</t>
        </is>
      </c>
      <c r="N34" t="n">
        <v>30</v>
      </c>
      <c r="O34">
        <f>IFERROR(INDEX(tblAreas[Area Code],31)&amp;"","")</f>
        <v/>
      </c>
      <c r="P34">
        <f>IFERROR(INDEX(tblAreas[Area Name],30)&amp;"","")</f>
        <v/>
      </c>
      <c r="Q34">
        <f>IFERROR(INDEX(tblLocations[Location Code],31)&amp;"","")</f>
        <v/>
      </c>
      <c r="R34">
        <f>IFERROR(INDEX(tblLocations[Location Code],30)&amp;"","")</f>
        <v/>
      </c>
      <c r="S34">
        <f>IFERROR(INDEX(tblPackages[Package Name],31)&amp;"","")</f>
        <v/>
      </c>
      <c r="T34">
        <f>IFERROR(INDEX(tblCollectors[Collector ID],31)&amp;"","")</f>
        <v/>
      </c>
      <c r="U34">
        <f>IFERROR(INDEX(tblCollectors[Collector Name],29)&amp;"","")</f>
        <v/>
      </c>
      <c r="V34">
        <f>IFERROR(INDEX(tblCustomers[Customer ID],31)&amp;"","")</f>
        <v/>
      </c>
    </row>
    <row r="35">
      <c r="L35" s="32" t="inlineStr">
        <is>
          <t>2026-08</t>
        </is>
      </c>
      <c r="M35" s="32" t="inlineStr">
        <is>
          <t>2026-07</t>
        </is>
      </c>
      <c r="N35" t="n">
        <v>31</v>
      </c>
      <c r="O35">
        <f>IFERROR(INDEX(tblAreas[Area Code],32)&amp;"","")</f>
        <v/>
      </c>
      <c r="P35">
        <f>IFERROR(INDEX(tblAreas[Area Name],31)&amp;"","")</f>
        <v/>
      </c>
      <c r="Q35">
        <f>IFERROR(INDEX(tblLocations[Location Code],32)&amp;"","")</f>
        <v/>
      </c>
      <c r="R35">
        <f>IFERROR(INDEX(tblLocations[Location Code],31)&amp;"","")</f>
        <v/>
      </c>
      <c r="S35">
        <f>IFERROR(INDEX(tblPackages[Package Name],32)&amp;"","")</f>
        <v/>
      </c>
      <c r="T35">
        <f>IFERROR(INDEX(tblCollectors[Collector ID],32)&amp;"","")</f>
        <v/>
      </c>
      <c r="U35">
        <f>IFERROR(INDEX(tblCollectors[Collector Name],30)&amp;"","")</f>
        <v/>
      </c>
      <c r="V35">
        <f>IFERROR(INDEX(tblCustomers[Customer ID],32)&amp;"","")</f>
        <v/>
      </c>
    </row>
    <row r="36">
      <c r="L36" s="32" t="inlineStr">
        <is>
          <t>2026-09</t>
        </is>
      </c>
      <c r="M36" s="32" t="inlineStr">
        <is>
          <t>2026-08</t>
        </is>
      </c>
      <c r="O36">
        <f>IFERROR(INDEX(tblAreas[Area Code],33)&amp;"","")</f>
        <v/>
      </c>
      <c r="P36">
        <f>IFERROR(INDEX(tblAreas[Area Name],32)&amp;"","")</f>
        <v/>
      </c>
      <c r="Q36">
        <f>IFERROR(INDEX(tblLocations[Location Code],33)&amp;"","")</f>
        <v/>
      </c>
      <c r="R36">
        <f>IFERROR(INDEX(tblLocations[Location Code],32)&amp;"","")</f>
        <v/>
      </c>
      <c r="S36">
        <f>IFERROR(INDEX(tblPackages[Package Name],33)&amp;"","")</f>
        <v/>
      </c>
      <c r="T36">
        <f>IFERROR(INDEX(tblCollectors[Collector ID],33)&amp;"","")</f>
        <v/>
      </c>
      <c r="U36">
        <f>IFERROR(INDEX(tblCollectors[Collector Name],31)&amp;"","")</f>
        <v/>
      </c>
      <c r="V36">
        <f>IFERROR(INDEX(tblCustomers[Customer ID],33)&amp;"","")</f>
        <v/>
      </c>
    </row>
    <row r="37">
      <c r="L37" s="32" t="inlineStr">
        <is>
          <t>2026-10</t>
        </is>
      </c>
      <c r="M37" s="32" t="inlineStr">
        <is>
          <t>2026-09</t>
        </is>
      </c>
      <c r="O37">
        <f>IFERROR(INDEX(tblAreas[Area Code],34)&amp;"","")</f>
        <v/>
      </c>
      <c r="P37">
        <f>IFERROR(INDEX(tblAreas[Area Name],33)&amp;"","")</f>
        <v/>
      </c>
      <c r="Q37">
        <f>IFERROR(INDEX(tblLocations[Location Code],34)&amp;"","")</f>
        <v/>
      </c>
      <c r="R37">
        <f>IFERROR(INDEX(tblLocations[Location Code],33)&amp;"","")</f>
        <v/>
      </c>
      <c r="S37">
        <f>IFERROR(INDEX(tblPackages[Package Name],34)&amp;"","")</f>
        <v/>
      </c>
      <c r="T37">
        <f>IFERROR(INDEX(tblCollectors[Collector ID],34)&amp;"","")</f>
        <v/>
      </c>
      <c r="U37">
        <f>IFERROR(INDEX(tblCollectors[Collector Name],32)&amp;"","")</f>
        <v/>
      </c>
      <c r="V37">
        <f>IFERROR(INDEX(tblCustomers[Customer ID],34)&amp;"","")</f>
        <v/>
      </c>
    </row>
    <row r="38">
      <c r="L38" s="32" t="inlineStr">
        <is>
          <t>2026-11</t>
        </is>
      </c>
      <c r="M38" s="32" t="inlineStr">
        <is>
          <t>2026-10</t>
        </is>
      </c>
      <c r="O38">
        <f>IFERROR(INDEX(tblAreas[Area Code],35)&amp;"","")</f>
        <v/>
      </c>
      <c r="P38">
        <f>IFERROR(INDEX(tblAreas[Area Name],34)&amp;"","")</f>
        <v/>
      </c>
      <c r="Q38">
        <f>IFERROR(INDEX(tblLocations[Location Code],35)&amp;"","")</f>
        <v/>
      </c>
      <c r="R38">
        <f>IFERROR(INDEX(tblLocations[Location Code],34)&amp;"","")</f>
        <v/>
      </c>
      <c r="S38">
        <f>IFERROR(INDEX(tblPackages[Package Name],35)&amp;"","")</f>
        <v/>
      </c>
      <c r="T38">
        <f>IFERROR(INDEX(tblCollectors[Collector ID],35)&amp;"","")</f>
        <v/>
      </c>
      <c r="U38">
        <f>IFERROR(INDEX(tblCollectors[Collector Name],33)&amp;"","")</f>
        <v/>
      </c>
      <c r="V38">
        <f>IFERROR(INDEX(tblCustomers[Customer ID],35)&amp;"","")</f>
        <v/>
      </c>
    </row>
    <row r="39">
      <c r="L39" s="32" t="inlineStr">
        <is>
          <t>2026-12</t>
        </is>
      </c>
      <c r="M39" s="32" t="inlineStr">
        <is>
          <t>2026-11</t>
        </is>
      </c>
      <c r="O39">
        <f>IFERROR(INDEX(tblAreas[Area Code],36)&amp;"","")</f>
        <v/>
      </c>
      <c r="P39">
        <f>IFERROR(INDEX(tblAreas[Area Name],35)&amp;"","")</f>
        <v/>
      </c>
      <c r="Q39">
        <f>IFERROR(INDEX(tblLocations[Location Code],36)&amp;"","")</f>
        <v/>
      </c>
      <c r="R39">
        <f>IFERROR(INDEX(tblLocations[Location Code],35)&amp;"","")</f>
        <v/>
      </c>
      <c r="S39">
        <f>IFERROR(INDEX(tblPackages[Package Name],36)&amp;"","")</f>
        <v/>
      </c>
      <c r="T39">
        <f>IFERROR(INDEX(tblCollectors[Collector ID],36)&amp;"","")</f>
        <v/>
      </c>
      <c r="U39">
        <f>IFERROR(INDEX(tblCollectors[Collector Name],34)&amp;"","")</f>
        <v/>
      </c>
      <c r="V39">
        <f>IFERROR(INDEX(tblCustomers[Customer ID],36)&amp;"","")</f>
        <v/>
      </c>
    </row>
    <row r="40">
      <c r="L40" s="32" t="inlineStr">
        <is>
          <t>2027-01</t>
        </is>
      </c>
      <c r="M40" s="32" t="inlineStr">
        <is>
          <t>2026-12</t>
        </is>
      </c>
      <c r="O40">
        <f>IFERROR(INDEX(tblAreas[Area Code],37)&amp;"","")</f>
        <v/>
      </c>
      <c r="P40">
        <f>IFERROR(INDEX(tblAreas[Area Name],36)&amp;"","")</f>
        <v/>
      </c>
      <c r="Q40">
        <f>IFERROR(INDEX(tblLocations[Location Code],37)&amp;"","")</f>
        <v/>
      </c>
      <c r="R40">
        <f>IFERROR(INDEX(tblLocations[Location Code],36)&amp;"","")</f>
        <v/>
      </c>
      <c r="S40">
        <f>IFERROR(INDEX(tblPackages[Package Name],37)&amp;"","")</f>
        <v/>
      </c>
      <c r="T40">
        <f>IFERROR(INDEX(tblCollectors[Collector ID],37)&amp;"","")</f>
        <v/>
      </c>
      <c r="U40">
        <f>IFERROR(INDEX(tblCollectors[Collector Name],35)&amp;"","")</f>
        <v/>
      </c>
      <c r="V40">
        <f>IFERROR(INDEX(tblCustomers[Customer ID],37)&amp;"","")</f>
        <v/>
      </c>
    </row>
    <row r="41">
      <c r="L41" s="32" t="inlineStr">
        <is>
          <t>2027-02</t>
        </is>
      </c>
      <c r="M41" s="32" t="inlineStr">
        <is>
          <t>2027-01</t>
        </is>
      </c>
      <c r="O41">
        <f>IFERROR(INDEX(tblAreas[Area Code],38)&amp;"","")</f>
        <v/>
      </c>
      <c r="P41">
        <f>IFERROR(INDEX(tblAreas[Area Name],37)&amp;"","")</f>
        <v/>
      </c>
      <c r="Q41">
        <f>IFERROR(INDEX(tblLocations[Location Code],38)&amp;"","")</f>
        <v/>
      </c>
      <c r="R41">
        <f>IFERROR(INDEX(tblLocations[Location Code],37)&amp;"","")</f>
        <v/>
      </c>
      <c r="S41">
        <f>IFERROR(INDEX(tblPackages[Package Name],38)&amp;"","")</f>
        <v/>
      </c>
      <c r="T41">
        <f>IFERROR(INDEX(tblCollectors[Collector ID],38)&amp;"","")</f>
        <v/>
      </c>
      <c r="U41">
        <f>IFERROR(INDEX(tblCollectors[Collector Name],36)&amp;"","")</f>
        <v/>
      </c>
      <c r="V41">
        <f>IFERROR(INDEX(tblCustomers[Customer ID],38)&amp;"","")</f>
        <v/>
      </c>
    </row>
    <row r="42">
      <c r="L42" s="32" t="inlineStr">
        <is>
          <t>2027-03</t>
        </is>
      </c>
      <c r="M42" s="32" t="inlineStr">
        <is>
          <t>2027-02</t>
        </is>
      </c>
      <c r="O42">
        <f>IFERROR(INDEX(tblAreas[Area Code],39)&amp;"","")</f>
        <v/>
      </c>
      <c r="P42">
        <f>IFERROR(INDEX(tblAreas[Area Name],38)&amp;"","")</f>
        <v/>
      </c>
      <c r="Q42">
        <f>IFERROR(INDEX(tblLocations[Location Code],39)&amp;"","")</f>
        <v/>
      </c>
      <c r="R42">
        <f>IFERROR(INDEX(tblLocations[Location Code],38)&amp;"","")</f>
        <v/>
      </c>
      <c r="S42">
        <f>IFERROR(INDEX(tblPackages[Package Name],39)&amp;"","")</f>
        <v/>
      </c>
      <c r="T42">
        <f>IFERROR(INDEX(tblCollectors[Collector ID],39)&amp;"","")</f>
        <v/>
      </c>
      <c r="U42">
        <f>IFERROR(INDEX(tblCollectors[Collector Name],37)&amp;"","")</f>
        <v/>
      </c>
      <c r="V42">
        <f>IFERROR(INDEX(tblCustomers[Customer ID],39)&amp;"","")</f>
        <v/>
      </c>
    </row>
    <row r="43">
      <c r="L43" s="32" t="inlineStr">
        <is>
          <t>2027-04</t>
        </is>
      </c>
      <c r="M43" s="32" t="inlineStr">
        <is>
          <t>2027-03</t>
        </is>
      </c>
      <c r="O43">
        <f>IFERROR(INDEX(tblAreas[Area Code],40)&amp;"","")</f>
        <v/>
      </c>
      <c r="P43">
        <f>IFERROR(INDEX(tblAreas[Area Name],39)&amp;"","")</f>
        <v/>
      </c>
      <c r="Q43">
        <f>IFERROR(INDEX(tblLocations[Location Code],40)&amp;"","")</f>
        <v/>
      </c>
      <c r="R43">
        <f>IFERROR(INDEX(tblLocations[Location Code],39)&amp;"","")</f>
        <v/>
      </c>
      <c r="S43">
        <f>IFERROR(INDEX(tblPackages[Package Name],40)&amp;"","")</f>
        <v/>
      </c>
      <c r="T43">
        <f>IFERROR(INDEX(tblCollectors[Collector ID],40)&amp;"","")</f>
        <v/>
      </c>
      <c r="U43">
        <f>IFERROR(INDEX(tblCollectors[Collector Name],38)&amp;"","")</f>
        <v/>
      </c>
      <c r="V43">
        <f>IFERROR(INDEX(tblCustomers[Customer ID],40)&amp;"","")</f>
        <v/>
      </c>
    </row>
    <row r="44">
      <c r="L44" s="32" t="inlineStr">
        <is>
          <t>2027-05</t>
        </is>
      </c>
      <c r="M44" s="32" t="inlineStr">
        <is>
          <t>2027-04</t>
        </is>
      </c>
      <c r="O44">
        <f>IFERROR(INDEX(tblAreas[Area Code],41)&amp;"","")</f>
        <v/>
      </c>
      <c r="P44">
        <f>IFERROR(INDEX(tblAreas[Area Name],40)&amp;"","")</f>
        <v/>
      </c>
      <c r="Q44">
        <f>IFERROR(INDEX(tblLocations[Location Code],41)&amp;"","")</f>
        <v/>
      </c>
      <c r="R44">
        <f>IFERROR(INDEX(tblLocations[Location Code],40)&amp;"","")</f>
        <v/>
      </c>
      <c r="S44">
        <f>IFERROR(INDEX(tblPackages[Package Name],41)&amp;"","")</f>
        <v/>
      </c>
      <c r="T44">
        <f>IFERROR(INDEX(tblCollectors[Collector ID],41)&amp;"","")</f>
        <v/>
      </c>
      <c r="U44">
        <f>IFERROR(INDEX(tblCollectors[Collector Name],39)&amp;"","")</f>
        <v/>
      </c>
      <c r="V44">
        <f>IFERROR(INDEX(tblCustomers[Customer ID],41)&amp;"","")</f>
        <v/>
      </c>
    </row>
    <row r="45">
      <c r="L45" s="32" t="inlineStr">
        <is>
          <t>2027-06</t>
        </is>
      </c>
      <c r="M45" s="32" t="inlineStr">
        <is>
          <t>2027-05</t>
        </is>
      </c>
      <c r="O45">
        <f>IFERROR(INDEX(tblAreas[Area Code],42)&amp;"","")</f>
        <v/>
      </c>
      <c r="P45">
        <f>IFERROR(INDEX(tblAreas[Area Name],41)&amp;"","")</f>
        <v/>
      </c>
      <c r="Q45">
        <f>IFERROR(INDEX(tblLocations[Location Code],42)&amp;"","")</f>
        <v/>
      </c>
      <c r="R45">
        <f>IFERROR(INDEX(tblLocations[Location Code],41)&amp;"","")</f>
        <v/>
      </c>
      <c r="S45">
        <f>IFERROR(INDEX(tblPackages[Package Name],42)&amp;"","")</f>
        <v/>
      </c>
      <c r="T45">
        <f>IFERROR(INDEX(tblCollectors[Collector ID],42)&amp;"","")</f>
        <v/>
      </c>
      <c r="U45">
        <f>IFERROR(INDEX(tblCollectors[Collector Name],40)&amp;"","")</f>
        <v/>
      </c>
      <c r="V45">
        <f>IFERROR(INDEX(tblCustomers[Customer ID],42)&amp;"","")</f>
        <v/>
      </c>
    </row>
    <row r="46">
      <c r="L46" s="32" t="inlineStr">
        <is>
          <t>2027-07</t>
        </is>
      </c>
      <c r="M46" s="32" t="inlineStr">
        <is>
          <t>2027-06</t>
        </is>
      </c>
      <c r="O46">
        <f>IFERROR(INDEX(tblAreas[Area Code],43)&amp;"","")</f>
        <v/>
      </c>
      <c r="P46">
        <f>IFERROR(INDEX(tblAreas[Area Name],42)&amp;"","")</f>
        <v/>
      </c>
      <c r="Q46">
        <f>IFERROR(INDEX(tblLocations[Location Code],43)&amp;"","")</f>
        <v/>
      </c>
      <c r="R46">
        <f>IFERROR(INDEX(tblLocations[Location Code],42)&amp;"","")</f>
        <v/>
      </c>
      <c r="S46">
        <f>IFERROR(INDEX(tblPackages[Package Name],43)&amp;"","")</f>
        <v/>
      </c>
      <c r="T46">
        <f>IFERROR(INDEX(tblCollectors[Collector ID],43)&amp;"","")</f>
        <v/>
      </c>
      <c r="U46">
        <f>IFERROR(INDEX(tblCollectors[Collector Name],41)&amp;"","")</f>
        <v/>
      </c>
      <c r="V46">
        <f>IFERROR(INDEX(tblCustomers[Customer ID],43)&amp;"","")</f>
        <v/>
      </c>
    </row>
    <row r="47">
      <c r="L47" s="32" t="inlineStr">
        <is>
          <t>2027-08</t>
        </is>
      </c>
      <c r="M47" s="32" t="inlineStr">
        <is>
          <t>2027-07</t>
        </is>
      </c>
      <c r="O47">
        <f>IFERROR(INDEX(tblAreas[Area Code],44)&amp;"","")</f>
        <v/>
      </c>
      <c r="P47">
        <f>IFERROR(INDEX(tblAreas[Area Name],43)&amp;"","")</f>
        <v/>
      </c>
      <c r="Q47">
        <f>IFERROR(INDEX(tblLocations[Location Code],44)&amp;"","")</f>
        <v/>
      </c>
      <c r="R47">
        <f>IFERROR(INDEX(tblLocations[Location Code],43)&amp;"","")</f>
        <v/>
      </c>
      <c r="S47">
        <f>IFERROR(INDEX(tblPackages[Package Name],44)&amp;"","")</f>
        <v/>
      </c>
      <c r="T47">
        <f>IFERROR(INDEX(tblCollectors[Collector ID],44)&amp;"","")</f>
        <v/>
      </c>
      <c r="U47">
        <f>IFERROR(INDEX(tblCollectors[Collector Name],42)&amp;"","")</f>
        <v/>
      </c>
      <c r="V47">
        <f>IFERROR(INDEX(tblCustomers[Customer ID],44)&amp;"","")</f>
        <v/>
      </c>
    </row>
    <row r="48">
      <c r="L48" s="32" t="inlineStr">
        <is>
          <t>2027-09</t>
        </is>
      </c>
      <c r="M48" s="32" t="inlineStr">
        <is>
          <t>2027-08</t>
        </is>
      </c>
      <c r="O48">
        <f>IFERROR(INDEX(tblAreas[Area Code],45)&amp;"","")</f>
        <v/>
      </c>
      <c r="P48">
        <f>IFERROR(INDEX(tblAreas[Area Name],44)&amp;"","")</f>
        <v/>
      </c>
      <c r="Q48">
        <f>IFERROR(INDEX(tblLocations[Location Code],45)&amp;"","")</f>
        <v/>
      </c>
      <c r="R48">
        <f>IFERROR(INDEX(tblLocations[Location Code],44)&amp;"","")</f>
        <v/>
      </c>
      <c r="S48">
        <f>IFERROR(INDEX(tblPackages[Package Name],45)&amp;"","")</f>
        <v/>
      </c>
      <c r="T48">
        <f>IFERROR(INDEX(tblCollectors[Collector ID],45)&amp;"","")</f>
        <v/>
      </c>
      <c r="U48">
        <f>IFERROR(INDEX(tblCollectors[Collector Name],43)&amp;"","")</f>
        <v/>
      </c>
      <c r="V48">
        <f>IFERROR(INDEX(tblCustomers[Customer ID],45)&amp;"","")</f>
        <v/>
      </c>
    </row>
    <row r="49">
      <c r="L49" s="32" t="inlineStr">
        <is>
          <t>2027-10</t>
        </is>
      </c>
      <c r="M49" s="32" t="inlineStr">
        <is>
          <t>2027-09</t>
        </is>
      </c>
      <c r="O49">
        <f>IFERROR(INDEX(tblAreas[Area Code],46)&amp;"","")</f>
        <v/>
      </c>
      <c r="P49">
        <f>IFERROR(INDEX(tblAreas[Area Name],45)&amp;"","")</f>
        <v/>
      </c>
      <c r="Q49">
        <f>IFERROR(INDEX(tblLocations[Location Code],46)&amp;"","")</f>
        <v/>
      </c>
      <c r="R49">
        <f>IFERROR(INDEX(tblLocations[Location Code],45)&amp;"","")</f>
        <v/>
      </c>
      <c r="S49">
        <f>IFERROR(INDEX(tblPackages[Package Name],46)&amp;"","")</f>
        <v/>
      </c>
      <c r="T49">
        <f>IFERROR(INDEX(tblCollectors[Collector ID],46)&amp;"","")</f>
        <v/>
      </c>
      <c r="U49">
        <f>IFERROR(INDEX(tblCollectors[Collector Name],44)&amp;"","")</f>
        <v/>
      </c>
      <c r="V49">
        <f>IFERROR(INDEX(tblCustomers[Customer ID],46)&amp;"","")</f>
        <v/>
      </c>
    </row>
    <row r="50">
      <c r="L50" s="32" t="inlineStr">
        <is>
          <t>2027-11</t>
        </is>
      </c>
      <c r="M50" s="32" t="inlineStr">
        <is>
          <t>2027-10</t>
        </is>
      </c>
      <c r="O50">
        <f>IFERROR(INDEX(tblAreas[Area Code],47)&amp;"","")</f>
        <v/>
      </c>
      <c r="P50">
        <f>IFERROR(INDEX(tblAreas[Area Name],46)&amp;"","")</f>
        <v/>
      </c>
      <c r="Q50">
        <f>IFERROR(INDEX(tblLocations[Location Code],47)&amp;"","")</f>
        <v/>
      </c>
      <c r="R50">
        <f>IFERROR(INDEX(tblLocations[Location Code],46)&amp;"","")</f>
        <v/>
      </c>
      <c r="S50">
        <f>IFERROR(INDEX(tblPackages[Package Name],47)&amp;"","")</f>
        <v/>
      </c>
      <c r="T50">
        <f>IFERROR(INDEX(tblCollectors[Collector ID],47)&amp;"","")</f>
        <v/>
      </c>
      <c r="U50">
        <f>IFERROR(INDEX(tblCollectors[Collector Name],45)&amp;"","")</f>
        <v/>
      </c>
      <c r="V50">
        <f>IFERROR(INDEX(tblCustomers[Customer ID],47)&amp;"","")</f>
        <v/>
      </c>
    </row>
    <row r="51">
      <c r="L51" s="32" t="inlineStr">
        <is>
          <t>2027-12</t>
        </is>
      </c>
      <c r="M51" s="32" t="inlineStr">
        <is>
          <t>2027-11</t>
        </is>
      </c>
      <c r="O51">
        <f>IFERROR(INDEX(tblAreas[Area Code],48)&amp;"","")</f>
        <v/>
      </c>
      <c r="P51">
        <f>IFERROR(INDEX(tblAreas[Area Name],47)&amp;"","")</f>
        <v/>
      </c>
      <c r="Q51">
        <f>IFERROR(INDEX(tblLocations[Location Code],48)&amp;"","")</f>
        <v/>
      </c>
      <c r="R51">
        <f>IFERROR(INDEX(tblLocations[Location Code],47)&amp;"","")</f>
        <v/>
      </c>
      <c r="S51">
        <f>IFERROR(INDEX(tblPackages[Package Name],48)&amp;"","")</f>
        <v/>
      </c>
      <c r="T51">
        <f>IFERROR(INDEX(tblCollectors[Collector ID],48)&amp;"","")</f>
        <v/>
      </c>
      <c r="U51">
        <f>IFERROR(INDEX(tblCollectors[Collector Name],46)&amp;"","")</f>
        <v/>
      </c>
      <c r="V51">
        <f>IFERROR(INDEX(tblCustomers[Customer ID],48)&amp;"","")</f>
        <v/>
      </c>
    </row>
    <row r="52">
      <c r="L52" s="32" t="inlineStr">
        <is>
          <t>2028-01</t>
        </is>
      </c>
      <c r="M52" s="32" t="inlineStr">
        <is>
          <t>2027-12</t>
        </is>
      </c>
      <c r="O52">
        <f>IFERROR(INDEX(tblAreas[Area Code],49)&amp;"","")</f>
        <v/>
      </c>
      <c r="P52">
        <f>IFERROR(INDEX(tblAreas[Area Name],48)&amp;"","")</f>
        <v/>
      </c>
      <c r="Q52">
        <f>IFERROR(INDEX(tblLocations[Location Code],49)&amp;"","")</f>
        <v/>
      </c>
      <c r="R52">
        <f>IFERROR(INDEX(tblLocations[Location Code],48)&amp;"","")</f>
        <v/>
      </c>
      <c r="S52">
        <f>IFERROR(INDEX(tblPackages[Package Name],49)&amp;"","")</f>
        <v/>
      </c>
      <c r="T52">
        <f>IFERROR(INDEX(tblCollectors[Collector ID],49)&amp;"","")</f>
        <v/>
      </c>
      <c r="U52">
        <f>IFERROR(INDEX(tblCollectors[Collector Name],47)&amp;"","")</f>
        <v/>
      </c>
      <c r="V52">
        <f>IFERROR(INDEX(tblCustomers[Customer ID],49)&amp;"","")</f>
        <v/>
      </c>
    </row>
    <row r="53">
      <c r="L53" s="32" t="inlineStr">
        <is>
          <t>2028-02</t>
        </is>
      </c>
      <c r="M53" s="32" t="inlineStr">
        <is>
          <t>2028-01</t>
        </is>
      </c>
      <c r="O53">
        <f>IFERROR(INDEX(tblAreas[Area Code],50)&amp;"","")</f>
        <v/>
      </c>
      <c r="P53">
        <f>IFERROR(INDEX(tblAreas[Area Name],49)&amp;"","")</f>
        <v/>
      </c>
      <c r="Q53">
        <f>IFERROR(INDEX(tblLocations[Location Code],50)&amp;"","")</f>
        <v/>
      </c>
      <c r="R53">
        <f>IFERROR(INDEX(tblLocations[Location Code],49)&amp;"","")</f>
        <v/>
      </c>
      <c r="S53">
        <f>IFERROR(INDEX(tblPackages[Package Name],50)&amp;"","")</f>
        <v/>
      </c>
      <c r="T53">
        <f>IFERROR(INDEX(tblCollectors[Collector ID],50)&amp;"","")</f>
        <v/>
      </c>
      <c r="U53">
        <f>IFERROR(INDEX(tblCollectors[Collector Name],48)&amp;"","")</f>
        <v/>
      </c>
      <c r="V53">
        <f>IFERROR(INDEX(tblCustomers[Customer ID],50)&amp;"","")</f>
        <v/>
      </c>
    </row>
    <row r="54">
      <c r="L54" s="32" t="inlineStr">
        <is>
          <t>2028-03</t>
        </is>
      </c>
      <c r="M54" s="32" t="inlineStr">
        <is>
          <t>2028-02</t>
        </is>
      </c>
      <c r="O54">
        <f>IFERROR(INDEX(tblAreas[Area Code],51)&amp;"","")</f>
        <v/>
      </c>
      <c r="P54">
        <f>IFERROR(INDEX(tblAreas[Area Name],50)&amp;"","")</f>
        <v/>
      </c>
      <c r="Q54">
        <f>IFERROR(INDEX(tblLocations[Location Code],51)&amp;"","")</f>
        <v/>
      </c>
      <c r="R54">
        <f>IFERROR(INDEX(tblLocations[Location Code],50)&amp;"","")</f>
        <v/>
      </c>
      <c r="S54">
        <f>IFERROR(INDEX(tblPackages[Package Name],51)&amp;"","")</f>
        <v/>
      </c>
      <c r="T54">
        <f>IFERROR(INDEX(tblCollectors[Collector ID],51)&amp;"","")</f>
        <v/>
      </c>
      <c r="U54">
        <f>IFERROR(INDEX(tblCollectors[Collector Name],49)&amp;"","")</f>
        <v/>
      </c>
      <c r="V54">
        <f>IFERROR(INDEX(tblCustomers[Customer ID],51)&amp;"","")</f>
        <v/>
      </c>
    </row>
    <row r="55">
      <c r="L55" s="32" t="inlineStr">
        <is>
          <t>2028-04</t>
        </is>
      </c>
      <c r="M55" s="32" t="inlineStr">
        <is>
          <t>2028-03</t>
        </is>
      </c>
      <c r="O55">
        <f>IFERROR(INDEX(tblAreas[Area Code],52)&amp;"","")</f>
        <v/>
      </c>
      <c r="P55">
        <f>IFERROR(INDEX(tblAreas[Area Name],51)&amp;"","")</f>
        <v/>
      </c>
      <c r="Q55">
        <f>IFERROR(INDEX(tblLocations[Location Code],52)&amp;"","")</f>
        <v/>
      </c>
      <c r="R55">
        <f>IFERROR(INDEX(tblLocations[Location Code],51)&amp;"","")</f>
        <v/>
      </c>
      <c r="S55">
        <f>IFERROR(INDEX(tblPackages[Package Name],52)&amp;"","")</f>
        <v/>
      </c>
      <c r="T55">
        <f>IFERROR(INDEX(tblCollectors[Collector ID],52)&amp;"","")</f>
        <v/>
      </c>
      <c r="U55">
        <f>IFERROR(INDEX(tblCollectors[Collector Name],50)&amp;"","")</f>
        <v/>
      </c>
      <c r="V55">
        <f>IFERROR(INDEX(tblCustomers[Customer ID],52)&amp;"","")</f>
        <v/>
      </c>
    </row>
    <row r="56">
      <c r="L56" s="32" t="inlineStr">
        <is>
          <t>2028-05</t>
        </is>
      </c>
      <c r="M56" s="32" t="inlineStr">
        <is>
          <t>2028-04</t>
        </is>
      </c>
      <c r="O56">
        <f>IFERROR(INDEX(tblAreas[Area Code],53)&amp;"","")</f>
        <v/>
      </c>
      <c r="P56">
        <f>IFERROR(INDEX(tblAreas[Area Name],52)&amp;"","")</f>
        <v/>
      </c>
      <c r="Q56">
        <f>IFERROR(INDEX(tblLocations[Location Code],53)&amp;"","")</f>
        <v/>
      </c>
      <c r="R56">
        <f>IFERROR(INDEX(tblLocations[Location Code],52)&amp;"","")</f>
        <v/>
      </c>
      <c r="S56">
        <f>IFERROR(INDEX(tblPackages[Package Name],53)&amp;"","")</f>
        <v/>
      </c>
      <c r="T56">
        <f>IFERROR(INDEX(tblCollectors[Collector ID],53)&amp;"","")</f>
        <v/>
      </c>
      <c r="U56">
        <f>IFERROR(INDEX(tblCollectors[Collector Name],51)&amp;"","")</f>
        <v/>
      </c>
      <c r="V56">
        <f>IFERROR(INDEX(tblCustomers[Customer ID],53)&amp;"","")</f>
        <v/>
      </c>
    </row>
    <row r="57">
      <c r="L57" s="32" t="inlineStr">
        <is>
          <t>2028-06</t>
        </is>
      </c>
      <c r="M57" s="32" t="inlineStr">
        <is>
          <t>2028-05</t>
        </is>
      </c>
      <c r="O57">
        <f>IFERROR(INDEX(tblAreas[Area Code],54)&amp;"","")</f>
        <v/>
      </c>
      <c r="P57">
        <f>IFERROR(INDEX(tblAreas[Area Name],53)&amp;"","")</f>
        <v/>
      </c>
      <c r="Q57">
        <f>IFERROR(INDEX(tblLocations[Location Code],54)&amp;"","")</f>
        <v/>
      </c>
      <c r="R57">
        <f>IFERROR(INDEX(tblLocations[Location Code],53)&amp;"","")</f>
        <v/>
      </c>
      <c r="S57">
        <f>IFERROR(INDEX(tblPackages[Package Name],54)&amp;"","")</f>
        <v/>
      </c>
      <c r="T57">
        <f>IFERROR(INDEX(tblCollectors[Collector ID],54)&amp;"","")</f>
        <v/>
      </c>
      <c r="U57">
        <f>IFERROR(INDEX(tblCollectors[Collector Name],52)&amp;"","")</f>
        <v/>
      </c>
      <c r="V57">
        <f>IFERROR(INDEX(tblCustomers[Customer ID],54)&amp;"","")</f>
        <v/>
      </c>
    </row>
    <row r="58">
      <c r="L58" s="32" t="inlineStr">
        <is>
          <t>2028-07</t>
        </is>
      </c>
      <c r="M58" s="32" t="inlineStr">
        <is>
          <t>2028-06</t>
        </is>
      </c>
      <c r="O58">
        <f>IFERROR(INDEX(tblAreas[Area Code],55)&amp;"","")</f>
        <v/>
      </c>
      <c r="P58">
        <f>IFERROR(INDEX(tblAreas[Area Name],54)&amp;"","")</f>
        <v/>
      </c>
      <c r="Q58">
        <f>IFERROR(INDEX(tblLocations[Location Code],55)&amp;"","")</f>
        <v/>
      </c>
      <c r="R58">
        <f>IFERROR(INDEX(tblLocations[Location Code],54)&amp;"","")</f>
        <v/>
      </c>
      <c r="S58">
        <f>IFERROR(INDEX(tblPackages[Package Name],55)&amp;"","")</f>
        <v/>
      </c>
      <c r="T58">
        <f>IFERROR(INDEX(tblCollectors[Collector ID],55)&amp;"","")</f>
        <v/>
      </c>
      <c r="U58">
        <f>IFERROR(INDEX(tblCollectors[Collector Name],53)&amp;"","")</f>
        <v/>
      </c>
      <c r="V58">
        <f>IFERROR(INDEX(tblCustomers[Customer ID],55)&amp;"","")</f>
        <v/>
      </c>
    </row>
    <row r="59">
      <c r="L59" s="32" t="inlineStr">
        <is>
          <t>2028-08</t>
        </is>
      </c>
      <c r="M59" s="32" t="inlineStr">
        <is>
          <t>2028-07</t>
        </is>
      </c>
      <c r="O59">
        <f>IFERROR(INDEX(tblAreas[Area Code],56)&amp;"","")</f>
        <v/>
      </c>
      <c r="P59">
        <f>IFERROR(INDEX(tblAreas[Area Name],55)&amp;"","")</f>
        <v/>
      </c>
      <c r="Q59">
        <f>IFERROR(INDEX(tblLocations[Location Code],56)&amp;"","")</f>
        <v/>
      </c>
      <c r="R59">
        <f>IFERROR(INDEX(tblLocations[Location Code],55)&amp;"","")</f>
        <v/>
      </c>
      <c r="S59">
        <f>IFERROR(INDEX(tblPackages[Package Name],56)&amp;"","")</f>
        <v/>
      </c>
      <c r="T59">
        <f>IFERROR(INDEX(tblCollectors[Collector ID],56)&amp;"","")</f>
        <v/>
      </c>
      <c r="U59">
        <f>IFERROR(INDEX(tblCollectors[Collector Name],54)&amp;"","")</f>
        <v/>
      </c>
      <c r="V59">
        <f>IFERROR(INDEX(tblCustomers[Customer ID],56)&amp;"","")</f>
        <v/>
      </c>
    </row>
    <row r="60">
      <c r="L60" s="32" t="inlineStr">
        <is>
          <t>2028-09</t>
        </is>
      </c>
      <c r="M60" s="32" t="inlineStr">
        <is>
          <t>2028-08</t>
        </is>
      </c>
      <c r="O60">
        <f>IFERROR(INDEX(tblAreas[Area Code],57)&amp;"","")</f>
        <v/>
      </c>
      <c r="P60">
        <f>IFERROR(INDEX(tblAreas[Area Name],56)&amp;"","")</f>
        <v/>
      </c>
      <c r="Q60">
        <f>IFERROR(INDEX(tblLocations[Location Code],57)&amp;"","")</f>
        <v/>
      </c>
      <c r="R60">
        <f>IFERROR(INDEX(tblLocations[Location Code],56)&amp;"","")</f>
        <v/>
      </c>
      <c r="S60">
        <f>IFERROR(INDEX(tblPackages[Package Name],57)&amp;"","")</f>
        <v/>
      </c>
      <c r="T60">
        <f>IFERROR(INDEX(tblCollectors[Collector ID],57)&amp;"","")</f>
        <v/>
      </c>
      <c r="U60">
        <f>IFERROR(INDEX(tblCollectors[Collector Name],55)&amp;"","")</f>
        <v/>
      </c>
      <c r="V60">
        <f>IFERROR(INDEX(tblCustomers[Customer ID],57)&amp;"","")</f>
        <v/>
      </c>
    </row>
    <row r="61">
      <c r="L61" s="32" t="inlineStr">
        <is>
          <t>2028-10</t>
        </is>
      </c>
      <c r="M61" s="32" t="inlineStr">
        <is>
          <t>2028-09</t>
        </is>
      </c>
      <c r="O61">
        <f>IFERROR(INDEX(tblAreas[Area Code],58)&amp;"","")</f>
        <v/>
      </c>
      <c r="P61">
        <f>IFERROR(INDEX(tblAreas[Area Name],57)&amp;"","")</f>
        <v/>
      </c>
      <c r="Q61">
        <f>IFERROR(INDEX(tblLocations[Location Code],58)&amp;"","")</f>
        <v/>
      </c>
      <c r="R61">
        <f>IFERROR(INDEX(tblLocations[Location Code],57)&amp;"","")</f>
        <v/>
      </c>
      <c r="S61">
        <f>IFERROR(INDEX(tblPackages[Package Name],58)&amp;"","")</f>
        <v/>
      </c>
      <c r="T61">
        <f>IFERROR(INDEX(tblCollectors[Collector ID],58)&amp;"","")</f>
        <v/>
      </c>
      <c r="U61">
        <f>IFERROR(INDEX(tblCollectors[Collector Name],56)&amp;"","")</f>
        <v/>
      </c>
      <c r="V61">
        <f>IFERROR(INDEX(tblCustomers[Customer ID],58)&amp;"","")</f>
        <v/>
      </c>
    </row>
    <row r="62">
      <c r="L62" s="32" t="inlineStr">
        <is>
          <t>2028-11</t>
        </is>
      </c>
      <c r="M62" s="32" t="inlineStr">
        <is>
          <t>2028-10</t>
        </is>
      </c>
      <c r="O62">
        <f>IFERROR(INDEX(tblAreas[Area Code],59)&amp;"","")</f>
        <v/>
      </c>
      <c r="P62">
        <f>IFERROR(INDEX(tblAreas[Area Name],58)&amp;"","")</f>
        <v/>
      </c>
      <c r="Q62">
        <f>IFERROR(INDEX(tblLocations[Location Code],59)&amp;"","")</f>
        <v/>
      </c>
      <c r="R62">
        <f>IFERROR(INDEX(tblLocations[Location Code],58)&amp;"","")</f>
        <v/>
      </c>
      <c r="S62">
        <f>IFERROR(INDEX(tblPackages[Package Name],59)&amp;"","")</f>
        <v/>
      </c>
      <c r="T62">
        <f>IFERROR(INDEX(tblCollectors[Collector ID],59)&amp;"","")</f>
        <v/>
      </c>
      <c r="U62">
        <f>IFERROR(INDEX(tblCollectors[Collector Name],57)&amp;"","")</f>
        <v/>
      </c>
      <c r="V62">
        <f>IFERROR(INDEX(tblCustomers[Customer ID],59)&amp;"","")</f>
        <v/>
      </c>
    </row>
    <row r="63">
      <c r="L63" s="32" t="inlineStr">
        <is>
          <t>2028-12</t>
        </is>
      </c>
      <c r="M63" s="32" t="inlineStr">
        <is>
          <t>2028-11</t>
        </is>
      </c>
      <c r="O63">
        <f>IFERROR(INDEX(tblAreas[Area Code],60)&amp;"","")</f>
        <v/>
      </c>
      <c r="P63">
        <f>IFERROR(INDEX(tblAreas[Area Name],59)&amp;"","")</f>
        <v/>
      </c>
      <c r="Q63">
        <f>IFERROR(INDEX(tblLocations[Location Code],60)&amp;"","")</f>
        <v/>
      </c>
      <c r="R63">
        <f>IFERROR(INDEX(tblLocations[Location Code],59)&amp;"","")</f>
        <v/>
      </c>
      <c r="S63">
        <f>IFERROR(INDEX(tblPackages[Package Name],60)&amp;"","")</f>
        <v/>
      </c>
      <c r="T63">
        <f>IFERROR(INDEX(tblCollectors[Collector ID],60)&amp;"","")</f>
        <v/>
      </c>
      <c r="U63">
        <f>IFERROR(INDEX(tblCollectors[Collector Name],58)&amp;"","")</f>
        <v/>
      </c>
      <c r="V63">
        <f>IFERROR(INDEX(tblCustomers[Customer ID],60)&amp;"","")</f>
        <v/>
      </c>
    </row>
    <row r="64">
      <c r="L64" s="32" t="inlineStr">
        <is>
          <t>2029-01</t>
        </is>
      </c>
      <c r="M64" s="32" t="inlineStr">
        <is>
          <t>2028-12</t>
        </is>
      </c>
      <c r="O64">
        <f>IFERROR(INDEX(tblAreas[Area Code],61)&amp;"","")</f>
        <v/>
      </c>
      <c r="P64">
        <f>IFERROR(INDEX(tblAreas[Area Name],60)&amp;"","")</f>
        <v/>
      </c>
      <c r="Q64">
        <f>IFERROR(INDEX(tblLocations[Location Code],61)&amp;"","")</f>
        <v/>
      </c>
      <c r="R64">
        <f>IFERROR(INDEX(tblLocations[Location Code],60)&amp;"","")</f>
        <v/>
      </c>
      <c r="S64">
        <f>IFERROR(INDEX(tblPackages[Package Name],61)&amp;"","")</f>
        <v/>
      </c>
      <c r="T64">
        <f>IFERROR(INDEX(tblCollectors[Collector ID],61)&amp;"","")</f>
        <v/>
      </c>
      <c r="U64">
        <f>IFERROR(INDEX(tblCollectors[Collector Name],59)&amp;"","")</f>
        <v/>
      </c>
      <c r="V64">
        <f>IFERROR(INDEX(tblCustomers[Customer ID],61)&amp;"","")</f>
        <v/>
      </c>
    </row>
    <row r="65">
      <c r="L65" s="32" t="inlineStr">
        <is>
          <t>2029-02</t>
        </is>
      </c>
      <c r="M65" s="32" t="inlineStr">
        <is>
          <t>2029-01</t>
        </is>
      </c>
      <c r="O65">
        <f>IFERROR(INDEX(tblAreas[Area Code],62)&amp;"","")</f>
        <v/>
      </c>
      <c r="P65">
        <f>IFERROR(INDEX(tblAreas[Area Name],61)&amp;"","")</f>
        <v/>
      </c>
      <c r="Q65">
        <f>IFERROR(INDEX(tblLocations[Location Code],62)&amp;"","")</f>
        <v/>
      </c>
      <c r="R65">
        <f>IFERROR(INDEX(tblLocations[Location Code],61)&amp;"","")</f>
        <v/>
      </c>
      <c r="S65">
        <f>IFERROR(INDEX(tblPackages[Package Name],62)&amp;"","")</f>
        <v/>
      </c>
      <c r="T65">
        <f>IFERROR(INDEX(tblCollectors[Collector ID],62)&amp;"","")</f>
        <v/>
      </c>
      <c r="U65">
        <f>IFERROR(INDEX(tblCollectors[Collector Name],60)&amp;"","")</f>
        <v/>
      </c>
      <c r="V65">
        <f>IFERROR(INDEX(tblCustomers[Customer ID],62)&amp;"","")</f>
        <v/>
      </c>
    </row>
    <row r="66">
      <c r="L66" s="32" t="inlineStr">
        <is>
          <t>2029-03</t>
        </is>
      </c>
      <c r="M66" s="32" t="inlineStr">
        <is>
          <t>2029-02</t>
        </is>
      </c>
      <c r="O66">
        <f>IFERROR(INDEX(tblAreas[Area Code],63)&amp;"","")</f>
        <v/>
      </c>
      <c r="P66">
        <f>IFERROR(INDEX(tblAreas[Area Name],62)&amp;"","")</f>
        <v/>
      </c>
      <c r="Q66">
        <f>IFERROR(INDEX(tblLocations[Location Code],63)&amp;"","")</f>
        <v/>
      </c>
      <c r="R66">
        <f>IFERROR(INDEX(tblLocations[Location Code],62)&amp;"","")</f>
        <v/>
      </c>
      <c r="S66">
        <f>IFERROR(INDEX(tblPackages[Package Name],63)&amp;"","")</f>
        <v/>
      </c>
      <c r="T66">
        <f>IFERROR(INDEX(tblCollectors[Collector ID],63)&amp;"","")</f>
        <v/>
      </c>
      <c r="U66">
        <f>IFERROR(INDEX(tblCollectors[Collector Name],61)&amp;"","")</f>
        <v/>
      </c>
      <c r="V66">
        <f>IFERROR(INDEX(tblCustomers[Customer ID],63)&amp;"","")</f>
        <v/>
      </c>
    </row>
    <row r="67">
      <c r="L67" s="32" t="inlineStr">
        <is>
          <t>2029-04</t>
        </is>
      </c>
      <c r="M67" s="32" t="inlineStr">
        <is>
          <t>2029-03</t>
        </is>
      </c>
      <c r="O67">
        <f>IFERROR(INDEX(tblAreas[Area Code],64)&amp;"","")</f>
        <v/>
      </c>
      <c r="P67">
        <f>IFERROR(INDEX(tblAreas[Area Name],63)&amp;"","")</f>
        <v/>
      </c>
      <c r="Q67">
        <f>IFERROR(INDEX(tblLocations[Location Code],64)&amp;"","")</f>
        <v/>
      </c>
      <c r="R67">
        <f>IFERROR(INDEX(tblLocations[Location Code],63)&amp;"","")</f>
        <v/>
      </c>
      <c r="S67">
        <f>IFERROR(INDEX(tblPackages[Package Name],64)&amp;"","")</f>
        <v/>
      </c>
      <c r="T67">
        <f>IFERROR(INDEX(tblCollectors[Collector ID],64)&amp;"","")</f>
        <v/>
      </c>
      <c r="U67">
        <f>IFERROR(INDEX(tblCollectors[Collector Name],62)&amp;"","")</f>
        <v/>
      </c>
      <c r="V67">
        <f>IFERROR(INDEX(tblCustomers[Customer ID],64)&amp;"","")</f>
        <v/>
      </c>
    </row>
    <row r="68">
      <c r="L68" s="32" t="inlineStr">
        <is>
          <t>2029-05</t>
        </is>
      </c>
      <c r="M68" s="32" t="inlineStr">
        <is>
          <t>2029-04</t>
        </is>
      </c>
      <c r="O68">
        <f>IFERROR(INDEX(tblAreas[Area Code],65)&amp;"","")</f>
        <v/>
      </c>
      <c r="P68">
        <f>IFERROR(INDEX(tblAreas[Area Name],64)&amp;"","")</f>
        <v/>
      </c>
      <c r="Q68">
        <f>IFERROR(INDEX(tblLocations[Location Code],65)&amp;"","")</f>
        <v/>
      </c>
      <c r="R68">
        <f>IFERROR(INDEX(tblLocations[Location Code],64)&amp;"","")</f>
        <v/>
      </c>
      <c r="S68">
        <f>IFERROR(INDEX(tblPackages[Package Name],65)&amp;"","")</f>
        <v/>
      </c>
      <c r="T68">
        <f>IFERROR(INDEX(tblCollectors[Collector ID],65)&amp;"","")</f>
        <v/>
      </c>
      <c r="U68">
        <f>IFERROR(INDEX(tblCollectors[Collector Name],63)&amp;"","")</f>
        <v/>
      </c>
      <c r="V68">
        <f>IFERROR(INDEX(tblCustomers[Customer ID],65)&amp;"","")</f>
        <v/>
      </c>
    </row>
    <row r="69">
      <c r="L69" s="32" t="inlineStr">
        <is>
          <t>2029-06</t>
        </is>
      </c>
      <c r="M69" s="32" t="inlineStr">
        <is>
          <t>2029-05</t>
        </is>
      </c>
      <c r="O69">
        <f>IFERROR(INDEX(tblAreas[Area Code],66)&amp;"","")</f>
        <v/>
      </c>
      <c r="P69">
        <f>IFERROR(INDEX(tblAreas[Area Name],65)&amp;"","")</f>
        <v/>
      </c>
      <c r="Q69">
        <f>IFERROR(INDEX(tblLocations[Location Code],66)&amp;"","")</f>
        <v/>
      </c>
      <c r="R69">
        <f>IFERROR(INDEX(tblLocations[Location Code],65)&amp;"","")</f>
        <v/>
      </c>
      <c r="S69">
        <f>IFERROR(INDEX(tblPackages[Package Name],66)&amp;"","")</f>
        <v/>
      </c>
      <c r="T69">
        <f>IFERROR(INDEX(tblCollectors[Collector ID],66)&amp;"","")</f>
        <v/>
      </c>
      <c r="U69">
        <f>IFERROR(INDEX(tblCollectors[Collector Name],64)&amp;"","")</f>
        <v/>
      </c>
      <c r="V69">
        <f>IFERROR(INDEX(tblCustomers[Customer ID],66)&amp;"","")</f>
        <v/>
      </c>
    </row>
    <row r="70">
      <c r="L70" s="32" t="inlineStr">
        <is>
          <t>2029-07</t>
        </is>
      </c>
      <c r="M70" s="32" t="inlineStr">
        <is>
          <t>2029-06</t>
        </is>
      </c>
      <c r="O70">
        <f>IFERROR(INDEX(tblAreas[Area Code],67)&amp;"","")</f>
        <v/>
      </c>
      <c r="P70">
        <f>IFERROR(INDEX(tblAreas[Area Name],66)&amp;"","")</f>
        <v/>
      </c>
      <c r="Q70">
        <f>IFERROR(INDEX(tblLocations[Location Code],67)&amp;"","")</f>
        <v/>
      </c>
      <c r="R70">
        <f>IFERROR(INDEX(tblLocations[Location Code],66)&amp;"","")</f>
        <v/>
      </c>
      <c r="S70">
        <f>IFERROR(INDEX(tblPackages[Package Name],67)&amp;"","")</f>
        <v/>
      </c>
      <c r="T70">
        <f>IFERROR(INDEX(tblCollectors[Collector ID],67)&amp;"","")</f>
        <v/>
      </c>
      <c r="U70">
        <f>IFERROR(INDEX(tblCollectors[Collector Name],65)&amp;"","")</f>
        <v/>
      </c>
      <c r="V70">
        <f>IFERROR(INDEX(tblCustomers[Customer ID],67)&amp;"","")</f>
        <v/>
      </c>
    </row>
    <row r="71">
      <c r="L71" s="32" t="inlineStr">
        <is>
          <t>2029-08</t>
        </is>
      </c>
      <c r="M71" s="32" t="inlineStr">
        <is>
          <t>2029-07</t>
        </is>
      </c>
      <c r="O71">
        <f>IFERROR(INDEX(tblAreas[Area Code],68)&amp;"","")</f>
        <v/>
      </c>
      <c r="P71">
        <f>IFERROR(INDEX(tblAreas[Area Name],67)&amp;"","")</f>
        <v/>
      </c>
      <c r="Q71">
        <f>IFERROR(INDEX(tblLocations[Location Code],68)&amp;"","")</f>
        <v/>
      </c>
      <c r="R71">
        <f>IFERROR(INDEX(tblLocations[Location Code],67)&amp;"","")</f>
        <v/>
      </c>
      <c r="S71">
        <f>IFERROR(INDEX(tblPackages[Package Name],68)&amp;"","")</f>
        <v/>
      </c>
      <c r="T71">
        <f>IFERROR(INDEX(tblCollectors[Collector ID],68)&amp;"","")</f>
        <v/>
      </c>
      <c r="U71">
        <f>IFERROR(INDEX(tblCollectors[Collector Name],66)&amp;"","")</f>
        <v/>
      </c>
      <c r="V71">
        <f>IFERROR(INDEX(tblCustomers[Customer ID],68)&amp;"","")</f>
        <v/>
      </c>
    </row>
    <row r="72">
      <c r="L72" s="32" t="inlineStr">
        <is>
          <t>2029-09</t>
        </is>
      </c>
      <c r="M72" s="32" t="inlineStr">
        <is>
          <t>2029-08</t>
        </is>
      </c>
      <c r="O72">
        <f>IFERROR(INDEX(tblAreas[Area Code],69)&amp;"","")</f>
        <v/>
      </c>
      <c r="P72">
        <f>IFERROR(INDEX(tblAreas[Area Name],68)&amp;"","")</f>
        <v/>
      </c>
      <c r="Q72">
        <f>IFERROR(INDEX(tblLocations[Location Code],69)&amp;"","")</f>
        <v/>
      </c>
      <c r="R72">
        <f>IFERROR(INDEX(tblLocations[Location Code],68)&amp;"","")</f>
        <v/>
      </c>
      <c r="S72">
        <f>IFERROR(INDEX(tblPackages[Package Name],69)&amp;"","")</f>
        <v/>
      </c>
      <c r="T72">
        <f>IFERROR(INDEX(tblCollectors[Collector ID],69)&amp;"","")</f>
        <v/>
      </c>
      <c r="U72">
        <f>IFERROR(INDEX(tblCollectors[Collector Name],67)&amp;"","")</f>
        <v/>
      </c>
      <c r="V72">
        <f>IFERROR(INDEX(tblCustomers[Customer ID],69)&amp;"","")</f>
        <v/>
      </c>
    </row>
    <row r="73">
      <c r="L73" s="32" t="inlineStr">
        <is>
          <t>2029-10</t>
        </is>
      </c>
      <c r="M73" s="32" t="inlineStr">
        <is>
          <t>2029-09</t>
        </is>
      </c>
      <c r="O73">
        <f>IFERROR(INDEX(tblAreas[Area Code],70)&amp;"","")</f>
        <v/>
      </c>
      <c r="P73">
        <f>IFERROR(INDEX(tblAreas[Area Name],69)&amp;"","")</f>
        <v/>
      </c>
      <c r="Q73">
        <f>IFERROR(INDEX(tblLocations[Location Code],70)&amp;"","")</f>
        <v/>
      </c>
      <c r="R73">
        <f>IFERROR(INDEX(tblLocations[Location Code],69)&amp;"","")</f>
        <v/>
      </c>
      <c r="S73">
        <f>IFERROR(INDEX(tblPackages[Package Name],70)&amp;"","")</f>
        <v/>
      </c>
      <c r="T73">
        <f>IFERROR(INDEX(tblCollectors[Collector ID],70)&amp;"","")</f>
        <v/>
      </c>
      <c r="U73">
        <f>IFERROR(INDEX(tblCollectors[Collector Name],68)&amp;"","")</f>
        <v/>
      </c>
      <c r="V73">
        <f>IFERROR(INDEX(tblCustomers[Customer ID],70)&amp;"","")</f>
        <v/>
      </c>
    </row>
    <row r="74">
      <c r="L74" s="32" t="inlineStr">
        <is>
          <t>2029-11</t>
        </is>
      </c>
      <c r="M74" s="32" t="inlineStr">
        <is>
          <t>2029-10</t>
        </is>
      </c>
      <c r="O74">
        <f>IFERROR(INDEX(tblAreas[Area Code],71)&amp;"","")</f>
        <v/>
      </c>
      <c r="P74">
        <f>IFERROR(INDEX(tblAreas[Area Name],70)&amp;"","")</f>
        <v/>
      </c>
      <c r="Q74">
        <f>IFERROR(INDEX(tblLocations[Location Code],71)&amp;"","")</f>
        <v/>
      </c>
      <c r="R74">
        <f>IFERROR(INDEX(tblLocations[Location Code],70)&amp;"","")</f>
        <v/>
      </c>
      <c r="S74">
        <f>IFERROR(INDEX(tblPackages[Package Name],71)&amp;"","")</f>
        <v/>
      </c>
      <c r="T74">
        <f>IFERROR(INDEX(tblCollectors[Collector ID],71)&amp;"","")</f>
        <v/>
      </c>
      <c r="U74">
        <f>IFERROR(INDEX(tblCollectors[Collector Name],69)&amp;"","")</f>
        <v/>
      </c>
      <c r="V74">
        <f>IFERROR(INDEX(tblCustomers[Customer ID],71)&amp;"","")</f>
        <v/>
      </c>
    </row>
    <row r="75">
      <c r="L75" s="32" t="inlineStr">
        <is>
          <t>2029-12</t>
        </is>
      </c>
      <c r="M75" s="32" t="inlineStr">
        <is>
          <t>2029-11</t>
        </is>
      </c>
      <c r="O75">
        <f>IFERROR(INDEX(tblAreas[Area Code],72)&amp;"","")</f>
        <v/>
      </c>
      <c r="P75">
        <f>IFERROR(INDEX(tblAreas[Area Name],71)&amp;"","")</f>
        <v/>
      </c>
      <c r="Q75">
        <f>IFERROR(INDEX(tblLocations[Location Code],72)&amp;"","")</f>
        <v/>
      </c>
      <c r="R75">
        <f>IFERROR(INDEX(tblLocations[Location Code],71)&amp;"","")</f>
        <v/>
      </c>
      <c r="S75">
        <f>IFERROR(INDEX(tblPackages[Package Name],72)&amp;"","")</f>
        <v/>
      </c>
      <c r="T75">
        <f>IFERROR(INDEX(tblCollectors[Collector ID],72)&amp;"","")</f>
        <v/>
      </c>
      <c r="U75">
        <f>IFERROR(INDEX(tblCollectors[Collector Name],70)&amp;"","")</f>
        <v/>
      </c>
      <c r="V75">
        <f>IFERROR(INDEX(tblCustomers[Customer ID],72)&amp;"","")</f>
        <v/>
      </c>
    </row>
    <row r="76">
      <c r="L76" s="32" t="inlineStr">
        <is>
          <t>2030-01</t>
        </is>
      </c>
      <c r="M76" s="32" t="inlineStr">
        <is>
          <t>2029-12</t>
        </is>
      </c>
      <c r="O76">
        <f>IFERROR(INDEX(tblAreas[Area Code],73)&amp;"","")</f>
        <v/>
      </c>
      <c r="P76">
        <f>IFERROR(INDEX(tblAreas[Area Name],72)&amp;"","")</f>
        <v/>
      </c>
      <c r="Q76">
        <f>IFERROR(INDEX(tblLocations[Location Code],73)&amp;"","")</f>
        <v/>
      </c>
      <c r="R76">
        <f>IFERROR(INDEX(tblLocations[Location Code],72)&amp;"","")</f>
        <v/>
      </c>
      <c r="S76">
        <f>IFERROR(INDEX(tblPackages[Package Name],73)&amp;"","")</f>
        <v/>
      </c>
      <c r="T76">
        <f>IFERROR(INDEX(tblCollectors[Collector ID],73)&amp;"","")</f>
        <v/>
      </c>
      <c r="U76">
        <f>IFERROR(INDEX(tblCollectors[Collector Name],71)&amp;"","")</f>
        <v/>
      </c>
      <c r="V76">
        <f>IFERROR(INDEX(tblCustomers[Customer ID],73)&amp;"","")</f>
        <v/>
      </c>
    </row>
    <row r="77">
      <c r="L77" s="32" t="inlineStr">
        <is>
          <t>2030-02</t>
        </is>
      </c>
      <c r="M77" s="32" t="inlineStr">
        <is>
          <t>2030-01</t>
        </is>
      </c>
      <c r="O77">
        <f>IFERROR(INDEX(tblAreas[Area Code],74)&amp;"","")</f>
        <v/>
      </c>
      <c r="P77">
        <f>IFERROR(INDEX(tblAreas[Area Name],73)&amp;"","")</f>
        <v/>
      </c>
      <c r="Q77">
        <f>IFERROR(INDEX(tblLocations[Location Code],74)&amp;"","")</f>
        <v/>
      </c>
      <c r="R77">
        <f>IFERROR(INDEX(tblLocations[Location Code],73)&amp;"","")</f>
        <v/>
      </c>
      <c r="S77">
        <f>IFERROR(INDEX(tblPackages[Package Name],74)&amp;"","")</f>
        <v/>
      </c>
      <c r="T77">
        <f>IFERROR(INDEX(tblCollectors[Collector ID],74)&amp;"","")</f>
        <v/>
      </c>
      <c r="U77">
        <f>IFERROR(INDEX(tblCollectors[Collector Name],72)&amp;"","")</f>
        <v/>
      </c>
      <c r="V77">
        <f>IFERROR(INDEX(tblCustomers[Customer ID],74)&amp;"","")</f>
        <v/>
      </c>
    </row>
    <row r="78">
      <c r="L78" s="32" t="inlineStr">
        <is>
          <t>2030-03</t>
        </is>
      </c>
      <c r="M78" s="32" t="inlineStr">
        <is>
          <t>2030-02</t>
        </is>
      </c>
      <c r="O78">
        <f>IFERROR(INDEX(tblAreas[Area Code],75)&amp;"","")</f>
        <v/>
      </c>
      <c r="P78">
        <f>IFERROR(INDEX(tblAreas[Area Name],74)&amp;"","")</f>
        <v/>
      </c>
      <c r="Q78">
        <f>IFERROR(INDEX(tblLocations[Location Code],75)&amp;"","")</f>
        <v/>
      </c>
      <c r="R78">
        <f>IFERROR(INDEX(tblLocations[Location Code],74)&amp;"","")</f>
        <v/>
      </c>
      <c r="S78">
        <f>IFERROR(INDEX(tblPackages[Package Name],75)&amp;"","")</f>
        <v/>
      </c>
      <c r="T78">
        <f>IFERROR(INDEX(tblCollectors[Collector ID],75)&amp;"","")</f>
        <v/>
      </c>
      <c r="U78">
        <f>IFERROR(INDEX(tblCollectors[Collector Name],73)&amp;"","")</f>
        <v/>
      </c>
      <c r="V78">
        <f>IFERROR(INDEX(tblCustomers[Customer ID],75)&amp;"","")</f>
        <v/>
      </c>
    </row>
    <row r="79">
      <c r="L79" s="32" t="inlineStr">
        <is>
          <t>2030-04</t>
        </is>
      </c>
      <c r="M79" s="32" t="inlineStr">
        <is>
          <t>2030-03</t>
        </is>
      </c>
      <c r="O79">
        <f>IFERROR(INDEX(tblAreas[Area Code],76)&amp;"","")</f>
        <v/>
      </c>
      <c r="P79">
        <f>IFERROR(INDEX(tblAreas[Area Name],75)&amp;"","")</f>
        <v/>
      </c>
      <c r="Q79">
        <f>IFERROR(INDEX(tblLocations[Location Code],76)&amp;"","")</f>
        <v/>
      </c>
      <c r="R79">
        <f>IFERROR(INDEX(tblLocations[Location Code],75)&amp;"","")</f>
        <v/>
      </c>
      <c r="S79">
        <f>IFERROR(INDEX(tblPackages[Package Name],76)&amp;"","")</f>
        <v/>
      </c>
      <c r="T79">
        <f>IFERROR(INDEX(tblCollectors[Collector ID],76)&amp;"","")</f>
        <v/>
      </c>
      <c r="U79">
        <f>IFERROR(INDEX(tblCollectors[Collector Name],74)&amp;"","")</f>
        <v/>
      </c>
      <c r="V79">
        <f>IFERROR(INDEX(tblCustomers[Customer ID],76)&amp;"","")</f>
        <v/>
      </c>
    </row>
    <row r="80">
      <c r="L80" s="32" t="inlineStr">
        <is>
          <t>2030-05</t>
        </is>
      </c>
      <c r="M80" s="32" t="inlineStr">
        <is>
          <t>2030-04</t>
        </is>
      </c>
      <c r="O80">
        <f>IFERROR(INDEX(tblAreas[Area Code],77)&amp;"","")</f>
        <v/>
      </c>
      <c r="P80">
        <f>IFERROR(INDEX(tblAreas[Area Name],76)&amp;"","")</f>
        <v/>
      </c>
      <c r="Q80">
        <f>IFERROR(INDEX(tblLocations[Location Code],77)&amp;"","")</f>
        <v/>
      </c>
      <c r="R80">
        <f>IFERROR(INDEX(tblLocations[Location Code],76)&amp;"","")</f>
        <v/>
      </c>
      <c r="S80">
        <f>IFERROR(INDEX(tblPackages[Package Name],77)&amp;"","")</f>
        <v/>
      </c>
      <c r="T80">
        <f>IFERROR(INDEX(tblCollectors[Collector ID],77)&amp;"","")</f>
        <v/>
      </c>
      <c r="U80">
        <f>IFERROR(INDEX(tblCollectors[Collector Name],75)&amp;"","")</f>
        <v/>
      </c>
      <c r="V80">
        <f>IFERROR(INDEX(tblCustomers[Customer ID],77)&amp;"","")</f>
        <v/>
      </c>
    </row>
    <row r="81">
      <c r="L81" s="32" t="inlineStr">
        <is>
          <t>2030-06</t>
        </is>
      </c>
      <c r="M81" s="32" t="inlineStr">
        <is>
          <t>2030-05</t>
        </is>
      </c>
      <c r="O81">
        <f>IFERROR(INDEX(tblAreas[Area Code],78)&amp;"","")</f>
        <v/>
      </c>
      <c r="P81">
        <f>IFERROR(INDEX(tblAreas[Area Name],77)&amp;"","")</f>
        <v/>
      </c>
      <c r="Q81">
        <f>IFERROR(INDEX(tblLocations[Location Code],78)&amp;"","")</f>
        <v/>
      </c>
      <c r="R81">
        <f>IFERROR(INDEX(tblLocations[Location Code],77)&amp;"","")</f>
        <v/>
      </c>
      <c r="S81">
        <f>IFERROR(INDEX(tblPackages[Package Name],78)&amp;"","")</f>
        <v/>
      </c>
      <c r="T81">
        <f>IFERROR(INDEX(tblCollectors[Collector ID],78)&amp;"","")</f>
        <v/>
      </c>
      <c r="U81">
        <f>IFERROR(INDEX(tblCollectors[Collector Name],76)&amp;"","")</f>
        <v/>
      </c>
      <c r="V81">
        <f>IFERROR(INDEX(tblCustomers[Customer ID],78)&amp;"","")</f>
        <v/>
      </c>
    </row>
    <row r="82">
      <c r="L82" s="32" t="inlineStr">
        <is>
          <t>2030-07</t>
        </is>
      </c>
      <c r="M82" s="32" t="inlineStr">
        <is>
          <t>2030-06</t>
        </is>
      </c>
      <c r="O82">
        <f>IFERROR(INDEX(tblAreas[Area Code],79)&amp;"","")</f>
        <v/>
      </c>
      <c r="P82">
        <f>IFERROR(INDEX(tblAreas[Area Name],78)&amp;"","")</f>
        <v/>
      </c>
      <c r="Q82">
        <f>IFERROR(INDEX(tblLocations[Location Code],79)&amp;"","")</f>
        <v/>
      </c>
      <c r="R82">
        <f>IFERROR(INDEX(tblLocations[Location Code],78)&amp;"","")</f>
        <v/>
      </c>
      <c r="S82">
        <f>IFERROR(INDEX(tblPackages[Package Name],79)&amp;"","")</f>
        <v/>
      </c>
      <c r="T82">
        <f>IFERROR(INDEX(tblCollectors[Collector ID],79)&amp;"","")</f>
        <v/>
      </c>
      <c r="U82">
        <f>IFERROR(INDEX(tblCollectors[Collector Name],77)&amp;"","")</f>
        <v/>
      </c>
      <c r="V82">
        <f>IFERROR(INDEX(tblCustomers[Customer ID],79)&amp;"","")</f>
        <v/>
      </c>
    </row>
    <row r="83">
      <c r="L83" s="32" t="inlineStr">
        <is>
          <t>2030-08</t>
        </is>
      </c>
      <c r="M83" s="32" t="inlineStr">
        <is>
          <t>2030-07</t>
        </is>
      </c>
      <c r="O83">
        <f>IFERROR(INDEX(tblAreas[Area Code],80)&amp;"","")</f>
        <v/>
      </c>
      <c r="P83">
        <f>IFERROR(INDEX(tblAreas[Area Name],79)&amp;"","")</f>
        <v/>
      </c>
      <c r="Q83">
        <f>IFERROR(INDEX(tblLocations[Location Code],80)&amp;"","")</f>
        <v/>
      </c>
      <c r="R83">
        <f>IFERROR(INDEX(tblLocations[Location Code],79)&amp;"","")</f>
        <v/>
      </c>
      <c r="S83">
        <f>IFERROR(INDEX(tblPackages[Package Name],80)&amp;"","")</f>
        <v/>
      </c>
      <c r="T83">
        <f>IFERROR(INDEX(tblCollectors[Collector ID],80)&amp;"","")</f>
        <v/>
      </c>
      <c r="U83">
        <f>IFERROR(INDEX(tblCollectors[Collector Name],78)&amp;"","")</f>
        <v/>
      </c>
      <c r="V83">
        <f>IFERROR(INDEX(tblCustomers[Customer ID],80)&amp;"","")</f>
        <v/>
      </c>
    </row>
    <row r="84">
      <c r="L84" s="32" t="inlineStr">
        <is>
          <t>2030-09</t>
        </is>
      </c>
      <c r="M84" s="32" t="inlineStr">
        <is>
          <t>2030-08</t>
        </is>
      </c>
      <c r="O84">
        <f>IFERROR(INDEX(tblAreas[Area Code],81)&amp;"","")</f>
        <v/>
      </c>
      <c r="P84">
        <f>IFERROR(INDEX(tblAreas[Area Name],80)&amp;"","")</f>
        <v/>
      </c>
      <c r="Q84">
        <f>IFERROR(INDEX(tblLocations[Location Code],81)&amp;"","")</f>
        <v/>
      </c>
      <c r="R84">
        <f>IFERROR(INDEX(tblLocations[Location Code],80)&amp;"","")</f>
        <v/>
      </c>
      <c r="S84">
        <f>IFERROR(INDEX(tblPackages[Package Name],81)&amp;"","")</f>
        <v/>
      </c>
      <c r="T84">
        <f>IFERROR(INDEX(tblCollectors[Collector ID],81)&amp;"","")</f>
        <v/>
      </c>
      <c r="U84">
        <f>IFERROR(INDEX(tblCollectors[Collector Name],79)&amp;"","")</f>
        <v/>
      </c>
      <c r="V84">
        <f>IFERROR(INDEX(tblCustomers[Customer ID],81)&amp;"","")</f>
        <v/>
      </c>
    </row>
    <row r="85">
      <c r="L85" s="32" t="inlineStr">
        <is>
          <t>2030-10</t>
        </is>
      </c>
      <c r="M85" s="32" t="inlineStr">
        <is>
          <t>2030-09</t>
        </is>
      </c>
      <c r="O85">
        <f>IFERROR(INDEX(tblAreas[Area Code],82)&amp;"","")</f>
        <v/>
      </c>
      <c r="P85">
        <f>IFERROR(INDEX(tblAreas[Area Name],81)&amp;"","")</f>
        <v/>
      </c>
      <c r="Q85">
        <f>IFERROR(INDEX(tblLocations[Location Code],82)&amp;"","")</f>
        <v/>
      </c>
      <c r="R85">
        <f>IFERROR(INDEX(tblLocations[Location Code],81)&amp;"","")</f>
        <v/>
      </c>
      <c r="S85">
        <f>IFERROR(INDEX(tblPackages[Package Name],82)&amp;"","")</f>
        <v/>
      </c>
      <c r="T85">
        <f>IFERROR(INDEX(tblCollectors[Collector ID],82)&amp;"","")</f>
        <v/>
      </c>
      <c r="U85">
        <f>IFERROR(INDEX(tblCollectors[Collector Name],80)&amp;"","")</f>
        <v/>
      </c>
      <c r="V85">
        <f>IFERROR(INDEX(tblCustomers[Customer ID],82)&amp;"","")</f>
        <v/>
      </c>
    </row>
    <row r="86">
      <c r="L86" s="32" t="inlineStr">
        <is>
          <t>2030-11</t>
        </is>
      </c>
      <c r="M86" s="32" t="inlineStr">
        <is>
          <t>2030-10</t>
        </is>
      </c>
      <c r="O86">
        <f>IFERROR(INDEX(tblAreas[Area Code],83)&amp;"","")</f>
        <v/>
      </c>
      <c r="P86">
        <f>IFERROR(INDEX(tblAreas[Area Name],82)&amp;"","")</f>
        <v/>
      </c>
      <c r="Q86">
        <f>IFERROR(INDEX(tblLocations[Location Code],83)&amp;"","")</f>
        <v/>
      </c>
      <c r="R86">
        <f>IFERROR(INDEX(tblLocations[Location Code],82)&amp;"","")</f>
        <v/>
      </c>
      <c r="S86">
        <f>IFERROR(INDEX(tblPackages[Package Name],83)&amp;"","")</f>
        <v/>
      </c>
      <c r="T86">
        <f>IFERROR(INDEX(tblCollectors[Collector ID],83)&amp;"","")</f>
        <v/>
      </c>
      <c r="U86">
        <f>IFERROR(INDEX(tblCollectors[Collector Name],81)&amp;"","")</f>
        <v/>
      </c>
      <c r="V86">
        <f>IFERROR(INDEX(tblCustomers[Customer ID],83)&amp;"","")</f>
        <v/>
      </c>
    </row>
    <row r="87">
      <c r="L87" s="32" t="inlineStr">
        <is>
          <t>2030-12</t>
        </is>
      </c>
      <c r="M87" s="32" t="inlineStr">
        <is>
          <t>2030-11</t>
        </is>
      </c>
      <c r="O87">
        <f>IFERROR(INDEX(tblAreas[Area Code],84)&amp;"","")</f>
        <v/>
      </c>
      <c r="P87">
        <f>IFERROR(INDEX(tblAreas[Area Name],83)&amp;"","")</f>
        <v/>
      </c>
      <c r="Q87">
        <f>IFERROR(INDEX(tblLocations[Location Code],84)&amp;"","")</f>
        <v/>
      </c>
      <c r="R87">
        <f>IFERROR(INDEX(tblLocations[Location Code],83)&amp;"","")</f>
        <v/>
      </c>
      <c r="S87">
        <f>IFERROR(INDEX(tblPackages[Package Name],84)&amp;"","")</f>
        <v/>
      </c>
      <c r="T87">
        <f>IFERROR(INDEX(tblCollectors[Collector ID],84)&amp;"","")</f>
        <v/>
      </c>
      <c r="U87">
        <f>IFERROR(INDEX(tblCollectors[Collector Name],82)&amp;"","")</f>
        <v/>
      </c>
      <c r="V87">
        <f>IFERROR(INDEX(tblCustomers[Customer ID],84)&amp;"","")</f>
        <v/>
      </c>
    </row>
    <row r="88">
      <c r="L88" s="32" t="inlineStr">
        <is>
          <t>2031-01</t>
        </is>
      </c>
      <c r="M88" s="32" t="inlineStr">
        <is>
          <t>2030-12</t>
        </is>
      </c>
      <c r="O88">
        <f>IFERROR(INDEX(tblAreas[Area Code],85)&amp;"","")</f>
        <v/>
      </c>
      <c r="P88">
        <f>IFERROR(INDEX(tblAreas[Area Name],84)&amp;"","")</f>
        <v/>
      </c>
      <c r="Q88">
        <f>IFERROR(INDEX(tblLocations[Location Code],85)&amp;"","")</f>
        <v/>
      </c>
      <c r="R88">
        <f>IFERROR(INDEX(tblLocations[Location Code],84)&amp;"","")</f>
        <v/>
      </c>
      <c r="S88">
        <f>IFERROR(INDEX(tblPackages[Package Name],85)&amp;"","")</f>
        <v/>
      </c>
      <c r="T88">
        <f>IFERROR(INDEX(tblCollectors[Collector ID],85)&amp;"","")</f>
        <v/>
      </c>
      <c r="U88">
        <f>IFERROR(INDEX(tblCollectors[Collector Name],83)&amp;"","")</f>
        <v/>
      </c>
      <c r="V88">
        <f>IFERROR(INDEX(tblCustomers[Customer ID],85)&amp;"","")</f>
        <v/>
      </c>
    </row>
    <row r="89">
      <c r="L89" s="32" t="inlineStr">
        <is>
          <t>2031-02</t>
        </is>
      </c>
      <c r="M89" s="32" t="inlineStr">
        <is>
          <t>2031-01</t>
        </is>
      </c>
      <c r="O89">
        <f>IFERROR(INDEX(tblAreas[Area Code],86)&amp;"","")</f>
        <v/>
      </c>
      <c r="P89">
        <f>IFERROR(INDEX(tblAreas[Area Name],85)&amp;"","")</f>
        <v/>
      </c>
      <c r="Q89">
        <f>IFERROR(INDEX(tblLocations[Location Code],86)&amp;"","")</f>
        <v/>
      </c>
      <c r="R89">
        <f>IFERROR(INDEX(tblLocations[Location Code],85)&amp;"","")</f>
        <v/>
      </c>
      <c r="S89">
        <f>IFERROR(INDEX(tblPackages[Package Name],86)&amp;"","")</f>
        <v/>
      </c>
      <c r="T89">
        <f>IFERROR(INDEX(tblCollectors[Collector ID],86)&amp;"","")</f>
        <v/>
      </c>
      <c r="U89">
        <f>IFERROR(INDEX(tblCollectors[Collector Name],84)&amp;"","")</f>
        <v/>
      </c>
      <c r="V89">
        <f>IFERROR(INDEX(tblCustomers[Customer ID],86)&amp;"","")</f>
        <v/>
      </c>
    </row>
    <row r="90">
      <c r="L90" s="32" t="inlineStr">
        <is>
          <t>2031-03</t>
        </is>
      </c>
      <c r="M90" s="32" t="inlineStr">
        <is>
          <t>2031-02</t>
        </is>
      </c>
      <c r="O90">
        <f>IFERROR(INDEX(tblAreas[Area Code],87)&amp;"","")</f>
        <v/>
      </c>
      <c r="P90">
        <f>IFERROR(INDEX(tblAreas[Area Name],86)&amp;"","")</f>
        <v/>
      </c>
      <c r="Q90">
        <f>IFERROR(INDEX(tblLocations[Location Code],87)&amp;"","")</f>
        <v/>
      </c>
      <c r="R90">
        <f>IFERROR(INDEX(tblLocations[Location Code],86)&amp;"","")</f>
        <v/>
      </c>
      <c r="S90">
        <f>IFERROR(INDEX(tblPackages[Package Name],87)&amp;"","")</f>
        <v/>
      </c>
      <c r="T90">
        <f>IFERROR(INDEX(tblCollectors[Collector ID],87)&amp;"","")</f>
        <v/>
      </c>
      <c r="U90">
        <f>IFERROR(INDEX(tblCollectors[Collector Name],85)&amp;"","")</f>
        <v/>
      </c>
      <c r="V90">
        <f>IFERROR(INDEX(tblCustomers[Customer ID],87)&amp;"","")</f>
        <v/>
      </c>
    </row>
    <row r="91">
      <c r="L91" s="32" t="inlineStr">
        <is>
          <t>2031-04</t>
        </is>
      </c>
      <c r="M91" s="32" t="inlineStr">
        <is>
          <t>2031-03</t>
        </is>
      </c>
      <c r="O91">
        <f>IFERROR(INDEX(tblAreas[Area Code],88)&amp;"","")</f>
        <v/>
      </c>
      <c r="P91">
        <f>IFERROR(INDEX(tblAreas[Area Name],87)&amp;"","")</f>
        <v/>
      </c>
      <c r="Q91">
        <f>IFERROR(INDEX(tblLocations[Location Code],88)&amp;"","")</f>
        <v/>
      </c>
      <c r="R91">
        <f>IFERROR(INDEX(tblLocations[Location Code],87)&amp;"","")</f>
        <v/>
      </c>
      <c r="S91">
        <f>IFERROR(INDEX(tblPackages[Package Name],88)&amp;"","")</f>
        <v/>
      </c>
      <c r="T91">
        <f>IFERROR(INDEX(tblCollectors[Collector ID],88)&amp;"","")</f>
        <v/>
      </c>
      <c r="U91">
        <f>IFERROR(INDEX(tblCollectors[Collector Name],86)&amp;"","")</f>
        <v/>
      </c>
      <c r="V91">
        <f>IFERROR(INDEX(tblCustomers[Customer ID],88)&amp;"","")</f>
        <v/>
      </c>
    </row>
    <row r="92">
      <c r="L92" s="32" t="inlineStr">
        <is>
          <t>2031-05</t>
        </is>
      </c>
      <c r="M92" s="32" t="inlineStr">
        <is>
          <t>2031-04</t>
        </is>
      </c>
      <c r="O92">
        <f>IFERROR(INDEX(tblAreas[Area Code],89)&amp;"","")</f>
        <v/>
      </c>
      <c r="P92">
        <f>IFERROR(INDEX(tblAreas[Area Name],88)&amp;"","")</f>
        <v/>
      </c>
      <c r="Q92">
        <f>IFERROR(INDEX(tblLocations[Location Code],89)&amp;"","")</f>
        <v/>
      </c>
      <c r="R92">
        <f>IFERROR(INDEX(tblLocations[Location Code],88)&amp;"","")</f>
        <v/>
      </c>
      <c r="S92">
        <f>IFERROR(INDEX(tblPackages[Package Name],89)&amp;"","")</f>
        <v/>
      </c>
      <c r="T92">
        <f>IFERROR(INDEX(tblCollectors[Collector ID],89)&amp;"","")</f>
        <v/>
      </c>
      <c r="U92">
        <f>IFERROR(INDEX(tblCollectors[Collector Name],87)&amp;"","")</f>
        <v/>
      </c>
      <c r="V92">
        <f>IFERROR(INDEX(tblCustomers[Customer ID],89)&amp;"","")</f>
        <v/>
      </c>
    </row>
    <row r="93">
      <c r="L93" s="32" t="inlineStr">
        <is>
          <t>2031-06</t>
        </is>
      </c>
      <c r="M93" s="32" t="inlineStr">
        <is>
          <t>2031-05</t>
        </is>
      </c>
      <c r="O93">
        <f>IFERROR(INDEX(tblAreas[Area Code],90)&amp;"","")</f>
        <v/>
      </c>
      <c r="P93">
        <f>IFERROR(INDEX(tblAreas[Area Name],89)&amp;"","")</f>
        <v/>
      </c>
      <c r="Q93">
        <f>IFERROR(INDEX(tblLocations[Location Code],90)&amp;"","")</f>
        <v/>
      </c>
      <c r="R93">
        <f>IFERROR(INDEX(tblLocations[Location Code],89)&amp;"","")</f>
        <v/>
      </c>
      <c r="S93">
        <f>IFERROR(INDEX(tblPackages[Package Name],90)&amp;"","")</f>
        <v/>
      </c>
      <c r="T93">
        <f>IFERROR(INDEX(tblCollectors[Collector ID],90)&amp;"","")</f>
        <v/>
      </c>
      <c r="U93">
        <f>IFERROR(INDEX(tblCollectors[Collector Name],88)&amp;"","")</f>
        <v/>
      </c>
      <c r="V93">
        <f>IFERROR(INDEX(tblCustomers[Customer ID],90)&amp;"","")</f>
        <v/>
      </c>
    </row>
    <row r="94">
      <c r="L94" s="32" t="inlineStr">
        <is>
          <t>2031-07</t>
        </is>
      </c>
      <c r="M94" s="32" t="inlineStr">
        <is>
          <t>2031-06</t>
        </is>
      </c>
      <c r="O94">
        <f>IFERROR(INDEX(tblAreas[Area Code],91)&amp;"","")</f>
        <v/>
      </c>
      <c r="P94">
        <f>IFERROR(INDEX(tblAreas[Area Name],90)&amp;"","")</f>
        <v/>
      </c>
      <c r="Q94">
        <f>IFERROR(INDEX(tblLocations[Location Code],91)&amp;"","")</f>
        <v/>
      </c>
      <c r="R94">
        <f>IFERROR(INDEX(tblLocations[Location Code],90)&amp;"","")</f>
        <v/>
      </c>
      <c r="S94">
        <f>IFERROR(INDEX(tblPackages[Package Name],91)&amp;"","")</f>
        <v/>
      </c>
      <c r="T94">
        <f>IFERROR(INDEX(tblCollectors[Collector ID],91)&amp;"","")</f>
        <v/>
      </c>
      <c r="U94">
        <f>IFERROR(INDEX(tblCollectors[Collector Name],89)&amp;"","")</f>
        <v/>
      </c>
      <c r="V94">
        <f>IFERROR(INDEX(tblCustomers[Customer ID],91)&amp;"","")</f>
        <v/>
      </c>
    </row>
    <row r="95">
      <c r="L95" s="32" t="inlineStr">
        <is>
          <t>2031-08</t>
        </is>
      </c>
      <c r="M95" s="32" t="inlineStr">
        <is>
          <t>2031-07</t>
        </is>
      </c>
      <c r="O95">
        <f>IFERROR(INDEX(tblAreas[Area Code],92)&amp;"","")</f>
        <v/>
      </c>
      <c r="P95">
        <f>IFERROR(INDEX(tblAreas[Area Name],91)&amp;"","")</f>
        <v/>
      </c>
      <c r="Q95">
        <f>IFERROR(INDEX(tblLocations[Location Code],92)&amp;"","")</f>
        <v/>
      </c>
      <c r="R95">
        <f>IFERROR(INDEX(tblLocations[Location Code],91)&amp;"","")</f>
        <v/>
      </c>
      <c r="S95">
        <f>IFERROR(INDEX(tblPackages[Package Name],92)&amp;"","")</f>
        <v/>
      </c>
      <c r="T95">
        <f>IFERROR(INDEX(tblCollectors[Collector ID],92)&amp;"","")</f>
        <v/>
      </c>
      <c r="U95">
        <f>IFERROR(INDEX(tblCollectors[Collector Name],90)&amp;"","")</f>
        <v/>
      </c>
      <c r="V95">
        <f>IFERROR(INDEX(tblCustomers[Customer ID],92)&amp;"","")</f>
        <v/>
      </c>
    </row>
    <row r="96">
      <c r="L96" s="32" t="inlineStr">
        <is>
          <t>2031-09</t>
        </is>
      </c>
      <c r="M96" s="32" t="inlineStr">
        <is>
          <t>2031-08</t>
        </is>
      </c>
      <c r="O96">
        <f>IFERROR(INDEX(tblAreas[Area Code],93)&amp;"","")</f>
        <v/>
      </c>
      <c r="P96">
        <f>IFERROR(INDEX(tblAreas[Area Name],92)&amp;"","")</f>
        <v/>
      </c>
      <c r="Q96">
        <f>IFERROR(INDEX(tblLocations[Location Code],93)&amp;"","")</f>
        <v/>
      </c>
      <c r="R96">
        <f>IFERROR(INDEX(tblLocations[Location Code],92)&amp;"","")</f>
        <v/>
      </c>
      <c r="S96">
        <f>IFERROR(INDEX(tblPackages[Package Name],93)&amp;"","")</f>
        <v/>
      </c>
      <c r="T96">
        <f>IFERROR(INDEX(tblCollectors[Collector ID],93)&amp;"","")</f>
        <v/>
      </c>
      <c r="U96">
        <f>IFERROR(INDEX(tblCollectors[Collector Name],91)&amp;"","")</f>
        <v/>
      </c>
      <c r="V96">
        <f>IFERROR(INDEX(tblCustomers[Customer ID],93)&amp;"","")</f>
        <v/>
      </c>
    </row>
    <row r="97">
      <c r="L97" s="32" t="inlineStr">
        <is>
          <t>2031-10</t>
        </is>
      </c>
      <c r="M97" s="32" t="inlineStr">
        <is>
          <t>2031-09</t>
        </is>
      </c>
      <c r="O97">
        <f>IFERROR(INDEX(tblAreas[Area Code],94)&amp;"","")</f>
        <v/>
      </c>
      <c r="P97">
        <f>IFERROR(INDEX(tblAreas[Area Name],93)&amp;"","")</f>
        <v/>
      </c>
      <c r="Q97">
        <f>IFERROR(INDEX(tblLocations[Location Code],94)&amp;"","")</f>
        <v/>
      </c>
      <c r="R97">
        <f>IFERROR(INDEX(tblLocations[Location Code],93)&amp;"","")</f>
        <v/>
      </c>
      <c r="S97">
        <f>IFERROR(INDEX(tblPackages[Package Name],94)&amp;"","")</f>
        <v/>
      </c>
      <c r="T97">
        <f>IFERROR(INDEX(tblCollectors[Collector ID],94)&amp;"","")</f>
        <v/>
      </c>
      <c r="U97">
        <f>IFERROR(INDEX(tblCollectors[Collector Name],92)&amp;"","")</f>
        <v/>
      </c>
      <c r="V97">
        <f>IFERROR(INDEX(tblCustomers[Customer ID],94)&amp;"","")</f>
        <v/>
      </c>
    </row>
    <row r="98">
      <c r="L98" s="32" t="inlineStr">
        <is>
          <t>2031-11</t>
        </is>
      </c>
      <c r="M98" s="32" t="inlineStr">
        <is>
          <t>2031-10</t>
        </is>
      </c>
      <c r="O98">
        <f>IFERROR(INDEX(tblAreas[Area Code],95)&amp;"","")</f>
        <v/>
      </c>
      <c r="P98">
        <f>IFERROR(INDEX(tblAreas[Area Name],94)&amp;"","")</f>
        <v/>
      </c>
      <c r="Q98">
        <f>IFERROR(INDEX(tblLocations[Location Code],95)&amp;"","")</f>
        <v/>
      </c>
      <c r="R98">
        <f>IFERROR(INDEX(tblLocations[Location Code],94)&amp;"","")</f>
        <v/>
      </c>
      <c r="S98">
        <f>IFERROR(INDEX(tblPackages[Package Name],95)&amp;"","")</f>
        <v/>
      </c>
      <c r="T98">
        <f>IFERROR(INDEX(tblCollectors[Collector ID],95)&amp;"","")</f>
        <v/>
      </c>
      <c r="U98">
        <f>IFERROR(INDEX(tblCollectors[Collector Name],93)&amp;"","")</f>
        <v/>
      </c>
      <c r="V98">
        <f>IFERROR(INDEX(tblCustomers[Customer ID],95)&amp;"","")</f>
        <v/>
      </c>
    </row>
    <row r="99">
      <c r="L99" s="32" t="inlineStr">
        <is>
          <t>2031-12</t>
        </is>
      </c>
      <c r="M99" s="32" t="inlineStr">
        <is>
          <t>2031-11</t>
        </is>
      </c>
      <c r="O99">
        <f>IFERROR(INDEX(tblAreas[Area Code],96)&amp;"","")</f>
        <v/>
      </c>
      <c r="P99">
        <f>IFERROR(INDEX(tblAreas[Area Name],95)&amp;"","")</f>
        <v/>
      </c>
      <c r="Q99">
        <f>IFERROR(INDEX(tblLocations[Location Code],96)&amp;"","")</f>
        <v/>
      </c>
      <c r="R99">
        <f>IFERROR(INDEX(tblLocations[Location Code],95)&amp;"","")</f>
        <v/>
      </c>
      <c r="S99">
        <f>IFERROR(INDEX(tblPackages[Package Name],96)&amp;"","")</f>
        <v/>
      </c>
      <c r="T99">
        <f>IFERROR(INDEX(tblCollectors[Collector ID],96)&amp;"","")</f>
        <v/>
      </c>
      <c r="U99">
        <f>IFERROR(INDEX(tblCollectors[Collector Name],94)&amp;"","")</f>
        <v/>
      </c>
      <c r="V99">
        <f>IFERROR(INDEX(tblCustomers[Customer ID],96)&amp;"","")</f>
        <v/>
      </c>
    </row>
    <row r="100">
      <c r="L100" s="32" t="inlineStr">
        <is>
          <t>2032-01</t>
        </is>
      </c>
      <c r="M100" s="32" t="inlineStr">
        <is>
          <t>2031-12</t>
        </is>
      </c>
      <c r="O100">
        <f>IFERROR(INDEX(tblAreas[Area Code],97)&amp;"","")</f>
        <v/>
      </c>
      <c r="P100">
        <f>IFERROR(INDEX(tblAreas[Area Name],96)&amp;"","")</f>
        <v/>
      </c>
      <c r="Q100">
        <f>IFERROR(INDEX(tblLocations[Location Code],97)&amp;"","")</f>
        <v/>
      </c>
      <c r="R100">
        <f>IFERROR(INDEX(tblLocations[Location Code],96)&amp;"","")</f>
        <v/>
      </c>
      <c r="S100">
        <f>IFERROR(INDEX(tblPackages[Package Name],97)&amp;"","")</f>
        <v/>
      </c>
      <c r="T100">
        <f>IFERROR(INDEX(tblCollectors[Collector ID],97)&amp;"","")</f>
        <v/>
      </c>
      <c r="U100">
        <f>IFERROR(INDEX(tblCollectors[Collector Name],95)&amp;"","")</f>
        <v/>
      </c>
      <c r="V100">
        <f>IFERROR(INDEX(tblCustomers[Customer ID],97)&amp;"","")</f>
        <v/>
      </c>
    </row>
    <row r="101">
      <c r="L101" s="32" t="inlineStr">
        <is>
          <t>2032-02</t>
        </is>
      </c>
      <c r="M101" s="32" t="inlineStr">
        <is>
          <t>2032-01</t>
        </is>
      </c>
      <c r="O101">
        <f>IFERROR(INDEX(tblAreas[Area Code],98)&amp;"","")</f>
        <v/>
      </c>
      <c r="P101">
        <f>IFERROR(INDEX(tblAreas[Area Name],97)&amp;"","")</f>
        <v/>
      </c>
      <c r="Q101">
        <f>IFERROR(INDEX(tblLocations[Location Code],98)&amp;"","")</f>
        <v/>
      </c>
      <c r="R101">
        <f>IFERROR(INDEX(tblLocations[Location Code],97)&amp;"","")</f>
        <v/>
      </c>
      <c r="S101">
        <f>IFERROR(INDEX(tblPackages[Package Name],98)&amp;"","")</f>
        <v/>
      </c>
      <c r="T101">
        <f>IFERROR(INDEX(tblCollectors[Collector ID],98)&amp;"","")</f>
        <v/>
      </c>
      <c r="U101">
        <f>IFERROR(INDEX(tblCollectors[Collector Name],96)&amp;"","")</f>
        <v/>
      </c>
      <c r="V101">
        <f>IFERROR(INDEX(tblCustomers[Customer ID],98)&amp;"","")</f>
        <v/>
      </c>
    </row>
    <row r="102">
      <c r="L102" s="32" t="inlineStr">
        <is>
          <t>2032-03</t>
        </is>
      </c>
      <c r="M102" s="32" t="inlineStr">
        <is>
          <t>2032-02</t>
        </is>
      </c>
      <c r="O102">
        <f>IFERROR(INDEX(tblAreas[Area Code],99)&amp;"","")</f>
        <v/>
      </c>
      <c r="P102">
        <f>IFERROR(INDEX(tblAreas[Area Name],98)&amp;"","")</f>
        <v/>
      </c>
      <c r="Q102">
        <f>IFERROR(INDEX(tblLocations[Location Code],99)&amp;"","")</f>
        <v/>
      </c>
      <c r="R102">
        <f>IFERROR(INDEX(tblLocations[Location Code],98)&amp;"","")</f>
        <v/>
      </c>
      <c r="S102">
        <f>IFERROR(INDEX(tblPackages[Package Name],99)&amp;"","")</f>
        <v/>
      </c>
      <c r="T102">
        <f>IFERROR(INDEX(tblCollectors[Collector ID],99)&amp;"","")</f>
        <v/>
      </c>
      <c r="U102">
        <f>IFERROR(INDEX(tblCollectors[Collector Name],97)&amp;"","")</f>
        <v/>
      </c>
      <c r="V102">
        <f>IFERROR(INDEX(tblCustomers[Customer ID],99)&amp;"","")</f>
        <v/>
      </c>
    </row>
    <row r="103">
      <c r="L103" s="32" t="inlineStr">
        <is>
          <t>2032-04</t>
        </is>
      </c>
      <c r="M103" s="32" t="inlineStr">
        <is>
          <t>2032-03</t>
        </is>
      </c>
      <c r="O103">
        <f>IFERROR(INDEX(tblAreas[Area Code],100)&amp;"","")</f>
        <v/>
      </c>
      <c r="P103">
        <f>IFERROR(INDEX(tblAreas[Area Name],99)&amp;"","")</f>
        <v/>
      </c>
      <c r="Q103">
        <f>IFERROR(INDEX(tblLocations[Location Code],100)&amp;"","")</f>
        <v/>
      </c>
      <c r="R103">
        <f>IFERROR(INDEX(tblLocations[Location Code],99)&amp;"","")</f>
        <v/>
      </c>
      <c r="S103">
        <f>IFERROR(INDEX(tblPackages[Package Name],100)&amp;"","")</f>
        <v/>
      </c>
      <c r="T103">
        <f>IFERROR(INDEX(tblCollectors[Collector ID],100)&amp;"","")</f>
        <v/>
      </c>
      <c r="U103">
        <f>IFERROR(INDEX(tblCollectors[Collector Name],98)&amp;"","")</f>
        <v/>
      </c>
      <c r="V103">
        <f>IFERROR(INDEX(tblCustomers[Customer ID],100)&amp;"","")</f>
        <v/>
      </c>
    </row>
    <row r="104">
      <c r="L104" s="32" t="inlineStr">
        <is>
          <t>2032-05</t>
        </is>
      </c>
      <c r="M104" s="32" t="inlineStr">
        <is>
          <t>2032-04</t>
        </is>
      </c>
      <c r="O104">
        <f>IFERROR(INDEX(tblAreas[Area Code],101)&amp;"","")</f>
        <v/>
      </c>
      <c r="P104">
        <f>IFERROR(INDEX(tblAreas[Area Name],100)&amp;"","")</f>
        <v/>
      </c>
      <c r="Q104">
        <f>IFERROR(INDEX(tblLocations[Location Code],101)&amp;"","")</f>
        <v/>
      </c>
      <c r="R104">
        <f>IFERROR(INDEX(tblLocations[Location Code],100)&amp;"","")</f>
        <v/>
      </c>
      <c r="S104">
        <f>IFERROR(INDEX(tblPackages[Package Name],101)&amp;"","")</f>
        <v/>
      </c>
      <c r="T104">
        <f>IFERROR(INDEX(tblCollectors[Collector ID],101)&amp;"","")</f>
        <v/>
      </c>
      <c r="U104">
        <f>IFERROR(INDEX(tblCollectors[Collector Name],99)&amp;"","")</f>
        <v/>
      </c>
      <c r="V104">
        <f>IFERROR(INDEX(tblCustomers[Customer ID],101)&amp;"","")</f>
        <v/>
      </c>
    </row>
    <row r="105">
      <c r="L105" s="32" t="inlineStr">
        <is>
          <t>2032-06</t>
        </is>
      </c>
      <c r="M105" s="32" t="inlineStr">
        <is>
          <t>2032-05</t>
        </is>
      </c>
      <c r="O105">
        <f>IFERROR(INDEX(tblAreas[Area Code],102)&amp;"","")</f>
        <v/>
      </c>
      <c r="P105">
        <f>IFERROR(INDEX(tblAreas[Area Name],101)&amp;"","")</f>
        <v/>
      </c>
      <c r="Q105">
        <f>IFERROR(INDEX(tblLocations[Location Code],102)&amp;"","")</f>
        <v/>
      </c>
      <c r="R105">
        <f>IFERROR(INDEX(tblLocations[Location Code],101)&amp;"","")</f>
        <v/>
      </c>
      <c r="S105">
        <f>IFERROR(INDEX(tblPackages[Package Name],102)&amp;"","")</f>
        <v/>
      </c>
      <c r="T105">
        <f>IFERROR(INDEX(tblCollectors[Collector ID],102)&amp;"","")</f>
        <v/>
      </c>
      <c r="U105">
        <f>IFERROR(INDEX(tblCollectors[Collector Name],100)&amp;"","")</f>
        <v/>
      </c>
      <c r="V105">
        <f>IFERROR(INDEX(tblCustomers[Customer ID],102)&amp;"","")</f>
        <v/>
      </c>
    </row>
    <row r="106">
      <c r="L106" s="32" t="inlineStr">
        <is>
          <t>2032-07</t>
        </is>
      </c>
      <c r="M106" s="32" t="inlineStr">
        <is>
          <t>2032-06</t>
        </is>
      </c>
      <c r="O106">
        <f>IFERROR(INDEX(tblAreas[Area Code],103)&amp;"","")</f>
        <v/>
      </c>
      <c r="P106">
        <f>IFERROR(INDEX(tblAreas[Area Name],102)&amp;"","")</f>
        <v/>
      </c>
      <c r="Q106">
        <f>IFERROR(INDEX(tblLocations[Location Code],103)&amp;"","")</f>
        <v/>
      </c>
      <c r="R106">
        <f>IFERROR(INDEX(tblLocations[Location Code],102)&amp;"","")</f>
        <v/>
      </c>
      <c r="S106">
        <f>IFERROR(INDEX(tblPackages[Package Name],103)&amp;"","")</f>
        <v/>
      </c>
      <c r="T106">
        <f>IFERROR(INDEX(tblCollectors[Collector ID],103)&amp;"","")</f>
        <v/>
      </c>
      <c r="U106">
        <f>IFERROR(INDEX(tblCollectors[Collector Name],101)&amp;"","")</f>
        <v/>
      </c>
      <c r="V106">
        <f>IFERROR(INDEX(tblCustomers[Customer ID],103)&amp;"","")</f>
        <v/>
      </c>
    </row>
    <row r="107">
      <c r="L107" s="32" t="inlineStr">
        <is>
          <t>2032-08</t>
        </is>
      </c>
      <c r="M107" s="32" t="inlineStr">
        <is>
          <t>2032-07</t>
        </is>
      </c>
      <c r="O107">
        <f>IFERROR(INDEX(tblAreas[Area Code],104)&amp;"","")</f>
        <v/>
      </c>
      <c r="P107">
        <f>IFERROR(INDEX(tblAreas[Area Name],103)&amp;"","")</f>
        <v/>
      </c>
      <c r="Q107">
        <f>IFERROR(INDEX(tblLocations[Location Code],104)&amp;"","")</f>
        <v/>
      </c>
      <c r="R107">
        <f>IFERROR(INDEX(tblLocations[Location Code],103)&amp;"","")</f>
        <v/>
      </c>
      <c r="S107">
        <f>IFERROR(INDEX(tblPackages[Package Name],104)&amp;"","")</f>
        <v/>
      </c>
      <c r="T107">
        <f>IFERROR(INDEX(tblCollectors[Collector ID],104)&amp;"","")</f>
        <v/>
      </c>
      <c r="U107">
        <f>IFERROR(INDEX(tblCollectors[Collector Name],102)&amp;"","")</f>
        <v/>
      </c>
      <c r="V107">
        <f>IFERROR(INDEX(tblCustomers[Customer ID],104)&amp;"","")</f>
        <v/>
      </c>
    </row>
    <row r="108">
      <c r="L108" s="32" t="inlineStr">
        <is>
          <t>2032-09</t>
        </is>
      </c>
      <c r="M108" s="32" t="inlineStr">
        <is>
          <t>2032-08</t>
        </is>
      </c>
      <c r="O108">
        <f>IFERROR(INDEX(tblAreas[Area Code],105)&amp;"","")</f>
        <v/>
      </c>
      <c r="P108">
        <f>IFERROR(INDEX(tblAreas[Area Name],104)&amp;"","")</f>
        <v/>
      </c>
      <c r="Q108">
        <f>IFERROR(INDEX(tblLocations[Location Code],105)&amp;"","")</f>
        <v/>
      </c>
      <c r="R108">
        <f>IFERROR(INDEX(tblLocations[Location Code],104)&amp;"","")</f>
        <v/>
      </c>
      <c r="S108">
        <f>IFERROR(INDEX(tblPackages[Package Name],105)&amp;"","")</f>
        <v/>
      </c>
      <c r="T108">
        <f>IFERROR(INDEX(tblCollectors[Collector ID],105)&amp;"","")</f>
        <v/>
      </c>
      <c r="U108">
        <f>IFERROR(INDEX(tblCollectors[Collector Name],103)&amp;"","")</f>
        <v/>
      </c>
      <c r="V108">
        <f>IFERROR(INDEX(tblCustomers[Customer ID],105)&amp;"","")</f>
        <v/>
      </c>
    </row>
    <row r="109">
      <c r="L109" s="32" t="inlineStr">
        <is>
          <t>2032-10</t>
        </is>
      </c>
      <c r="M109" s="32" t="inlineStr">
        <is>
          <t>2032-09</t>
        </is>
      </c>
      <c r="O109">
        <f>IFERROR(INDEX(tblAreas[Area Code],106)&amp;"","")</f>
        <v/>
      </c>
      <c r="P109">
        <f>IFERROR(INDEX(tblAreas[Area Name],105)&amp;"","")</f>
        <v/>
      </c>
      <c r="Q109">
        <f>IFERROR(INDEX(tblLocations[Location Code],106)&amp;"","")</f>
        <v/>
      </c>
      <c r="R109">
        <f>IFERROR(INDEX(tblLocations[Location Code],105)&amp;"","")</f>
        <v/>
      </c>
      <c r="S109">
        <f>IFERROR(INDEX(tblPackages[Package Name],106)&amp;"","")</f>
        <v/>
      </c>
      <c r="T109">
        <f>IFERROR(INDEX(tblCollectors[Collector ID],106)&amp;"","")</f>
        <v/>
      </c>
      <c r="U109">
        <f>IFERROR(INDEX(tblCollectors[Collector Name],104)&amp;"","")</f>
        <v/>
      </c>
      <c r="V109">
        <f>IFERROR(INDEX(tblCustomers[Customer ID],106)&amp;"","")</f>
        <v/>
      </c>
    </row>
    <row r="110">
      <c r="L110" s="32" t="inlineStr">
        <is>
          <t>2032-11</t>
        </is>
      </c>
      <c r="M110" s="32" t="inlineStr">
        <is>
          <t>2032-10</t>
        </is>
      </c>
      <c r="O110">
        <f>IFERROR(INDEX(tblAreas[Area Code],107)&amp;"","")</f>
        <v/>
      </c>
      <c r="P110">
        <f>IFERROR(INDEX(tblAreas[Area Name],106)&amp;"","")</f>
        <v/>
      </c>
      <c r="Q110">
        <f>IFERROR(INDEX(tblLocations[Location Code],107)&amp;"","")</f>
        <v/>
      </c>
      <c r="R110">
        <f>IFERROR(INDEX(tblLocations[Location Code],106)&amp;"","")</f>
        <v/>
      </c>
      <c r="S110">
        <f>IFERROR(INDEX(tblPackages[Package Name],107)&amp;"","")</f>
        <v/>
      </c>
      <c r="T110">
        <f>IFERROR(INDEX(tblCollectors[Collector ID],107)&amp;"","")</f>
        <v/>
      </c>
      <c r="U110">
        <f>IFERROR(INDEX(tblCollectors[Collector Name],105)&amp;"","")</f>
        <v/>
      </c>
      <c r="V110">
        <f>IFERROR(INDEX(tblCustomers[Customer ID],107)&amp;"","")</f>
        <v/>
      </c>
    </row>
    <row r="111">
      <c r="L111" s="32" t="inlineStr">
        <is>
          <t>2032-12</t>
        </is>
      </c>
      <c r="M111" s="32" t="inlineStr">
        <is>
          <t>2032-11</t>
        </is>
      </c>
      <c r="O111">
        <f>IFERROR(INDEX(tblAreas[Area Code],108)&amp;"","")</f>
        <v/>
      </c>
      <c r="P111">
        <f>IFERROR(INDEX(tblAreas[Area Name],107)&amp;"","")</f>
        <v/>
      </c>
      <c r="Q111">
        <f>IFERROR(INDEX(tblLocations[Location Code],108)&amp;"","")</f>
        <v/>
      </c>
      <c r="R111">
        <f>IFERROR(INDEX(tblLocations[Location Code],107)&amp;"","")</f>
        <v/>
      </c>
      <c r="S111">
        <f>IFERROR(INDEX(tblPackages[Package Name],108)&amp;"","")</f>
        <v/>
      </c>
      <c r="T111">
        <f>IFERROR(INDEX(tblCollectors[Collector ID],108)&amp;"","")</f>
        <v/>
      </c>
      <c r="U111">
        <f>IFERROR(INDEX(tblCollectors[Collector Name],106)&amp;"","")</f>
        <v/>
      </c>
      <c r="V111">
        <f>IFERROR(INDEX(tblCustomers[Customer ID],108)&amp;"","")</f>
        <v/>
      </c>
    </row>
    <row r="112">
      <c r="L112" s="32" t="inlineStr">
        <is>
          <t>2033-01</t>
        </is>
      </c>
      <c r="M112" s="32" t="inlineStr">
        <is>
          <t>2032-12</t>
        </is>
      </c>
      <c r="O112">
        <f>IFERROR(INDEX(tblAreas[Area Code],109)&amp;"","")</f>
        <v/>
      </c>
      <c r="P112">
        <f>IFERROR(INDEX(tblAreas[Area Name],108)&amp;"","")</f>
        <v/>
      </c>
      <c r="Q112">
        <f>IFERROR(INDEX(tblLocations[Location Code],109)&amp;"","")</f>
        <v/>
      </c>
      <c r="R112">
        <f>IFERROR(INDEX(tblLocations[Location Code],108)&amp;"","")</f>
        <v/>
      </c>
      <c r="S112">
        <f>IFERROR(INDEX(tblPackages[Package Name],109)&amp;"","")</f>
        <v/>
      </c>
      <c r="T112">
        <f>IFERROR(INDEX(tblCollectors[Collector ID],109)&amp;"","")</f>
        <v/>
      </c>
      <c r="U112">
        <f>IFERROR(INDEX(tblCollectors[Collector Name],107)&amp;"","")</f>
        <v/>
      </c>
      <c r="V112">
        <f>IFERROR(INDEX(tblCustomers[Customer ID],109)&amp;"","")</f>
        <v/>
      </c>
    </row>
    <row r="113">
      <c r="L113" s="32" t="inlineStr">
        <is>
          <t>2033-02</t>
        </is>
      </c>
      <c r="M113" s="32" t="inlineStr">
        <is>
          <t>2033-01</t>
        </is>
      </c>
      <c r="O113">
        <f>IFERROR(INDEX(tblAreas[Area Code],110)&amp;"","")</f>
        <v/>
      </c>
      <c r="P113">
        <f>IFERROR(INDEX(tblAreas[Area Name],109)&amp;"","")</f>
        <v/>
      </c>
      <c r="Q113">
        <f>IFERROR(INDEX(tblLocations[Location Code],110)&amp;"","")</f>
        <v/>
      </c>
      <c r="R113">
        <f>IFERROR(INDEX(tblLocations[Location Code],109)&amp;"","")</f>
        <v/>
      </c>
      <c r="S113">
        <f>IFERROR(INDEX(tblPackages[Package Name],110)&amp;"","")</f>
        <v/>
      </c>
      <c r="T113">
        <f>IFERROR(INDEX(tblCollectors[Collector ID],110)&amp;"","")</f>
        <v/>
      </c>
      <c r="U113">
        <f>IFERROR(INDEX(tblCollectors[Collector Name],108)&amp;"","")</f>
        <v/>
      </c>
      <c r="V113">
        <f>IFERROR(INDEX(tblCustomers[Customer ID],110)&amp;"","")</f>
        <v/>
      </c>
    </row>
    <row r="114">
      <c r="L114" s="32" t="inlineStr">
        <is>
          <t>2033-03</t>
        </is>
      </c>
      <c r="M114" s="32" t="inlineStr">
        <is>
          <t>2033-02</t>
        </is>
      </c>
      <c r="O114">
        <f>IFERROR(INDEX(tblAreas[Area Code],111)&amp;"","")</f>
        <v/>
      </c>
      <c r="P114">
        <f>IFERROR(INDEX(tblAreas[Area Name],110)&amp;"","")</f>
        <v/>
      </c>
      <c r="Q114">
        <f>IFERROR(INDEX(tblLocations[Location Code],111)&amp;"","")</f>
        <v/>
      </c>
      <c r="R114">
        <f>IFERROR(INDEX(tblLocations[Location Code],110)&amp;"","")</f>
        <v/>
      </c>
      <c r="S114">
        <f>IFERROR(INDEX(tblPackages[Package Name],111)&amp;"","")</f>
        <v/>
      </c>
      <c r="T114">
        <f>IFERROR(INDEX(tblCollectors[Collector ID],111)&amp;"","")</f>
        <v/>
      </c>
      <c r="U114">
        <f>IFERROR(INDEX(tblCollectors[Collector Name],109)&amp;"","")</f>
        <v/>
      </c>
      <c r="V114">
        <f>IFERROR(INDEX(tblCustomers[Customer ID],111)&amp;"","")</f>
        <v/>
      </c>
    </row>
    <row r="115">
      <c r="L115" s="32" t="inlineStr">
        <is>
          <t>2033-04</t>
        </is>
      </c>
      <c r="M115" s="32" t="inlineStr">
        <is>
          <t>2033-03</t>
        </is>
      </c>
      <c r="O115">
        <f>IFERROR(INDEX(tblAreas[Area Code],112)&amp;"","")</f>
        <v/>
      </c>
      <c r="P115">
        <f>IFERROR(INDEX(tblAreas[Area Name],111)&amp;"","")</f>
        <v/>
      </c>
      <c r="Q115">
        <f>IFERROR(INDEX(tblLocations[Location Code],112)&amp;"","")</f>
        <v/>
      </c>
      <c r="R115">
        <f>IFERROR(INDEX(tblLocations[Location Code],111)&amp;"","")</f>
        <v/>
      </c>
      <c r="S115">
        <f>IFERROR(INDEX(tblPackages[Package Name],112)&amp;"","")</f>
        <v/>
      </c>
      <c r="T115">
        <f>IFERROR(INDEX(tblCollectors[Collector ID],112)&amp;"","")</f>
        <v/>
      </c>
      <c r="U115">
        <f>IFERROR(INDEX(tblCollectors[Collector Name],110)&amp;"","")</f>
        <v/>
      </c>
      <c r="V115">
        <f>IFERROR(INDEX(tblCustomers[Customer ID],112)&amp;"","")</f>
        <v/>
      </c>
    </row>
    <row r="116">
      <c r="L116" s="32" t="inlineStr">
        <is>
          <t>2033-05</t>
        </is>
      </c>
      <c r="M116" s="32" t="inlineStr">
        <is>
          <t>2033-04</t>
        </is>
      </c>
      <c r="O116">
        <f>IFERROR(INDEX(tblAreas[Area Code],113)&amp;"","")</f>
        <v/>
      </c>
      <c r="P116">
        <f>IFERROR(INDEX(tblAreas[Area Name],112)&amp;"","")</f>
        <v/>
      </c>
      <c r="Q116">
        <f>IFERROR(INDEX(tblLocations[Location Code],113)&amp;"","")</f>
        <v/>
      </c>
      <c r="R116">
        <f>IFERROR(INDEX(tblLocations[Location Code],112)&amp;"","")</f>
        <v/>
      </c>
      <c r="S116">
        <f>IFERROR(INDEX(tblPackages[Package Name],113)&amp;"","")</f>
        <v/>
      </c>
      <c r="T116">
        <f>IFERROR(INDEX(tblCollectors[Collector ID],113)&amp;"","")</f>
        <v/>
      </c>
      <c r="U116">
        <f>IFERROR(INDEX(tblCollectors[Collector Name],111)&amp;"","")</f>
        <v/>
      </c>
      <c r="V116">
        <f>IFERROR(INDEX(tblCustomers[Customer ID],113)&amp;"","")</f>
        <v/>
      </c>
    </row>
    <row r="117">
      <c r="L117" s="32" t="inlineStr">
        <is>
          <t>2033-06</t>
        </is>
      </c>
      <c r="M117" s="32" t="inlineStr">
        <is>
          <t>2033-05</t>
        </is>
      </c>
      <c r="O117">
        <f>IFERROR(INDEX(tblAreas[Area Code],114)&amp;"","")</f>
        <v/>
      </c>
      <c r="P117">
        <f>IFERROR(INDEX(tblAreas[Area Name],113)&amp;"","")</f>
        <v/>
      </c>
      <c r="Q117">
        <f>IFERROR(INDEX(tblLocations[Location Code],114)&amp;"","")</f>
        <v/>
      </c>
      <c r="R117">
        <f>IFERROR(INDEX(tblLocations[Location Code],113)&amp;"","")</f>
        <v/>
      </c>
      <c r="S117">
        <f>IFERROR(INDEX(tblPackages[Package Name],114)&amp;"","")</f>
        <v/>
      </c>
      <c r="T117">
        <f>IFERROR(INDEX(tblCollectors[Collector ID],114)&amp;"","")</f>
        <v/>
      </c>
      <c r="U117">
        <f>IFERROR(INDEX(tblCollectors[Collector Name],112)&amp;"","")</f>
        <v/>
      </c>
      <c r="V117">
        <f>IFERROR(INDEX(tblCustomers[Customer ID],114)&amp;"","")</f>
        <v/>
      </c>
    </row>
    <row r="118">
      <c r="L118" s="32" t="inlineStr">
        <is>
          <t>2033-07</t>
        </is>
      </c>
      <c r="M118" s="32" t="inlineStr">
        <is>
          <t>2033-06</t>
        </is>
      </c>
      <c r="O118">
        <f>IFERROR(INDEX(tblAreas[Area Code],115)&amp;"","")</f>
        <v/>
      </c>
      <c r="P118">
        <f>IFERROR(INDEX(tblAreas[Area Name],114)&amp;"","")</f>
        <v/>
      </c>
      <c r="Q118">
        <f>IFERROR(INDEX(tblLocations[Location Code],115)&amp;"","")</f>
        <v/>
      </c>
      <c r="R118">
        <f>IFERROR(INDEX(tblLocations[Location Code],114)&amp;"","")</f>
        <v/>
      </c>
      <c r="S118">
        <f>IFERROR(INDEX(tblPackages[Package Name],115)&amp;"","")</f>
        <v/>
      </c>
      <c r="T118">
        <f>IFERROR(INDEX(tblCollectors[Collector ID],115)&amp;"","")</f>
        <v/>
      </c>
      <c r="U118">
        <f>IFERROR(INDEX(tblCollectors[Collector Name],113)&amp;"","")</f>
        <v/>
      </c>
      <c r="V118">
        <f>IFERROR(INDEX(tblCustomers[Customer ID],115)&amp;"","")</f>
        <v/>
      </c>
    </row>
    <row r="119">
      <c r="L119" s="32" t="inlineStr">
        <is>
          <t>2033-08</t>
        </is>
      </c>
      <c r="M119" s="32" t="inlineStr">
        <is>
          <t>2033-07</t>
        </is>
      </c>
      <c r="O119">
        <f>IFERROR(INDEX(tblAreas[Area Code],116)&amp;"","")</f>
        <v/>
      </c>
      <c r="P119">
        <f>IFERROR(INDEX(tblAreas[Area Name],115)&amp;"","")</f>
        <v/>
      </c>
      <c r="Q119">
        <f>IFERROR(INDEX(tblLocations[Location Code],116)&amp;"","")</f>
        <v/>
      </c>
      <c r="R119">
        <f>IFERROR(INDEX(tblLocations[Location Code],115)&amp;"","")</f>
        <v/>
      </c>
      <c r="S119">
        <f>IFERROR(INDEX(tblPackages[Package Name],116)&amp;"","")</f>
        <v/>
      </c>
      <c r="T119">
        <f>IFERROR(INDEX(tblCollectors[Collector ID],116)&amp;"","")</f>
        <v/>
      </c>
      <c r="U119">
        <f>IFERROR(INDEX(tblCollectors[Collector Name],114)&amp;"","")</f>
        <v/>
      </c>
      <c r="V119">
        <f>IFERROR(INDEX(tblCustomers[Customer ID],116)&amp;"","")</f>
        <v/>
      </c>
    </row>
    <row r="120">
      <c r="L120" s="32" t="inlineStr">
        <is>
          <t>2033-09</t>
        </is>
      </c>
      <c r="M120" s="32" t="inlineStr">
        <is>
          <t>2033-08</t>
        </is>
      </c>
      <c r="O120">
        <f>IFERROR(INDEX(tblAreas[Area Code],117)&amp;"","")</f>
        <v/>
      </c>
      <c r="P120">
        <f>IFERROR(INDEX(tblAreas[Area Name],116)&amp;"","")</f>
        <v/>
      </c>
      <c r="Q120">
        <f>IFERROR(INDEX(tblLocations[Location Code],117)&amp;"","")</f>
        <v/>
      </c>
      <c r="R120">
        <f>IFERROR(INDEX(tblLocations[Location Code],116)&amp;"","")</f>
        <v/>
      </c>
      <c r="S120">
        <f>IFERROR(INDEX(tblPackages[Package Name],117)&amp;"","")</f>
        <v/>
      </c>
      <c r="T120">
        <f>IFERROR(INDEX(tblCollectors[Collector ID],117)&amp;"","")</f>
        <v/>
      </c>
      <c r="U120">
        <f>IFERROR(INDEX(tblCollectors[Collector Name],115)&amp;"","")</f>
        <v/>
      </c>
      <c r="V120">
        <f>IFERROR(INDEX(tblCustomers[Customer ID],117)&amp;"","")</f>
        <v/>
      </c>
    </row>
    <row r="121">
      <c r="L121" s="32" t="inlineStr">
        <is>
          <t>2033-10</t>
        </is>
      </c>
      <c r="M121" s="32" t="inlineStr">
        <is>
          <t>2033-09</t>
        </is>
      </c>
      <c r="O121">
        <f>IFERROR(INDEX(tblAreas[Area Code],118)&amp;"","")</f>
        <v/>
      </c>
      <c r="P121">
        <f>IFERROR(INDEX(tblAreas[Area Name],117)&amp;"","")</f>
        <v/>
      </c>
      <c r="Q121">
        <f>IFERROR(INDEX(tblLocations[Location Code],118)&amp;"","")</f>
        <v/>
      </c>
      <c r="R121">
        <f>IFERROR(INDEX(tblLocations[Location Code],117)&amp;"","")</f>
        <v/>
      </c>
      <c r="S121">
        <f>IFERROR(INDEX(tblPackages[Package Name],118)&amp;"","")</f>
        <v/>
      </c>
      <c r="T121">
        <f>IFERROR(INDEX(tblCollectors[Collector ID],118)&amp;"","")</f>
        <v/>
      </c>
      <c r="U121">
        <f>IFERROR(INDEX(tblCollectors[Collector Name],116)&amp;"","")</f>
        <v/>
      </c>
      <c r="V121">
        <f>IFERROR(INDEX(tblCustomers[Customer ID],118)&amp;"","")</f>
        <v/>
      </c>
    </row>
    <row r="122">
      <c r="L122" s="32" t="inlineStr">
        <is>
          <t>2033-11</t>
        </is>
      </c>
      <c r="M122" s="32" t="inlineStr">
        <is>
          <t>2033-10</t>
        </is>
      </c>
      <c r="O122">
        <f>IFERROR(INDEX(tblAreas[Area Code],119)&amp;"","")</f>
        <v/>
      </c>
      <c r="P122">
        <f>IFERROR(INDEX(tblAreas[Area Name],118)&amp;"","")</f>
        <v/>
      </c>
      <c r="Q122">
        <f>IFERROR(INDEX(tblLocations[Location Code],119)&amp;"","")</f>
        <v/>
      </c>
      <c r="R122">
        <f>IFERROR(INDEX(tblLocations[Location Code],118)&amp;"","")</f>
        <v/>
      </c>
      <c r="S122">
        <f>IFERROR(INDEX(tblPackages[Package Name],119)&amp;"","")</f>
        <v/>
      </c>
      <c r="T122">
        <f>IFERROR(INDEX(tblCollectors[Collector ID],119)&amp;"","")</f>
        <v/>
      </c>
      <c r="U122">
        <f>IFERROR(INDEX(tblCollectors[Collector Name],117)&amp;"","")</f>
        <v/>
      </c>
      <c r="V122">
        <f>IFERROR(INDEX(tblCustomers[Customer ID],119)&amp;"","")</f>
        <v/>
      </c>
    </row>
    <row r="123">
      <c r="L123" s="32" t="inlineStr">
        <is>
          <t>2033-12</t>
        </is>
      </c>
      <c r="M123" s="32" t="inlineStr">
        <is>
          <t>2033-11</t>
        </is>
      </c>
      <c r="O123">
        <f>IFERROR(INDEX(tblAreas[Area Code],120)&amp;"","")</f>
        <v/>
      </c>
      <c r="P123">
        <f>IFERROR(INDEX(tblAreas[Area Name],119)&amp;"","")</f>
        <v/>
      </c>
      <c r="Q123">
        <f>IFERROR(INDEX(tblLocations[Location Code],120)&amp;"","")</f>
        <v/>
      </c>
      <c r="R123">
        <f>IFERROR(INDEX(tblLocations[Location Code],119)&amp;"","")</f>
        <v/>
      </c>
      <c r="S123">
        <f>IFERROR(INDEX(tblPackages[Package Name],120)&amp;"","")</f>
        <v/>
      </c>
      <c r="T123">
        <f>IFERROR(INDEX(tblCollectors[Collector ID],120)&amp;"","")</f>
        <v/>
      </c>
      <c r="U123">
        <f>IFERROR(INDEX(tblCollectors[Collector Name],118)&amp;"","")</f>
        <v/>
      </c>
      <c r="V123">
        <f>IFERROR(INDEX(tblCustomers[Customer ID],120)&amp;"","")</f>
        <v/>
      </c>
    </row>
    <row r="124">
      <c r="L124" s="32" t="inlineStr">
        <is>
          <t>2034-01</t>
        </is>
      </c>
      <c r="M124" s="32" t="inlineStr">
        <is>
          <t>2033-12</t>
        </is>
      </c>
      <c r="O124">
        <f>IFERROR(INDEX(tblAreas[Area Code],121)&amp;"","")</f>
        <v/>
      </c>
      <c r="P124">
        <f>IFERROR(INDEX(tblAreas[Area Name],120)&amp;"","")</f>
        <v/>
      </c>
      <c r="Q124">
        <f>IFERROR(INDEX(tblLocations[Location Code],121)&amp;"","")</f>
        <v/>
      </c>
      <c r="R124">
        <f>IFERROR(INDEX(tblLocations[Location Code],120)&amp;"","")</f>
        <v/>
      </c>
      <c r="S124">
        <f>IFERROR(INDEX(tblPackages[Package Name],121)&amp;"","")</f>
        <v/>
      </c>
      <c r="T124">
        <f>IFERROR(INDEX(tblCollectors[Collector ID],121)&amp;"","")</f>
        <v/>
      </c>
      <c r="U124">
        <f>IFERROR(INDEX(tblCollectors[Collector Name],119)&amp;"","")</f>
        <v/>
      </c>
      <c r="V124">
        <f>IFERROR(INDEX(tblCustomers[Customer ID],121)&amp;"","")</f>
        <v/>
      </c>
    </row>
    <row r="125">
      <c r="L125" s="32" t="inlineStr">
        <is>
          <t>2034-02</t>
        </is>
      </c>
      <c r="M125" s="32" t="inlineStr">
        <is>
          <t>2034-01</t>
        </is>
      </c>
      <c r="O125">
        <f>IFERROR(INDEX(tblAreas[Area Code],122)&amp;"","")</f>
        <v/>
      </c>
      <c r="P125">
        <f>IFERROR(INDEX(tblAreas[Area Name],121)&amp;"","")</f>
        <v/>
      </c>
      <c r="Q125">
        <f>IFERROR(INDEX(tblLocations[Location Code],122)&amp;"","")</f>
        <v/>
      </c>
      <c r="R125">
        <f>IFERROR(INDEX(tblLocations[Location Code],121)&amp;"","")</f>
        <v/>
      </c>
      <c r="S125">
        <f>IFERROR(INDEX(tblPackages[Package Name],122)&amp;"","")</f>
        <v/>
      </c>
      <c r="T125">
        <f>IFERROR(INDEX(tblCollectors[Collector ID],122)&amp;"","")</f>
        <v/>
      </c>
      <c r="U125">
        <f>IFERROR(INDEX(tblCollectors[Collector Name],120)&amp;"","")</f>
        <v/>
      </c>
      <c r="V125">
        <f>IFERROR(INDEX(tblCustomers[Customer ID],122)&amp;"","")</f>
        <v/>
      </c>
    </row>
    <row r="126">
      <c r="L126" s="32" t="inlineStr">
        <is>
          <t>2034-03</t>
        </is>
      </c>
      <c r="M126" s="32" t="inlineStr">
        <is>
          <t>2034-02</t>
        </is>
      </c>
      <c r="O126">
        <f>IFERROR(INDEX(tblAreas[Area Code],123)&amp;"","")</f>
        <v/>
      </c>
      <c r="P126">
        <f>IFERROR(INDEX(tblAreas[Area Name],122)&amp;"","")</f>
        <v/>
      </c>
      <c r="Q126">
        <f>IFERROR(INDEX(tblLocations[Location Code],123)&amp;"","")</f>
        <v/>
      </c>
      <c r="R126">
        <f>IFERROR(INDEX(tblLocations[Location Code],122)&amp;"","")</f>
        <v/>
      </c>
      <c r="S126">
        <f>IFERROR(INDEX(tblPackages[Package Name],123)&amp;"","")</f>
        <v/>
      </c>
      <c r="T126">
        <f>IFERROR(INDEX(tblCollectors[Collector ID],123)&amp;"","")</f>
        <v/>
      </c>
      <c r="U126">
        <f>IFERROR(INDEX(tblCollectors[Collector Name],121)&amp;"","")</f>
        <v/>
      </c>
      <c r="V126">
        <f>IFERROR(INDEX(tblCustomers[Customer ID],123)&amp;"","")</f>
        <v/>
      </c>
    </row>
    <row r="127">
      <c r="L127" s="32" t="inlineStr">
        <is>
          <t>2034-04</t>
        </is>
      </c>
      <c r="M127" s="32" t="inlineStr">
        <is>
          <t>2034-03</t>
        </is>
      </c>
      <c r="O127">
        <f>IFERROR(INDEX(tblAreas[Area Code],124)&amp;"","")</f>
        <v/>
      </c>
      <c r="P127">
        <f>IFERROR(INDEX(tblAreas[Area Name],123)&amp;"","")</f>
        <v/>
      </c>
      <c r="Q127">
        <f>IFERROR(INDEX(tblLocations[Location Code],124)&amp;"","")</f>
        <v/>
      </c>
      <c r="R127">
        <f>IFERROR(INDEX(tblLocations[Location Code],123)&amp;"","")</f>
        <v/>
      </c>
      <c r="S127">
        <f>IFERROR(INDEX(tblPackages[Package Name],124)&amp;"","")</f>
        <v/>
      </c>
      <c r="T127">
        <f>IFERROR(INDEX(tblCollectors[Collector ID],124)&amp;"","")</f>
        <v/>
      </c>
      <c r="U127">
        <f>IFERROR(INDEX(tblCollectors[Collector Name],122)&amp;"","")</f>
        <v/>
      </c>
      <c r="V127">
        <f>IFERROR(INDEX(tblCustomers[Customer ID],124)&amp;"","")</f>
        <v/>
      </c>
    </row>
    <row r="128">
      <c r="L128" s="32" t="inlineStr">
        <is>
          <t>2034-05</t>
        </is>
      </c>
      <c r="M128" s="32" t="inlineStr">
        <is>
          <t>2034-04</t>
        </is>
      </c>
      <c r="O128">
        <f>IFERROR(INDEX(tblAreas[Area Code],125)&amp;"","")</f>
        <v/>
      </c>
      <c r="P128">
        <f>IFERROR(INDEX(tblAreas[Area Name],124)&amp;"","")</f>
        <v/>
      </c>
      <c r="Q128">
        <f>IFERROR(INDEX(tblLocations[Location Code],125)&amp;"","")</f>
        <v/>
      </c>
      <c r="R128">
        <f>IFERROR(INDEX(tblLocations[Location Code],124)&amp;"","")</f>
        <v/>
      </c>
      <c r="S128">
        <f>IFERROR(INDEX(tblPackages[Package Name],125)&amp;"","")</f>
        <v/>
      </c>
      <c r="T128">
        <f>IFERROR(INDEX(tblCollectors[Collector ID],125)&amp;"","")</f>
        <v/>
      </c>
      <c r="U128">
        <f>IFERROR(INDEX(tblCollectors[Collector Name],123)&amp;"","")</f>
        <v/>
      </c>
      <c r="V128">
        <f>IFERROR(INDEX(tblCustomers[Customer ID],125)&amp;"","")</f>
        <v/>
      </c>
    </row>
    <row r="129">
      <c r="L129" s="32" t="inlineStr">
        <is>
          <t>2034-06</t>
        </is>
      </c>
      <c r="M129" s="32" t="inlineStr">
        <is>
          <t>2034-05</t>
        </is>
      </c>
      <c r="O129">
        <f>IFERROR(INDEX(tblAreas[Area Code],126)&amp;"","")</f>
        <v/>
      </c>
      <c r="P129">
        <f>IFERROR(INDEX(tblAreas[Area Name],125)&amp;"","")</f>
        <v/>
      </c>
      <c r="Q129">
        <f>IFERROR(INDEX(tblLocations[Location Code],126)&amp;"","")</f>
        <v/>
      </c>
      <c r="R129">
        <f>IFERROR(INDEX(tblLocations[Location Code],125)&amp;"","")</f>
        <v/>
      </c>
      <c r="S129">
        <f>IFERROR(INDEX(tblPackages[Package Name],126)&amp;"","")</f>
        <v/>
      </c>
      <c r="T129">
        <f>IFERROR(INDEX(tblCollectors[Collector ID],126)&amp;"","")</f>
        <v/>
      </c>
      <c r="U129">
        <f>IFERROR(INDEX(tblCollectors[Collector Name],124)&amp;"","")</f>
        <v/>
      </c>
      <c r="V129">
        <f>IFERROR(INDEX(tblCustomers[Customer ID],126)&amp;"","")</f>
        <v/>
      </c>
    </row>
    <row r="130">
      <c r="L130" s="32" t="inlineStr">
        <is>
          <t>2034-07</t>
        </is>
      </c>
      <c r="M130" s="32" t="inlineStr">
        <is>
          <t>2034-06</t>
        </is>
      </c>
      <c r="O130">
        <f>IFERROR(INDEX(tblAreas[Area Code],127)&amp;"","")</f>
        <v/>
      </c>
      <c r="P130">
        <f>IFERROR(INDEX(tblAreas[Area Name],126)&amp;"","")</f>
        <v/>
      </c>
      <c r="Q130">
        <f>IFERROR(INDEX(tblLocations[Location Code],127)&amp;"","")</f>
        <v/>
      </c>
      <c r="R130">
        <f>IFERROR(INDEX(tblLocations[Location Code],126)&amp;"","")</f>
        <v/>
      </c>
      <c r="S130">
        <f>IFERROR(INDEX(tblPackages[Package Name],127)&amp;"","")</f>
        <v/>
      </c>
      <c r="T130">
        <f>IFERROR(INDEX(tblCollectors[Collector ID],127)&amp;"","")</f>
        <v/>
      </c>
      <c r="U130">
        <f>IFERROR(INDEX(tblCollectors[Collector Name],125)&amp;"","")</f>
        <v/>
      </c>
      <c r="V130">
        <f>IFERROR(INDEX(tblCustomers[Customer ID],127)&amp;"","")</f>
        <v/>
      </c>
    </row>
    <row r="131">
      <c r="L131" s="32" t="inlineStr">
        <is>
          <t>2034-08</t>
        </is>
      </c>
      <c r="M131" s="32" t="inlineStr">
        <is>
          <t>2034-07</t>
        </is>
      </c>
      <c r="O131">
        <f>IFERROR(INDEX(tblAreas[Area Code],128)&amp;"","")</f>
        <v/>
      </c>
      <c r="P131">
        <f>IFERROR(INDEX(tblAreas[Area Name],127)&amp;"","")</f>
        <v/>
      </c>
      <c r="Q131">
        <f>IFERROR(INDEX(tblLocations[Location Code],128)&amp;"","")</f>
        <v/>
      </c>
      <c r="R131">
        <f>IFERROR(INDEX(tblLocations[Location Code],127)&amp;"","")</f>
        <v/>
      </c>
      <c r="S131">
        <f>IFERROR(INDEX(tblPackages[Package Name],128)&amp;"","")</f>
        <v/>
      </c>
      <c r="T131">
        <f>IFERROR(INDEX(tblCollectors[Collector ID],128)&amp;"","")</f>
        <v/>
      </c>
      <c r="U131">
        <f>IFERROR(INDEX(tblCollectors[Collector Name],126)&amp;"","")</f>
        <v/>
      </c>
      <c r="V131">
        <f>IFERROR(INDEX(tblCustomers[Customer ID],128)&amp;"","")</f>
        <v/>
      </c>
    </row>
    <row r="132">
      <c r="L132" s="32" t="inlineStr">
        <is>
          <t>2034-09</t>
        </is>
      </c>
      <c r="M132" s="32" t="inlineStr">
        <is>
          <t>2034-08</t>
        </is>
      </c>
      <c r="O132">
        <f>IFERROR(INDEX(tblAreas[Area Code],129)&amp;"","")</f>
        <v/>
      </c>
      <c r="P132">
        <f>IFERROR(INDEX(tblAreas[Area Name],128)&amp;"","")</f>
        <v/>
      </c>
      <c r="Q132">
        <f>IFERROR(INDEX(tblLocations[Location Code],129)&amp;"","")</f>
        <v/>
      </c>
      <c r="R132">
        <f>IFERROR(INDEX(tblLocations[Location Code],128)&amp;"","")</f>
        <v/>
      </c>
      <c r="S132">
        <f>IFERROR(INDEX(tblPackages[Package Name],129)&amp;"","")</f>
        <v/>
      </c>
      <c r="T132">
        <f>IFERROR(INDEX(tblCollectors[Collector ID],129)&amp;"","")</f>
        <v/>
      </c>
      <c r="U132">
        <f>IFERROR(INDEX(tblCollectors[Collector Name],127)&amp;"","")</f>
        <v/>
      </c>
      <c r="V132">
        <f>IFERROR(INDEX(tblCustomers[Customer ID],129)&amp;"","")</f>
        <v/>
      </c>
    </row>
    <row r="133">
      <c r="L133" s="32" t="inlineStr">
        <is>
          <t>2034-10</t>
        </is>
      </c>
      <c r="M133" s="32" t="inlineStr">
        <is>
          <t>2034-09</t>
        </is>
      </c>
      <c r="O133">
        <f>IFERROR(INDEX(tblAreas[Area Code],130)&amp;"","")</f>
        <v/>
      </c>
      <c r="P133">
        <f>IFERROR(INDEX(tblAreas[Area Name],129)&amp;"","")</f>
        <v/>
      </c>
      <c r="Q133">
        <f>IFERROR(INDEX(tblLocations[Location Code],130)&amp;"","")</f>
        <v/>
      </c>
      <c r="R133">
        <f>IFERROR(INDEX(tblLocations[Location Code],129)&amp;"","")</f>
        <v/>
      </c>
      <c r="S133">
        <f>IFERROR(INDEX(tblPackages[Package Name],130)&amp;"","")</f>
        <v/>
      </c>
      <c r="T133">
        <f>IFERROR(INDEX(tblCollectors[Collector ID],130)&amp;"","")</f>
        <v/>
      </c>
      <c r="U133">
        <f>IFERROR(INDEX(tblCollectors[Collector Name],128)&amp;"","")</f>
        <v/>
      </c>
      <c r="V133">
        <f>IFERROR(INDEX(tblCustomers[Customer ID],130)&amp;"","")</f>
        <v/>
      </c>
    </row>
    <row r="134">
      <c r="L134" s="32" t="inlineStr">
        <is>
          <t>2034-11</t>
        </is>
      </c>
      <c r="M134" s="32" t="inlineStr">
        <is>
          <t>2034-10</t>
        </is>
      </c>
      <c r="O134">
        <f>IFERROR(INDEX(tblAreas[Area Code],131)&amp;"","")</f>
        <v/>
      </c>
      <c r="P134">
        <f>IFERROR(INDEX(tblAreas[Area Name],130)&amp;"","")</f>
        <v/>
      </c>
      <c r="Q134">
        <f>IFERROR(INDEX(tblLocations[Location Code],131)&amp;"","")</f>
        <v/>
      </c>
      <c r="R134">
        <f>IFERROR(INDEX(tblLocations[Location Code],130)&amp;"","")</f>
        <v/>
      </c>
      <c r="S134">
        <f>IFERROR(INDEX(tblPackages[Package Name],131)&amp;"","")</f>
        <v/>
      </c>
      <c r="T134">
        <f>IFERROR(INDEX(tblCollectors[Collector ID],131)&amp;"","")</f>
        <v/>
      </c>
      <c r="U134">
        <f>IFERROR(INDEX(tblCollectors[Collector Name],129)&amp;"","")</f>
        <v/>
      </c>
      <c r="V134">
        <f>IFERROR(INDEX(tblCustomers[Customer ID],131)&amp;"","")</f>
        <v/>
      </c>
    </row>
    <row r="135">
      <c r="L135" s="32" t="inlineStr">
        <is>
          <t>2034-12</t>
        </is>
      </c>
      <c r="M135" s="32" t="inlineStr">
        <is>
          <t>2034-11</t>
        </is>
      </c>
      <c r="O135">
        <f>IFERROR(INDEX(tblAreas[Area Code],132)&amp;"","")</f>
        <v/>
      </c>
      <c r="P135">
        <f>IFERROR(INDEX(tblAreas[Area Name],131)&amp;"","")</f>
        <v/>
      </c>
      <c r="Q135">
        <f>IFERROR(INDEX(tblLocations[Location Code],132)&amp;"","")</f>
        <v/>
      </c>
      <c r="R135">
        <f>IFERROR(INDEX(tblLocations[Location Code],131)&amp;"","")</f>
        <v/>
      </c>
      <c r="S135">
        <f>IFERROR(INDEX(tblPackages[Package Name],132)&amp;"","")</f>
        <v/>
      </c>
      <c r="T135">
        <f>IFERROR(INDEX(tblCollectors[Collector ID],132)&amp;"","")</f>
        <v/>
      </c>
      <c r="U135">
        <f>IFERROR(INDEX(tblCollectors[Collector Name],130)&amp;"","")</f>
        <v/>
      </c>
      <c r="V135">
        <f>IFERROR(INDEX(tblCustomers[Customer ID],132)&amp;"","")</f>
        <v/>
      </c>
    </row>
    <row r="136">
      <c r="L136" s="32" t="inlineStr">
        <is>
          <t>2035-01</t>
        </is>
      </c>
      <c r="M136" s="32" t="inlineStr">
        <is>
          <t>2034-12</t>
        </is>
      </c>
      <c r="O136">
        <f>IFERROR(INDEX(tblAreas[Area Code],133)&amp;"","")</f>
        <v/>
      </c>
      <c r="P136">
        <f>IFERROR(INDEX(tblAreas[Area Name],132)&amp;"","")</f>
        <v/>
      </c>
      <c r="Q136">
        <f>IFERROR(INDEX(tblLocations[Location Code],133)&amp;"","")</f>
        <v/>
      </c>
      <c r="R136">
        <f>IFERROR(INDEX(tblLocations[Location Code],132)&amp;"","")</f>
        <v/>
      </c>
      <c r="S136">
        <f>IFERROR(INDEX(tblPackages[Package Name],133)&amp;"","")</f>
        <v/>
      </c>
      <c r="T136">
        <f>IFERROR(INDEX(tblCollectors[Collector ID],133)&amp;"","")</f>
        <v/>
      </c>
      <c r="U136">
        <f>IFERROR(INDEX(tblCollectors[Collector Name],131)&amp;"","")</f>
        <v/>
      </c>
      <c r="V136">
        <f>IFERROR(INDEX(tblCustomers[Customer ID],133)&amp;"","")</f>
        <v/>
      </c>
    </row>
    <row r="137">
      <c r="L137" s="32" t="inlineStr">
        <is>
          <t>2035-02</t>
        </is>
      </c>
      <c r="M137" s="32" t="inlineStr">
        <is>
          <t>2035-01</t>
        </is>
      </c>
      <c r="O137">
        <f>IFERROR(INDEX(tblAreas[Area Code],134)&amp;"","")</f>
        <v/>
      </c>
      <c r="P137">
        <f>IFERROR(INDEX(tblAreas[Area Name],133)&amp;"","")</f>
        <v/>
      </c>
      <c r="Q137">
        <f>IFERROR(INDEX(tblLocations[Location Code],134)&amp;"","")</f>
        <v/>
      </c>
      <c r="R137">
        <f>IFERROR(INDEX(tblLocations[Location Code],133)&amp;"","")</f>
        <v/>
      </c>
      <c r="S137">
        <f>IFERROR(INDEX(tblPackages[Package Name],134)&amp;"","")</f>
        <v/>
      </c>
      <c r="T137">
        <f>IFERROR(INDEX(tblCollectors[Collector ID],134)&amp;"","")</f>
        <v/>
      </c>
      <c r="U137">
        <f>IFERROR(INDEX(tblCollectors[Collector Name],132)&amp;"","")</f>
        <v/>
      </c>
      <c r="V137">
        <f>IFERROR(INDEX(tblCustomers[Customer ID],134)&amp;"","")</f>
        <v/>
      </c>
    </row>
    <row r="138">
      <c r="L138" s="32" t="inlineStr">
        <is>
          <t>2035-03</t>
        </is>
      </c>
      <c r="M138" s="32" t="inlineStr">
        <is>
          <t>2035-02</t>
        </is>
      </c>
      <c r="O138">
        <f>IFERROR(INDEX(tblAreas[Area Code],135)&amp;"","")</f>
        <v/>
      </c>
      <c r="P138">
        <f>IFERROR(INDEX(tblAreas[Area Name],134)&amp;"","")</f>
        <v/>
      </c>
      <c r="Q138">
        <f>IFERROR(INDEX(tblLocations[Location Code],135)&amp;"","")</f>
        <v/>
      </c>
      <c r="R138">
        <f>IFERROR(INDEX(tblLocations[Location Code],134)&amp;"","")</f>
        <v/>
      </c>
      <c r="S138">
        <f>IFERROR(INDEX(tblPackages[Package Name],135)&amp;"","")</f>
        <v/>
      </c>
      <c r="T138">
        <f>IFERROR(INDEX(tblCollectors[Collector ID],135)&amp;"","")</f>
        <v/>
      </c>
      <c r="U138">
        <f>IFERROR(INDEX(tblCollectors[Collector Name],133)&amp;"","")</f>
        <v/>
      </c>
      <c r="V138">
        <f>IFERROR(INDEX(tblCustomers[Customer ID],135)&amp;"","")</f>
        <v/>
      </c>
    </row>
    <row r="139">
      <c r="L139" s="32" t="inlineStr">
        <is>
          <t>2035-04</t>
        </is>
      </c>
      <c r="M139" s="32" t="inlineStr">
        <is>
          <t>2035-03</t>
        </is>
      </c>
      <c r="O139">
        <f>IFERROR(INDEX(tblAreas[Area Code],136)&amp;"","")</f>
        <v/>
      </c>
      <c r="P139">
        <f>IFERROR(INDEX(tblAreas[Area Name],135)&amp;"","")</f>
        <v/>
      </c>
      <c r="Q139">
        <f>IFERROR(INDEX(tblLocations[Location Code],136)&amp;"","")</f>
        <v/>
      </c>
      <c r="R139">
        <f>IFERROR(INDEX(tblLocations[Location Code],135)&amp;"","")</f>
        <v/>
      </c>
      <c r="S139">
        <f>IFERROR(INDEX(tblPackages[Package Name],136)&amp;"","")</f>
        <v/>
      </c>
      <c r="T139">
        <f>IFERROR(INDEX(tblCollectors[Collector ID],136)&amp;"","")</f>
        <v/>
      </c>
      <c r="U139">
        <f>IFERROR(INDEX(tblCollectors[Collector Name],134)&amp;"","")</f>
        <v/>
      </c>
      <c r="V139">
        <f>IFERROR(INDEX(tblCustomers[Customer ID],136)&amp;"","")</f>
        <v/>
      </c>
    </row>
    <row r="140">
      <c r="L140" s="32" t="inlineStr">
        <is>
          <t>2035-05</t>
        </is>
      </c>
      <c r="M140" s="32" t="inlineStr">
        <is>
          <t>2035-04</t>
        </is>
      </c>
      <c r="O140">
        <f>IFERROR(INDEX(tblAreas[Area Code],137)&amp;"","")</f>
        <v/>
      </c>
      <c r="P140">
        <f>IFERROR(INDEX(tblAreas[Area Name],136)&amp;"","")</f>
        <v/>
      </c>
      <c r="Q140">
        <f>IFERROR(INDEX(tblLocations[Location Code],137)&amp;"","")</f>
        <v/>
      </c>
      <c r="R140">
        <f>IFERROR(INDEX(tblLocations[Location Code],136)&amp;"","")</f>
        <v/>
      </c>
      <c r="S140">
        <f>IFERROR(INDEX(tblPackages[Package Name],137)&amp;"","")</f>
        <v/>
      </c>
      <c r="T140">
        <f>IFERROR(INDEX(tblCollectors[Collector ID],137)&amp;"","")</f>
        <v/>
      </c>
      <c r="U140">
        <f>IFERROR(INDEX(tblCollectors[Collector Name],135)&amp;"","")</f>
        <v/>
      </c>
      <c r="V140">
        <f>IFERROR(INDEX(tblCustomers[Customer ID],137)&amp;"","")</f>
        <v/>
      </c>
    </row>
    <row r="141">
      <c r="L141" s="32" t="inlineStr">
        <is>
          <t>2035-06</t>
        </is>
      </c>
      <c r="M141" s="32" t="inlineStr">
        <is>
          <t>2035-05</t>
        </is>
      </c>
      <c r="O141">
        <f>IFERROR(INDEX(tblAreas[Area Code],138)&amp;"","")</f>
        <v/>
      </c>
      <c r="P141">
        <f>IFERROR(INDEX(tblAreas[Area Name],137)&amp;"","")</f>
        <v/>
      </c>
      <c r="Q141">
        <f>IFERROR(INDEX(tblLocations[Location Code],138)&amp;"","")</f>
        <v/>
      </c>
      <c r="R141">
        <f>IFERROR(INDEX(tblLocations[Location Code],137)&amp;"","")</f>
        <v/>
      </c>
      <c r="S141">
        <f>IFERROR(INDEX(tblPackages[Package Name],138)&amp;"","")</f>
        <v/>
      </c>
      <c r="T141">
        <f>IFERROR(INDEX(tblCollectors[Collector ID],138)&amp;"","")</f>
        <v/>
      </c>
      <c r="U141">
        <f>IFERROR(INDEX(tblCollectors[Collector Name],136)&amp;"","")</f>
        <v/>
      </c>
      <c r="V141">
        <f>IFERROR(INDEX(tblCustomers[Customer ID],138)&amp;"","")</f>
        <v/>
      </c>
    </row>
    <row r="142">
      <c r="L142" s="32" t="inlineStr">
        <is>
          <t>2035-07</t>
        </is>
      </c>
      <c r="M142" s="32" t="inlineStr">
        <is>
          <t>2035-06</t>
        </is>
      </c>
      <c r="O142">
        <f>IFERROR(INDEX(tblAreas[Area Code],139)&amp;"","")</f>
        <v/>
      </c>
      <c r="P142">
        <f>IFERROR(INDEX(tblAreas[Area Name],138)&amp;"","")</f>
        <v/>
      </c>
      <c r="Q142">
        <f>IFERROR(INDEX(tblLocations[Location Code],139)&amp;"","")</f>
        <v/>
      </c>
      <c r="R142">
        <f>IFERROR(INDEX(tblLocations[Location Code],138)&amp;"","")</f>
        <v/>
      </c>
      <c r="S142">
        <f>IFERROR(INDEX(tblPackages[Package Name],139)&amp;"","")</f>
        <v/>
      </c>
      <c r="T142">
        <f>IFERROR(INDEX(tblCollectors[Collector ID],139)&amp;"","")</f>
        <v/>
      </c>
      <c r="U142">
        <f>IFERROR(INDEX(tblCollectors[Collector Name],137)&amp;"","")</f>
        <v/>
      </c>
      <c r="V142">
        <f>IFERROR(INDEX(tblCustomers[Customer ID],139)&amp;"","")</f>
        <v/>
      </c>
    </row>
    <row r="143">
      <c r="L143" s="32" t="inlineStr">
        <is>
          <t>2035-08</t>
        </is>
      </c>
      <c r="M143" s="32" t="inlineStr">
        <is>
          <t>2035-07</t>
        </is>
      </c>
      <c r="O143">
        <f>IFERROR(INDEX(tblAreas[Area Code],140)&amp;"","")</f>
        <v/>
      </c>
      <c r="P143">
        <f>IFERROR(INDEX(tblAreas[Area Name],139)&amp;"","")</f>
        <v/>
      </c>
      <c r="Q143">
        <f>IFERROR(INDEX(tblLocations[Location Code],140)&amp;"","")</f>
        <v/>
      </c>
      <c r="R143">
        <f>IFERROR(INDEX(tblLocations[Location Code],139)&amp;"","")</f>
        <v/>
      </c>
      <c r="S143">
        <f>IFERROR(INDEX(tblPackages[Package Name],140)&amp;"","")</f>
        <v/>
      </c>
      <c r="T143">
        <f>IFERROR(INDEX(tblCollectors[Collector ID],140)&amp;"","")</f>
        <v/>
      </c>
      <c r="U143">
        <f>IFERROR(INDEX(tblCollectors[Collector Name],138)&amp;"","")</f>
        <v/>
      </c>
      <c r="V143">
        <f>IFERROR(INDEX(tblCustomers[Customer ID],140)&amp;"","")</f>
        <v/>
      </c>
    </row>
    <row r="144">
      <c r="L144" s="32" t="inlineStr">
        <is>
          <t>2035-09</t>
        </is>
      </c>
      <c r="M144" s="32" t="inlineStr">
        <is>
          <t>2035-08</t>
        </is>
      </c>
      <c r="O144">
        <f>IFERROR(INDEX(tblAreas[Area Code],141)&amp;"","")</f>
        <v/>
      </c>
      <c r="P144">
        <f>IFERROR(INDEX(tblAreas[Area Name],140)&amp;"","")</f>
        <v/>
      </c>
      <c r="Q144">
        <f>IFERROR(INDEX(tblLocations[Location Code],141)&amp;"","")</f>
        <v/>
      </c>
      <c r="R144">
        <f>IFERROR(INDEX(tblLocations[Location Code],140)&amp;"","")</f>
        <v/>
      </c>
      <c r="S144">
        <f>IFERROR(INDEX(tblPackages[Package Name],141)&amp;"","")</f>
        <v/>
      </c>
      <c r="T144">
        <f>IFERROR(INDEX(tblCollectors[Collector ID],141)&amp;"","")</f>
        <v/>
      </c>
      <c r="U144">
        <f>IFERROR(INDEX(tblCollectors[Collector Name],139)&amp;"","")</f>
        <v/>
      </c>
      <c r="V144">
        <f>IFERROR(INDEX(tblCustomers[Customer ID],141)&amp;"","")</f>
        <v/>
      </c>
    </row>
    <row r="145">
      <c r="L145" s="32" t="inlineStr">
        <is>
          <t>2035-10</t>
        </is>
      </c>
      <c r="M145" s="32" t="inlineStr">
        <is>
          <t>2035-09</t>
        </is>
      </c>
      <c r="O145">
        <f>IFERROR(INDEX(tblAreas[Area Code],142)&amp;"","")</f>
        <v/>
      </c>
      <c r="P145">
        <f>IFERROR(INDEX(tblAreas[Area Name],141)&amp;"","")</f>
        <v/>
      </c>
      <c r="Q145">
        <f>IFERROR(INDEX(tblLocations[Location Code],142)&amp;"","")</f>
        <v/>
      </c>
      <c r="R145">
        <f>IFERROR(INDEX(tblLocations[Location Code],141)&amp;"","")</f>
        <v/>
      </c>
      <c r="S145">
        <f>IFERROR(INDEX(tblPackages[Package Name],142)&amp;"","")</f>
        <v/>
      </c>
      <c r="T145">
        <f>IFERROR(INDEX(tblCollectors[Collector ID],142)&amp;"","")</f>
        <v/>
      </c>
      <c r="U145">
        <f>IFERROR(INDEX(tblCollectors[Collector Name],140)&amp;"","")</f>
        <v/>
      </c>
      <c r="V145">
        <f>IFERROR(INDEX(tblCustomers[Customer ID],142)&amp;"","")</f>
        <v/>
      </c>
    </row>
    <row r="146">
      <c r="L146" s="32" t="inlineStr">
        <is>
          <t>2035-11</t>
        </is>
      </c>
      <c r="M146" s="32" t="inlineStr">
        <is>
          <t>2035-10</t>
        </is>
      </c>
      <c r="O146">
        <f>IFERROR(INDEX(tblAreas[Area Code],143)&amp;"","")</f>
        <v/>
      </c>
      <c r="P146">
        <f>IFERROR(INDEX(tblAreas[Area Name],142)&amp;"","")</f>
        <v/>
      </c>
      <c r="Q146">
        <f>IFERROR(INDEX(tblLocations[Location Code],143)&amp;"","")</f>
        <v/>
      </c>
      <c r="R146">
        <f>IFERROR(INDEX(tblLocations[Location Code],142)&amp;"","")</f>
        <v/>
      </c>
      <c r="S146">
        <f>IFERROR(INDEX(tblPackages[Package Name],143)&amp;"","")</f>
        <v/>
      </c>
      <c r="T146">
        <f>IFERROR(INDEX(tblCollectors[Collector ID],143)&amp;"","")</f>
        <v/>
      </c>
      <c r="U146">
        <f>IFERROR(INDEX(tblCollectors[Collector Name],141)&amp;"","")</f>
        <v/>
      </c>
      <c r="V146">
        <f>IFERROR(INDEX(tblCustomers[Customer ID],143)&amp;"","")</f>
        <v/>
      </c>
    </row>
    <row r="147">
      <c r="L147" s="32" t="inlineStr">
        <is>
          <t>2035-12</t>
        </is>
      </c>
      <c r="M147" s="32" t="inlineStr">
        <is>
          <t>2035-11</t>
        </is>
      </c>
      <c r="O147">
        <f>IFERROR(INDEX(tblAreas[Area Code],144)&amp;"","")</f>
        <v/>
      </c>
      <c r="P147">
        <f>IFERROR(INDEX(tblAreas[Area Name],143)&amp;"","")</f>
        <v/>
      </c>
      <c r="Q147">
        <f>IFERROR(INDEX(tblLocations[Location Code],144)&amp;"","")</f>
        <v/>
      </c>
      <c r="R147">
        <f>IFERROR(INDEX(tblLocations[Location Code],143)&amp;"","")</f>
        <v/>
      </c>
      <c r="S147">
        <f>IFERROR(INDEX(tblPackages[Package Name],144)&amp;"","")</f>
        <v/>
      </c>
      <c r="T147">
        <f>IFERROR(INDEX(tblCollectors[Collector ID],144)&amp;"","")</f>
        <v/>
      </c>
      <c r="U147">
        <f>IFERROR(INDEX(tblCollectors[Collector Name],142)&amp;"","")</f>
        <v/>
      </c>
      <c r="V147">
        <f>IFERROR(INDEX(tblCustomers[Customer ID],144)&amp;"","")</f>
        <v/>
      </c>
    </row>
    <row r="148">
      <c r="M148" s="32" t="inlineStr">
        <is>
          <t>2035-12</t>
        </is>
      </c>
      <c r="O148">
        <f>IFERROR(INDEX(tblAreas[Area Code],145)&amp;"","")</f>
        <v/>
      </c>
      <c r="P148">
        <f>IFERROR(INDEX(tblAreas[Area Name],144)&amp;"","")</f>
        <v/>
      </c>
      <c r="Q148">
        <f>IFERROR(INDEX(tblLocations[Location Code],145)&amp;"","")</f>
        <v/>
      </c>
      <c r="R148">
        <f>IFERROR(INDEX(tblLocations[Location Code],144)&amp;"","")</f>
        <v/>
      </c>
      <c r="S148">
        <f>IFERROR(INDEX(tblPackages[Package Name],145)&amp;"","")</f>
        <v/>
      </c>
      <c r="T148">
        <f>IFERROR(INDEX(tblCollectors[Collector ID],145)&amp;"","")</f>
        <v/>
      </c>
      <c r="U148">
        <f>IFERROR(INDEX(tblCollectors[Collector Name],143)&amp;"","")</f>
        <v/>
      </c>
      <c r="V148">
        <f>IFERROR(INDEX(tblCustomers[Customer ID],145)&amp;"","")</f>
        <v/>
      </c>
    </row>
    <row r="149">
      <c r="O149">
        <f>IFERROR(INDEX(tblAreas[Area Code],146)&amp;"","")</f>
        <v/>
      </c>
      <c r="P149">
        <f>IFERROR(INDEX(tblAreas[Area Name],145)&amp;"","")</f>
        <v/>
      </c>
      <c r="Q149">
        <f>IFERROR(INDEX(tblLocations[Location Code],146)&amp;"","")</f>
        <v/>
      </c>
      <c r="R149">
        <f>IFERROR(INDEX(tblLocations[Location Code],145)&amp;"","")</f>
        <v/>
      </c>
      <c r="S149">
        <f>IFERROR(INDEX(tblPackages[Package Name],146)&amp;"","")</f>
        <v/>
      </c>
      <c r="T149">
        <f>IFERROR(INDEX(tblCollectors[Collector ID],146)&amp;"","")</f>
        <v/>
      </c>
      <c r="U149">
        <f>IFERROR(INDEX(tblCollectors[Collector Name],144)&amp;"","")</f>
        <v/>
      </c>
      <c r="V149">
        <f>IFERROR(INDEX(tblCustomers[Customer ID],146)&amp;"","")</f>
        <v/>
      </c>
    </row>
    <row r="150">
      <c r="O150">
        <f>IFERROR(INDEX(tblAreas[Area Code],147)&amp;"","")</f>
        <v/>
      </c>
      <c r="P150">
        <f>IFERROR(INDEX(tblAreas[Area Name],146)&amp;"","")</f>
        <v/>
      </c>
      <c r="Q150">
        <f>IFERROR(INDEX(tblLocations[Location Code],147)&amp;"","")</f>
        <v/>
      </c>
      <c r="R150">
        <f>IFERROR(INDEX(tblLocations[Location Code],146)&amp;"","")</f>
        <v/>
      </c>
      <c r="S150">
        <f>IFERROR(INDEX(tblPackages[Package Name],147)&amp;"","")</f>
        <v/>
      </c>
      <c r="T150">
        <f>IFERROR(INDEX(tblCollectors[Collector ID],147)&amp;"","")</f>
        <v/>
      </c>
      <c r="U150">
        <f>IFERROR(INDEX(tblCollectors[Collector Name],145)&amp;"","")</f>
        <v/>
      </c>
      <c r="V150">
        <f>IFERROR(INDEX(tblCustomers[Customer ID],147)&amp;"","")</f>
        <v/>
      </c>
    </row>
    <row r="151">
      <c r="O151">
        <f>IFERROR(INDEX(tblAreas[Area Code],148)&amp;"","")</f>
        <v/>
      </c>
      <c r="P151">
        <f>IFERROR(INDEX(tblAreas[Area Name],147)&amp;"","")</f>
        <v/>
      </c>
      <c r="Q151">
        <f>IFERROR(INDEX(tblLocations[Location Code],148)&amp;"","")</f>
        <v/>
      </c>
      <c r="R151">
        <f>IFERROR(INDEX(tblLocations[Location Code],147)&amp;"","")</f>
        <v/>
      </c>
      <c r="S151">
        <f>IFERROR(INDEX(tblPackages[Package Name],148)&amp;"","")</f>
        <v/>
      </c>
      <c r="T151">
        <f>IFERROR(INDEX(tblCollectors[Collector ID],148)&amp;"","")</f>
        <v/>
      </c>
      <c r="U151">
        <f>IFERROR(INDEX(tblCollectors[Collector Name],146)&amp;"","")</f>
        <v/>
      </c>
      <c r="V151">
        <f>IFERROR(INDEX(tblCustomers[Customer ID],148)&amp;"","")</f>
        <v/>
      </c>
    </row>
    <row r="152">
      <c r="O152">
        <f>IFERROR(INDEX(tblAreas[Area Code],149)&amp;"","")</f>
        <v/>
      </c>
      <c r="P152">
        <f>IFERROR(INDEX(tblAreas[Area Name],148)&amp;"","")</f>
        <v/>
      </c>
      <c r="Q152">
        <f>IFERROR(INDEX(tblLocations[Location Code],149)&amp;"","")</f>
        <v/>
      </c>
      <c r="R152">
        <f>IFERROR(INDEX(tblLocations[Location Code],148)&amp;"","")</f>
        <v/>
      </c>
      <c r="S152">
        <f>IFERROR(INDEX(tblPackages[Package Name],149)&amp;"","")</f>
        <v/>
      </c>
      <c r="T152">
        <f>IFERROR(INDEX(tblCollectors[Collector ID],149)&amp;"","")</f>
        <v/>
      </c>
      <c r="U152">
        <f>IFERROR(INDEX(tblCollectors[Collector Name],147)&amp;"","")</f>
        <v/>
      </c>
      <c r="V152">
        <f>IFERROR(INDEX(tblCustomers[Customer ID],149)&amp;"","")</f>
        <v/>
      </c>
    </row>
    <row r="153">
      <c r="O153">
        <f>IFERROR(INDEX(tblAreas[Area Code],150)&amp;"","")</f>
        <v/>
      </c>
      <c r="P153">
        <f>IFERROR(INDEX(tblAreas[Area Name],149)&amp;"","")</f>
        <v/>
      </c>
      <c r="Q153">
        <f>IFERROR(INDEX(tblLocations[Location Code],150)&amp;"","")</f>
        <v/>
      </c>
      <c r="R153">
        <f>IFERROR(INDEX(tblLocations[Location Code],149)&amp;"","")</f>
        <v/>
      </c>
      <c r="S153">
        <f>IFERROR(INDEX(tblPackages[Package Name],150)&amp;"","")</f>
        <v/>
      </c>
      <c r="T153">
        <f>IFERROR(INDEX(tblCollectors[Collector ID],150)&amp;"","")</f>
        <v/>
      </c>
      <c r="U153">
        <f>IFERROR(INDEX(tblCollectors[Collector Name],148)&amp;"","")</f>
        <v/>
      </c>
      <c r="V153">
        <f>IFERROR(INDEX(tblCustomers[Customer ID],150)&amp;"","")</f>
        <v/>
      </c>
    </row>
    <row r="154">
      <c r="O154">
        <f>IFERROR(INDEX(tblAreas[Area Code],151)&amp;"","")</f>
        <v/>
      </c>
      <c r="P154">
        <f>IFERROR(INDEX(tblAreas[Area Name],150)&amp;"","")</f>
        <v/>
      </c>
      <c r="Q154">
        <f>IFERROR(INDEX(tblLocations[Location Code],151)&amp;"","")</f>
        <v/>
      </c>
      <c r="R154">
        <f>IFERROR(INDEX(tblLocations[Location Code],150)&amp;"","")</f>
        <v/>
      </c>
      <c r="S154">
        <f>IFERROR(INDEX(tblPackages[Package Name],151)&amp;"","")</f>
        <v/>
      </c>
      <c r="T154">
        <f>IFERROR(INDEX(tblCollectors[Collector ID],151)&amp;"","")</f>
        <v/>
      </c>
      <c r="U154">
        <f>IFERROR(INDEX(tblCollectors[Collector Name],149)&amp;"","")</f>
        <v/>
      </c>
      <c r="V154">
        <f>IFERROR(INDEX(tblCustomers[Customer ID],151)&amp;"","")</f>
        <v/>
      </c>
    </row>
    <row r="155">
      <c r="O155">
        <f>IFERROR(INDEX(tblAreas[Area Code],152)&amp;"","")</f>
        <v/>
      </c>
      <c r="P155">
        <f>IFERROR(INDEX(tblAreas[Area Name],151)&amp;"","")</f>
        <v/>
      </c>
      <c r="Q155">
        <f>IFERROR(INDEX(tblLocations[Location Code],152)&amp;"","")</f>
        <v/>
      </c>
      <c r="R155">
        <f>IFERROR(INDEX(tblLocations[Location Code],151)&amp;"","")</f>
        <v/>
      </c>
      <c r="S155">
        <f>IFERROR(INDEX(tblPackages[Package Name],152)&amp;"","")</f>
        <v/>
      </c>
      <c r="T155">
        <f>IFERROR(INDEX(tblCollectors[Collector ID],152)&amp;"","")</f>
        <v/>
      </c>
      <c r="U155">
        <f>IFERROR(INDEX(tblCollectors[Collector Name],150)&amp;"","")</f>
        <v/>
      </c>
      <c r="V155">
        <f>IFERROR(INDEX(tblCustomers[Customer ID],152)&amp;"","")</f>
        <v/>
      </c>
    </row>
    <row r="156">
      <c r="O156">
        <f>IFERROR(INDEX(tblAreas[Area Code],153)&amp;"","")</f>
        <v/>
      </c>
      <c r="P156">
        <f>IFERROR(INDEX(tblAreas[Area Name],152)&amp;"","")</f>
        <v/>
      </c>
      <c r="Q156">
        <f>IFERROR(INDEX(tblLocations[Location Code],153)&amp;"","")</f>
        <v/>
      </c>
      <c r="R156">
        <f>IFERROR(INDEX(tblLocations[Location Code],152)&amp;"","")</f>
        <v/>
      </c>
      <c r="S156">
        <f>IFERROR(INDEX(tblPackages[Package Name],153)&amp;"","")</f>
        <v/>
      </c>
      <c r="T156">
        <f>IFERROR(INDEX(tblCollectors[Collector ID],153)&amp;"","")</f>
        <v/>
      </c>
      <c r="U156">
        <f>IFERROR(INDEX(tblCollectors[Collector Name],151)&amp;"","")</f>
        <v/>
      </c>
      <c r="V156">
        <f>IFERROR(INDEX(tblCustomers[Customer ID],153)&amp;"","")</f>
        <v/>
      </c>
    </row>
    <row r="157">
      <c r="O157">
        <f>IFERROR(INDEX(tblAreas[Area Code],154)&amp;"","")</f>
        <v/>
      </c>
      <c r="P157">
        <f>IFERROR(INDEX(tblAreas[Area Name],153)&amp;"","")</f>
        <v/>
      </c>
      <c r="Q157">
        <f>IFERROR(INDEX(tblLocations[Location Code],154)&amp;"","")</f>
        <v/>
      </c>
      <c r="R157">
        <f>IFERROR(INDEX(tblLocations[Location Code],153)&amp;"","")</f>
        <v/>
      </c>
      <c r="S157">
        <f>IFERROR(INDEX(tblPackages[Package Name],154)&amp;"","")</f>
        <v/>
      </c>
      <c r="T157">
        <f>IFERROR(INDEX(tblCollectors[Collector ID],154)&amp;"","")</f>
        <v/>
      </c>
      <c r="U157">
        <f>IFERROR(INDEX(tblCollectors[Collector Name],152)&amp;"","")</f>
        <v/>
      </c>
      <c r="V157">
        <f>IFERROR(INDEX(tblCustomers[Customer ID],154)&amp;"","")</f>
        <v/>
      </c>
    </row>
    <row r="158">
      <c r="O158">
        <f>IFERROR(INDEX(tblAreas[Area Code],155)&amp;"","")</f>
        <v/>
      </c>
      <c r="P158">
        <f>IFERROR(INDEX(tblAreas[Area Name],154)&amp;"","")</f>
        <v/>
      </c>
      <c r="Q158">
        <f>IFERROR(INDEX(tblLocations[Location Code],155)&amp;"","")</f>
        <v/>
      </c>
      <c r="R158">
        <f>IFERROR(INDEX(tblLocations[Location Code],154)&amp;"","")</f>
        <v/>
      </c>
      <c r="S158">
        <f>IFERROR(INDEX(tblPackages[Package Name],155)&amp;"","")</f>
        <v/>
      </c>
      <c r="T158">
        <f>IFERROR(INDEX(tblCollectors[Collector ID],155)&amp;"","")</f>
        <v/>
      </c>
      <c r="U158">
        <f>IFERROR(INDEX(tblCollectors[Collector Name],153)&amp;"","")</f>
        <v/>
      </c>
      <c r="V158">
        <f>IFERROR(INDEX(tblCustomers[Customer ID],155)&amp;"","")</f>
        <v/>
      </c>
    </row>
    <row r="159">
      <c r="O159">
        <f>IFERROR(INDEX(tblAreas[Area Code],156)&amp;"","")</f>
        <v/>
      </c>
      <c r="P159">
        <f>IFERROR(INDEX(tblAreas[Area Name],155)&amp;"","")</f>
        <v/>
      </c>
      <c r="Q159">
        <f>IFERROR(INDEX(tblLocations[Location Code],156)&amp;"","")</f>
        <v/>
      </c>
      <c r="R159">
        <f>IFERROR(INDEX(tblLocations[Location Code],155)&amp;"","")</f>
        <v/>
      </c>
      <c r="S159">
        <f>IFERROR(INDEX(tblPackages[Package Name],156)&amp;"","")</f>
        <v/>
      </c>
      <c r="T159">
        <f>IFERROR(INDEX(tblCollectors[Collector ID],156)&amp;"","")</f>
        <v/>
      </c>
      <c r="U159">
        <f>IFERROR(INDEX(tblCollectors[Collector Name],154)&amp;"","")</f>
        <v/>
      </c>
      <c r="V159">
        <f>IFERROR(INDEX(tblCustomers[Customer ID],156)&amp;"","")</f>
        <v/>
      </c>
    </row>
    <row r="160">
      <c r="O160">
        <f>IFERROR(INDEX(tblAreas[Area Code],157)&amp;"","")</f>
        <v/>
      </c>
      <c r="P160">
        <f>IFERROR(INDEX(tblAreas[Area Name],156)&amp;"","")</f>
        <v/>
      </c>
      <c r="Q160">
        <f>IFERROR(INDEX(tblLocations[Location Code],157)&amp;"","")</f>
        <v/>
      </c>
      <c r="R160">
        <f>IFERROR(INDEX(tblLocations[Location Code],156)&amp;"","")</f>
        <v/>
      </c>
      <c r="S160">
        <f>IFERROR(INDEX(tblPackages[Package Name],157)&amp;"","")</f>
        <v/>
      </c>
      <c r="T160">
        <f>IFERROR(INDEX(tblCollectors[Collector ID],157)&amp;"","")</f>
        <v/>
      </c>
      <c r="U160">
        <f>IFERROR(INDEX(tblCollectors[Collector Name],155)&amp;"","")</f>
        <v/>
      </c>
      <c r="V160">
        <f>IFERROR(INDEX(tblCustomers[Customer ID],157)&amp;"","")</f>
        <v/>
      </c>
    </row>
    <row r="161">
      <c r="O161">
        <f>IFERROR(INDEX(tblAreas[Area Code],158)&amp;"","")</f>
        <v/>
      </c>
      <c r="P161">
        <f>IFERROR(INDEX(tblAreas[Area Name],157)&amp;"","")</f>
        <v/>
      </c>
      <c r="Q161">
        <f>IFERROR(INDEX(tblLocations[Location Code],158)&amp;"","")</f>
        <v/>
      </c>
      <c r="R161">
        <f>IFERROR(INDEX(tblLocations[Location Code],157)&amp;"","")</f>
        <v/>
      </c>
      <c r="S161">
        <f>IFERROR(INDEX(tblPackages[Package Name],158)&amp;"","")</f>
        <v/>
      </c>
      <c r="T161">
        <f>IFERROR(INDEX(tblCollectors[Collector ID],158)&amp;"","")</f>
        <v/>
      </c>
      <c r="U161">
        <f>IFERROR(INDEX(tblCollectors[Collector Name],156)&amp;"","")</f>
        <v/>
      </c>
      <c r="V161">
        <f>IFERROR(INDEX(tblCustomers[Customer ID],158)&amp;"","")</f>
        <v/>
      </c>
    </row>
    <row r="162">
      <c r="O162">
        <f>IFERROR(INDEX(tblAreas[Area Code],159)&amp;"","")</f>
        <v/>
      </c>
      <c r="P162">
        <f>IFERROR(INDEX(tblAreas[Area Name],158)&amp;"","")</f>
        <v/>
      </c>
      <c r="Q162">
        <f>IFERROR(INDEX(tblLocations[Location Code],159)&amp;"","")</f>
        <v/>
      </c>
      <c r="R162">
        <f>IFERROR(INDEX(tblLocations[Location Code],158)&amp;"","")</f>
        <v/>
      </c>
      <c r="S162">
        <f>IFERROR(INDEX(tblPackages[Package Name],159)&amp;"","")</f>
        <v/>
      </c>
      <c r="T162">
        <f>IFERROR(INDEX(tblCollectors[Collector ID],159)&amp;"","")</f>
        <v/>
      </c>
      <c r="U162">
        <f>IFERROR(INDEX(tblCollectors[Collector Name],157)&amp;"","")</f>
        <v/>
      </c>
      <c r="V162">
        <f>IFERROR(INDEX(tblCustomers[Customer ID],159)&amp;"","")</f>
        <v/>
      </c>
    </row>
    <row r="163">
      <c r="O163">
        <f>IFERROR(INDEX(tblAreas[Area Code],160)&amp;"","")</f>
        <v/>
      </c>
      <c r="P163">
        <f>IFERROR(INDEX(tblAreas[Area Name],159)&amp;"","")</f>
        <v/>
      </c>
      <c r="Q163">
        <f>IFERROR(INDEX(tblLocations[Location Code],160)&amp;"","")</f>
        <v/>
      </c>
      <c r="R163">
        <f>IFERROR(INDEX(tblLocations[Location Code],159)&amp;"","")</f>
        <v/>
      </c>
      <c r="S163">
        <f>IFERROR(INDEX(tblPackages[Package Name],160)&amp;"","")</f>
        <v/>
      </c>
      <c r="T163">
        <f>IFERROR(INDEX(tblCollectors[Collector ID],160)&amp;"","")</f>
        <v/>
      </c>
      <c r="U163">
        <f>IFERROR(INDEX(tblCollectors[Collector Name],158)&amp;"","")</f>
        <v/>
      </c>
      <c r="V163">
        <f>IFERROR(INDEX(tblCustomers[Customer ID],160)&amp;"","")</f>
        <v/>
      </c>
    </row>
    <row r="164">
      <c r="O164">
        <f>IFERROR(INDEX(tblAreas[Area Code],161)&amp;"","")</f>
        <v/>
      </c>
      <c r="P164">
        <f>IFERROR(INDEX(tblAreas[Area Name],160)&amp;"","")</f>
        <v/>
      </c>
      <c r="Q164">
        <f>IFERROR(INDEX(tblLocations[Location Code],161)&amp;"","")</f>
        <v/>
      </c>
      <c r="R164">
        <f>IFERROR(INDEX(tblLocations[Location Code],160)&amp;"","")</f>
        <v/>
      </c>
      <c r="S164">
        <f>IFERROR(INDEX(tblPackages[Package Name],161)&amp;"","")</f>
        <v/>
      </c>
      <c r="T164">
        <f>IFERROR(INDEX(tblCollectors[Collector ID],161)&amp;"","")</f>
        <v/>
      </c>
      <c r="U164">
        <f>IFERROR(INDEX(tblCollectors[Collector Name],159)&amp;"","")</f>
        <v/>
      </c>
      <c r="V164">
        <f>IFERROR(INDEX(tblCustomers[Customer ID],161)&amp;"","")</f>
        <v/>
      </c>
    </row>
    <row r="165">
      <c r="O165">
        <f>IFERROR(INDEX(tblAreas[Area Code],162)&amp;"","")</f>
        <v/>
      </c>
      <c r="P165">
        <f>IFERROR(INDEX(tblAreas[Area Name],161)&amp;"","")</f>
        <v/>
      </c>
      <c r="Q165">
        <f>IFERROR(INDEX(tblLocations[Location Code],162)&amp;"","")</f>
        <v/>
      </c>
      <c r="R165">
        <f>IFERROR(INDEX(tblLocations[Location Code],161)&amp;"","")</f>
        <v/>
      </c>
      <c r="S165">
        <f>IFERROR(INDEX(tblPackages[Package Name],162)&amp;"","")</f>
        <v/>
      </c>
      <c r="T165">
        <f>IFERROR(INDEX(tblCollectors[Collector ID],162)&amp;"","")</f>
        <v/>
      </c>
      <c r="U165">
        <f>IFERROR(INDEX(tblCollectors[Collector Name],160)&amp;"","")</f>
        <v/>
      </c>
      <c r="V165">
        <f>IFERROR(INDEX(tblCustomers[Customer ID],162)&amp;"","")</f>
        <v/>
      </c>
    </row>
    <row r="166">
      <c r="O166">
        <f>IFERROR(INDEX(tblAreas[Area Code],163)&amp;"","")</f>
        <v/>
      </c>
      <c r="P166">
        <f>IFERROR(INDEX(tblAreas[Area Name],162)&amp;"","")</f>
        <v/>
      </c>
      <c r="Q166">
        <f>IFERROR(INDEX(tblLocations[Location Code],163)&amp;"","")</f>
        <v/>
      </c>
      <c r="R166">
        <f>IFERROR(INDEX(tblLocations[Location Code],162)&amp;"","")</f>
        <v/>
      </c>
      <c r="S166">
        <f>IFERROR(INDEX(tblPackages[Package Name],163)&amp;"","")</f>
        <v/>
      </c>
      <c r="T166">
        <f>IFERROR(INDEX(tblCollectors[Collector ID],163)&amp;"","")</f>
        <v/>
      </c>
      <c r="U166">
        <f>IFERROR(INDEX(tblCollectors[Collector Name],161)&amp;"","")</f>
        <v/>
      </c>
      <c r="V166">
        <f>IFERROR(INDEX(tblCustomers[Customer ID],163)&amp;"","")</f>
        <v/>
      </c>
    </row>
    <row r="167">
      <c r="O167">
        <f>IFERROR(INDEX(tblAreas[Area Code],164)&amp;"","")</f>
        <v/>
      </c>
      <c r="P167">
        <f>IFERROR(INDEX(tblAreas[Area Name],163)&amp;"","")</f>
        <v/>
      </c>
      <c r="Q167">
        <f>IFERROR(INDEX(tblLocations[Location Code],164)&amp;"","")</f>
        <v/>
      </c>
      <c r="R167">
        <f>IFERROR(INDEX(tblLocations[Location Code],163)&amp;"","")</f>
        <v/>
      </c>
      <c r="S167">
        <f>IFERROR(INDEX(tblPackages[Package Name],164)&amp;"","")</f>
        <v/>
      </c>
      <c r="T167">
        <f>IFERROR(INDEX(tblCollectors[Collector ID],164)&amp;"","")</f>
        <v/>
      </c>
      <c r="U167">
        <f>IFERROR(INDEX(tblCollectors[Collector Name],162)&amp;"","")</f>
        <v/>
      </c>
      <c r="V167">
        <f>IFERROR(INDEX(tblCustomers[Customer ID],164)&amp;"","")</f>
        <v/>
      </c>
    </row>
    <row r="168">
      <c r="O168">
        <f>IFERROR(INDEX(tblAreas[Area Code],165)&amp;"","")</f>
        <v/>
      </c>
      <c r="P168">
        <f>IFERROR(INDEX(tblAreas[Area Name],164)&amp;"","")</f>
        <v/>
      </c>
      <c r="Q168">
        <f>IFERROR(INDEX(tblLocations[Location Code],165)&amp;"","")</f>
        <v/>
      </c>
      <c r="R168">
        <f>IFERROR(INDEX(tblLocations[Location Code],164)&amp;"","")</f>
        <v/>
      </c>
      <c r="S168">
        <f>IFERROR(INDEX(tblPackages[Package Name],165)&amp;"","")</f>
        <v/>
      </c>
      <c r="T168">
        <f>IFERROR(INDEX(tblCollectors[Collector ID],165)&amp;"","")</f>
        <v/>
      </c>
      <c r="U168">
        <f>IFERROR(INDEX(tblCollectors[Collector Name],163)&amp;"","")</f>
        <v/>
      </c>
      <c r="V168">
        <f>IFERROR(INDEX(tblCustomers[Customer ID],165)&amp;"","")</f>
        <v/>
      </c>
    </row>
    <row r="169">
      <c r="O169">
        <f>IFERROR(INDEX(tblAreas[Area Code],166)&amp;"","")</f>
        <v/>
      </c>
      <c r="P169">
        <f>IFERROR(INDEX(tblAreas[Area Name],165)&amp;"","")</f>
        <v/>
      </c>
      <c r="Q169">
        <f>IFERROR(INDEX(tblLocations[Location Code],166)&amp;"","")</f>
        <v/>
      </c>
      <c r="R169">
        <f>IFERROR(INDEX(tblLocations[Location Code],165)&amp;"","")</f>
        <v/>
      </c>
      <c r="S169">
        <f>IFERROR(INDEX(tblPackages[Package Name],166)&amp;"","")</f>
        <v/>
      </c>
      <c r="T169">
        <f>IFERROR(INDEX(tblCollectors[Collector ID],166)&amp;"","")</f>
        <v/>
      </c>
      <c r="U169">
        <f>IFERROR(INDEX(tblCollectors[Collector Name],164)&amp;"","")</f>
        <v/>
      </c>
      <c r="V169">
        <f>IFERROR(INDEX(tblCustomers[Customer ID],166)&amp;"","")</f>
        <v/>
      </c>
    </row>
    <row r="170">
      <c r="O170">
        <f>IFERROR(INDEX(tblAreas[Area Code],167)&amp;"","")</f>
        <v/>
      </c>
      <c r="P170">
        <f>IFERROR(INDEX(tblAreas[Area Name],166)&amp;"","")</f>
        <v/>
      </c>
      <c r="Q170">
        <f>IFERROR(INDEX(tblLocations[Location Code],167)&amp;"","")</f>
        <v/>
      </c>
      <c r="R170">
        <f>IFERROR(INDEX(tblLocations[Location Code],166)&amp;"","")</f>
        <v/>
      </c>
      <c r="S170">
        <f>IFERROR(INDEX(tblPackages[Package Name],167)&amp;"","")</f>
        <v/>
      </c>
      <c r="T170">
        <f>IFERROR(INDEX(tblCollectors[Collector ID],167)&amp;"","")</f>
        <v/>
      </c>
      <c r="U170">
        <f>IFERROR(INDEX(tblCollectors[Collector Name],165)&amp;"","")</f>
        <v/>
      </c>
      <c r="V170">
        <f>IFERROR(INDEX(tblCustomers[Customer ID],167)&amp;"","")</f>
        <v/>
      </c>
    </row>
    <row r="171">
      <c r="O171">
        <f>IFERROR(INDEX(tblAreas[Area Code],168)&amp;"","")</f>
        <v/>
      </c>
      <c r="P171">
        <f>IFERROR(INDEX(tblAreas[Area Name],167)&amp;"","")</f>
        <v/>
      </c>
      <c r="Q171">
        <f>IFERROR(INDEX(tblLocations[Location Code],168)&amp;"","")</f>
        <v/>
      </c>
      <c r="R171">
        <f>IFERROR(INDEX(tblLocations[Location Code],167)&amp;"","")</f>
        <v/>
      </c>
      <c r="S171">
        <f>IFERROR(INDEX(tblPackages[Package Name],168)&amp;"","")</f>
        <v/>
      </c>
      <c r="T171">
        <f>IFERROR(INDEX(tblCollectors[Collector ID],168)&amp;"","")</f>
        <v/>
      </c>
      <c r="U171">
        <f>IFERROR(INDEX(tblCollectors[Collector Name],166)&amp;"","")</f>
        <v/>
      </c>
      <c r="V171">
        <f>IFERROR(INDEX(tblCustomers[Customer ID],168)&amp;"","")</f>
        <v/>
      </c>
    </row>
    <row r="172">
      <c r="O172">
        <f>IFERROR(INDEX(tblAreas[Area Code],169)&amp;"","")</f>
        <v/>
      </c>
      <c r="P172">
        <f>IFERROR(INDEX(tblAreas[Area Name],168)&amp;"","")</f>
        <v/>
      </c>
      <c r="Q172">
        <f>IFERROR(INDEX(tblLocations[Location Code],169)&amp;"","")</f>
        <v/>
      </c>
      <c r="R172">
        <f>IFERROR(INDEX(tblLocations[Location Code],168)&amp;"","")</f>
        <v/>
      </c>
      <c r="S172">
        <f>IFERROR(INDEX(tblPackages[Package Name],169)&amp;"","")</f>
        <v/>
      </c>
      <c r="T172">
        <f>IFERROR(INDEX(tblCollectors[Collector ID],169)&amp;"","")</f>
        <v/>
      </c>
      <c r="U172">
        <f>IFERROR(INDEX(tblCollectors[Collector Name],167)&amp;"","")</f>
        <v/>
      </c>
      <c r="V172">
        <f>IFERROR(INDEX(tblCustomers[Customer ID],169)&amp;"","")</f>
        <v/>
      </c>
    </row>
    <row r="173">
      <c r="O173">
        <f>IFERROR(INDEX(tblAreas[Area Code],170)&amp;"","")</f>
        <v/>
      </c>
      <c r="P173">
        <f>IFERROR(INDEX(tblAreas[Area Name],169)&amp;"","")</f>
        <v/>
      </c>
      <c r="Q173">
        <f>IFERROR(INDEX(tblLocations[Location Code],170)&amp;"","")</f>
        <v/>
      </c>
      <c r="R173">
        <f>IFERROR(INDEX(tblLocations[Location Code],169)&amp;"","")</f>
        <v/>
      </c>
      <c r="S173">
        <f>IFERROR(INDEX(tblPackages[Package Name],170)&amp;"","")</f>
        <v/>
      </c>
      <c r="T173">
        <f>IFERROR(INDEX(tblCollectors[Collector ID],170)&amp;"","")</f>
        <v/>
      </c>
      <c r="U173">
        <f>IFERROR(INDEX(tblCollectors[Collector Name],168)&amp;"","")</f>
        <v/>
      </c>
      <c r="V173">
        <f>IFERROR(INDEX(tblCustomers[Customer ID],170)&amp;"","")</f>
        <v/>
      </c>
    </row>
    <row r="174">
      <c r="O174">
        <f>IFERROR(INDEX(tblAreas[Area Code],171)&amp;"","")</f>
        <v/>
      </c>
      <c r="P174">
        <f>IFERROR(INDEX(tblAreas[Area Name],170)&amp;"","")</f>
        <v/>
      </c>
      <c r="Q174">
        <f>IFERROR(INDEX(tblLocations[Location Code],171)&amp;"","")</f>
        <v/>
      </c>
      <c r="R174">
        <f>IFERROR(INDEX(tblLocations[Location Code],170)&amp;"","")</f>
        <v/>
      </c>
      <c r="S174">
        <f>IFERROR(INDEX(tblPackages[Package Name],171)&amp;"","")</f>
        <v/>
      </c>
      <c r="T174">
        <f>IFERROR(INDEX(tblCollectors[Collector ID],171)&amp;"","")</f>
        <v/>
      </c>
      <c r="U174">
        <f>IFERROR(INDEX(tblCollectors[Collector Name],169)&amp;"","")</f>
        <v/>
      </c>
      <c r="V174">
        <f>IFERROR(INDEX(tblCustomers[Customer ID],171)&amp;"","")</f>
        <v/>
      </c>
    </row>
    <row r="175">
      <c r="O175">
        <f>IFERROR(INDEX(tblAreas[Area Code],172)&amp;"","")</f>
        <v/>
      </c>
      <c r="P175">
        <f>IFERROR(INDEX(tblAreas[Area Name],171)&amp;"","")</f>
        <v/>
      </c>
      <c r="Q175">
        <f>IFERROR(INDEX(tblLocations[Location Code],172)&amp;"","")</f>
        <v/>
      </c>
      <c r="R175">
        <f>IFERROR(INDEX(tblLocations[Location Code],171)&amp;"","")</f>
        <v/>
      </c>
      <c r="S175">
        <f>IFERROR(INDEX(tblPackages[Package Name],172)&amp;"","")</f>
        <v/>
      </c>
      <c r="T175">
        <f>IFERROR(INDEX(tblCollectors[Collector ID],172)&amp;"","")</f>
        <v/>
      </c>
      <c r="U175">
        <f>IFERROR(INDEX(tblCollectors[Collector Name],170)&amp;"","")</f>
        <v/>
      </c>
      <c r="V175">
        <f>IFERROR(INDEX(tblCustomers[Customer ID],172)&amp;"","")</f>
        <v/>
      </c>
    </row>
    <row r="176">
      <c r="O176">
        <f>IFERROR(INDEX(tblAreas[Area Code],173)&amp;"","")</f>
        <v/>
      </c>
      <c r="P176">
        <f>IFERROR(INDEX(tblAreas[Area Name],172)&amp;"","")</f>
        <v/>
      </c>
      <c r="Q176">
        <f>IFERROR(INDEX(tblLocations[Location Code],173)&amp;"","")</f>
        <v/>
      </c>
      <c r="R176">
        <f>IFERROR(INDEX(tblLocations[Location Code],172)&amp;"","")</f>
        <v/>
      </c>
      <c r="S176">
        <f>IFERROR(INDEX(tblPackages[Package Name],173)&amp;"","")</f>
        <v/>
      </c>
      <c r="T176">
        <f>IFERROR(INDEX(tblCollectors[Collector ID],173)&amp;"","")</f>
        <v/>
      </c>
      <c r="U176">
        <f>IFERROR(INDEX(tblCollectors[Collector Name],171)&amp;"","")</f>
        <v/>
      </c>
      <c r="V176">
        <f>IFERROR(INDEX(tblCustomers[Customer ID],173)&amp;"","")</f>
        <v/>
      </c>
    </row>
    <row r="177">
      <c r="O177">
        <f>IFERROR(INDEX(tblAreas[Area Code],174)&amp;"","")</f>
        <v/>
      </c>
      <c r="P177">
        <f>IFERROR(INDEX(tblAreas[Area Name],173)&amp;"","")</f>
        <v/>
      </c>
      <c r="Q177">
        <f>IFERROR(INDEX(tblLocations[Location Code],174)&amp;"","")</f>
        <v/>
      </c>
      <c r="R177">
        <f>IFERROR(INDEX(tblLocations[Location Code],173)&amp;"","")</f>
        <v/>
      </c>
      <c r="S177">
        <f>IFERROR(INDEX(tblPackages[Package Name],174)&amp;"","")</f>
        <v/>
      </c>
      <c r="T177">
        <f>IFERROR(INDEX(tblCollectors[Collector ID],174)&amp;"","")</f>
        <v/>
      </c>
      <c r="U177">
        <f>IFERROR(INDEX(tblCollectors[Collector Name],172)&amp;"","")</f>
        <v/>
      </c>
      <c r="V177">
        <f>IFERROR(INDEX(tblCustomers[Customer ID],174)&amp;"","")</f>
        <v/>
      </c>
    </row>
    <row r="178">
      <c r="O178">
        <f>IFERROR(INDEX(tblAreas[Area Code],175)&amp;"","")</f>
        <v/>
      </c>
      <c r="P178">
        <f>IFERROR(INDEX(tblAreas[Area Name],174)&amp;"","")</f>
        <v/>
      </c>
      <c r="Q178">
        <f>IFERROR(INDEX(tblLocations[Location Code],175)&amp;"","")</f>
        <v/>
      </c>
      <c r="R178">
        <f>IFERROR(INDEX(tblLocations[Location Code],174)&amp;"","")</f>
        <v/>
      </c>
      <c r="S178">
        <f>IFERROR(INDEX(tblPackages[Package Name],175)&amp;"","")</f>
        <v/>
      </c>
      <c r="T178">
        <f>IFERROR(INDEX(tblCollectors[Collector ID],175)&amp;"","")</f>
        <v/>
      </c>
      <c r="U178">
        <f>IFERROR(INDEX(tblCollectors[Collector Name],173)&amp;"","")</f>
        <v/>
      </c>
      <c r="V178">
        <f>IFERROR(INDEX(tblCustomers[Customer ID],175)&amp;"","")</f>
        <v/>
      </c>
    </row>
    <row r="179">
      <c r="O179">
        <f>IFERROR(INDEX(tblAreas[Area Code],176)&amp;"","")</f>
        <v/>
      </c>
      <c r="P179">
        <f>IFERROR(INDEX(tblAreas[Area Name],175)&amp;"","")</f>
        <v/>
      </c>
      <c r="Q179">
        <f>IFERROR(INDEX(tblLocations[Location Code],176)&amp;"","")</f>
        <v/>
      </c>
      <c r="R179">
        <f>IFERROR(INDEX(tblLocations[Location Code],175)&amp;"","")</f>
        <v/>
      </c>
      <c r="S179">
        <f>IFERROR(INDEX(tblPackages[Package Name],176)&amp;"","")</f>
        <v/>
      </c>
      <c r="T179">
        <f>IFERROR(INDEX(tblCollectors[Collector ID],176)&amp;"","")</f>
        <v/>
      </c>
      <c r="U179">
        <f>IFERROR(INDEX(tblCollectors[Collector Name],174)&amp;"","")</f>
        <v/>
      </c>
      <c r="V179">
        <f>IFERROR(INDEX(tblCustomers[Customer ID],176)&amp;"","")</f>
        <v/>
      </c>
    </row>
    <row r="180">
      <c r="O180">
        <f>IFERROR(INDEX(tblAreas[Area Code],177)&amp;"","")</f>
        <v/>
      </c>
      <c r="P180">
        <f>IFERROR(INDEX(tblAreas[Area Name],176)&amp;"","")</f>
        <v/>
      </c>
      <c r="Q180">
        <f>IFERROR(INDEX(tblLocations[Location Code],177)&amp;"","")</f>
        <v/>
      </c>
      <c r="R180">
        <f>IFERROR(INDEX(tblLocations[Location Code],176)&amp;"","")</f>
        <v/>
      </c>
      <c r="S180">
        <f>IFERROR(INDEX(tblPackages[Package Name],177)&amp;"","")</f>
        <v/>
      </c>
      <c r="T180">
        <f>IFERROR(INDEX(tblCollectors[Collector ID],177)&amp;"","")</f>
        <v/>
      </c>
      <c r="U180">
        <f>IFERROR(INDEX(tblCollectors[Collector Name],175)&amp;"","")</f>
        <v/>
      </c>
      <c r="V180">
        <f>IFERROR(INDEX(tblCustomers[Customer ID],177)&amp;"","")</f>
        <v/>
      </c>
    </row>
    <row r="181">
      <c r="O181">
        <f>IFERROR(INDEX(tblAreas[Area Code],178)&amp;"","")</f>
        <v/>
      </c>
      <c r="P181">
        <f>IFERROR(INDEX(tblAreas[Area Name],177)&amp;"","")</f>
        <v/>
      </c>
      <c r="Q181">
        <f>IFERROR(INDEX(tblLocations[Location Code],178)&amp;"","")</f>
        <v/>
      </c>
      <c r="R181">
        <f>IFERROR(INDEX(tblLocations[Location Code],177)&amp;"","")</f>
        <v/>
      </c>
      <c r="S181">
        <f>IFERROR(INDEX(tblPackages[Package Name],178)&amp;"","")</f>
        <v/>
      </c>
      <c r="T181">
        <f>IFERROR(INDEX(tblCollectors[Collector ID],178)&amp;"","")</f>
        <v/>
      </c>
      <c r="U181">
        <f>IFERROR(INDEX(tblCollectors[Collector Name],176)&amp;"","")</f>
        <v/>
      </c>
      <c r="V181">
        <f>IFERROR(INDEX(tblCustomers[Customer ID],178)&amp;"","")</f>
        <v/>
      </c>
    </row>
    <row r="182">
      <c r="O182">
        <f>IFERROR(INDEX(tblAreas[Area Code],179)&amp;"","")</f>
        <v/>
      </c>
      <c r="P182">
        <f>IFERROR(INDEX(tblAreas[Area Name],178)&amp;"","")</f>
        <v/>
      </c>
      <c r="Q182">
        <f>IFERROR(INDEX(tblLocations[Location Code],179)&amp;"","")</f>
        <v/>
      </c>
      <c r="R182">
        <f>IFERROR(INDEX(tblLocations[Location Code],178)&amp;"","")</f>
        <v/>
      </c>
      <c r="S182">
        <f>IFERROR(INDEX(tblPackages[Package Name],179)&amp;"","")</f>
        <v/>
      </c>
      <c r="T182">
        <f>IFERROR(INDEX(tblCollectors[Collector ID],179)&amp;"","")</f>
        <v/>
      </c>
      <c r="U182">
        <f>IFERROR(INDEX(tblCollectors[Collector Name],177)&amp;"","")</f>
        <v/>
      </c>
      <c r="V182">
        <f>IFERROR(INDEX(tblCustomers[Customer ID],179)&amp;"","")</f>
        <v/>
      </c>
    </row>
    <row r="183">
      <c r="O183">
        <f>IFERROR(INDEX(tblAreas[Area Code],180)&amp;"","")</f>
        <v/>
      </c>
      <c r="P183">
        <f>IFERROR(INDEX(tblAreas[Area Name],179)&amp;"","")</f>
        <v/>
      </c>
      <c r="Q183">
        <f>IFERROR(INDEX(tblLocations[Location Code],180)&amp;"","")</f>
        <v/>
      </c>
      <c r="R183">
        <f>IFERROR(INDEX(tblLocations[Location Code],179)&amp;"","")</f>
        <v/>
      </c>
      <c r="S183">
        <f>IFERROR(INDEX(tblPackages[Package Name],180)&amp;"","")</f>
        <v/>
      </c>
      <c r="T183">
        <f>IFERROR(INDEX(tblCollectors[Collector ID],180)&amp;"","")</f>
        <v/>
      </c>
      <c r="U183">
        <f>IFERROR(INDEX(tblCollectors[Collector Name],178)&amp;"","")</f>
        <v/>
      </c>
      <c r="V183">
        <f>IFERROR(INDEX(tblCustomers[Customer ID],180)&amp;"","")</f>
        <v/>
      </c>
    </row>
    <row r="184">
      <c r="O184">
        <f>IFERROR(INDEX(tblAreas[Area Code],181)&amp;"","")</f>
        <v/>
      </c>
      <c r="P184">
        <f>IFERROR(INDEX(tblAreas[Area Name],180)&amp;"","")</f>
        <v/>
      </c>
      <c r="Q184">
        <f>IFERROR(INDEX(tblLocations[Location Code],181)&amp;"","")</f>
        <v/>
      </c>
      <c r="R184">
        <f>IFERROR(INDEX(tblLocations[Location Code],180)&amp;"","")</f>
        <v/>
      </c>
      <c r="S184">
        <f>IFERROR(INDEX(tblPackages[Package Name],181)&amp;"","")</f>
        <v/>
      </c>
      <c r="T184">
        <f>IFERROR(INDEX(tblCollectors[Collector ID],181)&amp;"","")</f>
        <v/>
      </c>
      <c r="U184">
        <f>IFERROR(INDEX(tblCollectors[Collector Name],179)&amp;"","")</f>
        <v/>
      </c>
      <c r="V184">
        <f>IFERROR(INDEX(tblCustomers[Customer ID],181)&amp;"","")</f>
        <v/>
      </c>
    </row>
    <row r="185">
      <c r="O185">
        <f>IFERROR(INDEX(tblAreas[Area Code],182)&amp;"","")</f>
        <v/>
      </c>
      <c r="P185">
        <f>IFERROR(INDEX(tblAreas[Area Name],181)&amp;"","")</f>
        <v/>
      </c>
      <c r="Q185">
        <f>IFERROR(INDEX(tblLocations[Location Code],182)&amp;"","")</f>
        <v/>
      </c>
      <c r="R185">
        <f>IFERROR(INDEX(tblLocations[Location Code],181)&amp;"","")</f>
        <v/>
      </c>
      <c r="S185">
        <f>IFERROR(INDEX(tblPackages[Package Name],182)&amp;"","")</f>
        <v/>
      </c>
      <c r="T185">
        <f>IFERROR(INDEX(tblCollectors[Collector ID],182)&amp;"","")</f>
        <v/>
      </c>
      <c r="U185">
        <f>IFERROR(INDEX(tblCollectors[Collector Name],180)&amp;"","")</f>
        <v/>
      </c>
      <c r="V185">
        <f>IFERROR(INDEX(tblCustomers[Customer ID],182)&amp;"","")</f>
        <v/>
      </c>
    </row>
    <row r="186">
      <c r="O186">
        <f>IFERROR(INDEX(tblAreas[Area Code],183)&amp;"","")</f>
        <v/>
      </c>
      <c r="P186">
        <f>IFERROR(INDEX(tblAreas[Area Name],182)&amp;"","")</f>
        <v/>
      </c>
      <c r="Q186">
        <f>IFERROR(INDEX(tblLocations[Location Code],183)&amp;"","")</f>
        <v/>
      </c>
      <c r="R186">
        <f>IFERROR(INDEX(tblLocations[Location Code],182)&amp;"","")</f>
        <v/>
      </c>
      <c r="S186">
        <f>IFERROR(INDEX(tblPackages[Package Name],183)&amp;"","")</f>
        <v/>
      </c>
      <c r="T186">
        <f>IFERROR(INDEX(tblCollectors[Collector ID],183)&amp;"","")</f>
        <v/>
      </c>
      <c r="U186">
        <f>IFERROR(INDEX(tblCollectors[Collector Name],181)&amp;"","")</f>
        <v/>
      </c>
      <c r="V186">
        <f>IFERROR(INDEX(tblCustomers[Customer ID],183)&amp;"","")</f>
        <v/>
      </c>
    </row>
    <row r="187">
      <c r="O187">
        <f>IFERROR(INDEX(tblAreas[Area Code],184)&amp;"","")</f>
        <v/>
      </c>
      <c r="P187">
        <f>IFERROR(INDEX(tblAreas[Area Name],183)&amp;"","")</f>
        <v/>
      </c>
      <c r="Q187">
        <f>IFERROR(INDEX(tblLocations[Location Code],184)&amp;"","")</f>
        <v/>
      </c>
      <c r="R187">
        <f>IFERROR(INDEX(tblLocations[Location Code],183)&amp;"","")</f>
        <v/>
      </c>
      <c r="S187">
        <f>IFERROR(INDEX(tblPackages[Package Name],184)&amp;"","")</f>
        <v/>
      </c>
      <c r="T187">
        <f>IFERROR(INDEX(tblCollectors[Collector ID],184)&amp;"","")</f>
        <v/>
      </c>
      <c r="U187">
        <f>IFERROR(INDEX(tblCollectors[Collector Name],182)&amp;"","")</f>
        <v/>
      </c>
      <c r="V187">
        <f>IFERROR(INDEX(tblCustomers[Customer ID],184)&amp;"","")</f>
        <v/>
      </c>
    </row>
    <row r="188">
      <c r="O188">
        <f>IFERROR(INDEX(tblAreas[Area Code],185)&amp;"","")</f>
        <v/>
      </c>
      <c r="P188">
        <f>IFERROR(INDEX(tblAreas[Area Name],184)&amp;"","")</f>
        <v/>
      </c>
      <c r="Q188">
        <f>IFERROR(INDEX(tblLocations[Location Code],185)&amp;"","")</f>
        <v/>
      </c>
      <c r="R188">
        <f>IFERROR(INDEX(tblLocations[Location Code],184)&amp;"","")</f>
        <v/>
      </c>
      <c r="S188">
        <f>IFERROR(INDEX(tblPackages[Package Name],185)&amp;"","")</f>
        <v/>
      </c>
      <c r="T188">
        <f>IFERROR(INDEX(tblCollectors[Collector ID],185)&amp;"","")</f>
        <v/>
      </c>
      <c r="U188">
        <f>IFERROR(INDEX(tblCollectors[Collector Name],183)&amp;"","")</f>
        <v/>
      </c>
      <c r="V188">
        <f>IFERROR(INDEX(tblCustomers[Customer ID],185)&amp;"","")</f>
        <v/>
      </c>
    </row>
    <row r="189">
      <c r="O189">
        <f>IFERROR(INDEX(tblAreas[Area Code],186)&amp;"","")</f>
        <v/>
      </c>
      <c r="P189">
        <f>IFERROR(INDEX(tblAreas[Area Name],185)&amp;"","")</f>
        <v/>
      </c>
      <c r="Q189">
        <f>IFERROR(INDEX(tblLocations[Location Code],186)&amp;"","")</f>
        <v/>
      </c>
      <c r="R189">
        <f>IFERROR(INDEX(tblLocations[Location Code],185)&amp;"","")</f>
        <v/>
      </c>
      <c r="S189">
        <f>IFERROR(INDEX(tblPackages[Package Name],186)&amp;"","")</f>
        <v/>
      </c>
      <c r="T189">
        <f>IFERROR(INDEX(tblCollectors[Collector ID],186)&amp;"","")</f>
        <v/>
      </c>
      <c r="U189">
        <f>IFERROR(INDEX(tblCollectors[Collector Name],184)&amp;"","")</f>
        <v/>
      </c>
      <c r="V189">
        <f>IFERROR(INDEX(tblCustomers[Customer ID],186)&amp;"","")</f>
        <v/>
      </c>
    </row>
    <row r="190">
      <c r="O190">
        <f>IFERROR(INDEX(tblAreas[Area Code],187)&amp;"","")</f>
        <v/>
      </c>
      <c r="P190">
        <f>IFERROR(INDEX(tblAreas[Area Name],186)&amp;"","")</f>
        <v/>
      </c>
      <c r="Q190">
        <f>IFERROR(INDEX(tblLocations[Location Code],187)&amp;"","")</f>
        <v/>
      </c>
      <c r="R190">
        <f>IFERROR(INDEX(tblLocations[Location Code],186)&amp;"","")</f>
        <v/>
      </c>
      <c r="S190">
        <f>IFERROR(INDEX(tblPackages[Package Name],187)&amp;"","")</f>
        <v/>
      </c>
      <c r="T190">
        <f>IFERROR(INDEX(tblCollectors[Collector ID],187)&amp;"","")</f>
        <v/>
      </c>
      <c r="U190">
        <f>IFERROR(INDEX(tblCollectors[Collector Name],185)&amp;"","")</f>
        <v/>
      </c>
      <c r="V190">
        <f>IFERROR(INDEX(tblCustomers[Customer ID],187)&amp;"","")</f>
        <v/>
      </c>
    </row>
    <row r="191">
      <c r="O191">
        <f>IFERROR(INDEX(tblAreas[Area Code],188)&amp;"","")</f>
        <v/>
      </c>
      <c r="P191">
        <f>IFERROR(INDEX(tblAreas[Area Name],187)&amp;"","")</f>
        <v/>
      </c>
      <c r="Q191">
        <f>IFERROR(INDEX(tblLocations[Location Code],188)&amp;"","")</f>
        <v/>
      </c>
      <c r="R191">
        <f>IFERROR(INDEX(tblLocations[Location Code],187)&amp;"","")</f>
        <v/>
      </c>
      <c r="S191">
        <f>IFERROR(INDEX(tblPackages[Package Name],188)&amp;"","")</f>
        <v/>
      </c>
      <c r="T191">
        <f>IFERROR(INDEX(tblCollectors[Collector ID],188)&amp;"","")</f>
        <v/>
      </c>
      <c r="U191">
        <f>IFERROR(INDEX(tblCollectors[Collector Name],186)&amp;"","")</f>
        <v/>
      </c>
      <c r="V191">
        <f>IFERROR(INDEX(tblCustomers[Customer ID],188)&amp;"","")</f>
        <v/>
      </c>
    </row>
    <row r="192">
      <c r="O192">
        <f>IFERROR(INDEX(tblAreas[Area Code],189)&amp;"","")</f>
        <v/>
      </c>
      <c r="P192">
        <f>IFERROR(INDEX(tblAreas[Area Name],188)&amp;"","")</f>
        <v/>
      </c>
      <c r="Q192">
        <f>IFERROR(INDEX(tblLocations[Location Code],189)&amp;"","")</f>
        <v/>
      </c>
      <c r="R192">
        <f>IFERROR(INDEX(tblLocations[Location Code],188)&amp;"","")</f>
        <v/>
      </c>
      <c r="S192">
        <f>IFERROR(INDEX(tblPackages[Package Name],189)&amp;"","")</f>
        <v/>
      </c>
      <c r="T192">
        <f>IFERROR(INDEX(tblCollectors[Collector ID],189)&amp;"","")</f>
        <v/>
      </c>
      <c r="U192">
        <f>IFERROR(INDEX(tblCollectors[Collector Name],187)&amp;"","")</f>
        <v/>
      </c>
      <c r="V192">
        <f>IFERROR(INDEX(tblCustomers[Customer ID],189)&amp;"","")</f>
        <v/>
      </c>
    </row>
    <row r="193">
      <c r="O193">
        <f>IFERROR(INDEX(tblAreas[Area Code],190)&amp;"","")</f>
        <v/>
      </c>
      <c r="P193">
        <f>IFERROR(INDEX(tblAreas[Area Name],189)&amp;"","")</f>
        <v/>
      </c>
      <c r="Q193">
        <f>IFERROR(INDEX(tblLocations[Location Code],190)&amp;"","")</f>
        <v/>
      </c>
      <c r="R193">
        <f>IFERROR(INDEX(tblLocations[Location Code],189)&amp;"","")</f>
        <v/>
      </c>
      <c r="S193">
        <f>IFERROR(INDEX(tblPackages[Package Name],190)&amp;"","")</f>
        <v/>
      </c>
      <c r="T193">
        <f>IFERROR(INDEX(tblCollectors[Collector ID],190)&amp;"","")</f>
        <v/>
      </c>
      <c r="U193">
        <f>IFERROR(INDEX(tblCollectors[Collector Name],188)&amp;"","")</f>
        <v/>
      </c>
      <c r="V193">
        <f>IFERROR(INDEX(tblCustomers[Customer ID],190)&amp;"","")</f>
        <v/>
      </c>
    </row>
    <row r="194">
      <c r="O194">
        <f>IFERROR(INDEX(tblAreas[Area Code],191)&amp;"","")</f>
        <v/>
      </c>
      <c r="P194">
        <f>IFERROR(INDEX(tblAreas[Area Name],190)&amp;"","")</f>
        <v/>
      </c>
      <c r="Q194">
        <f>IFERROR(INDEX(tblLocations[Location Code],191)&amp;"","")</f>
        <v/>
      </c>
      <c r="R194">
        <f>IFERROR(INDEX(tblLocations[Location Code],190)&amp;"","")</f>
        <v/>
      </c>
      <c r="S194">
        <f>IFERROR(INDEX(tblPackages[Package Name],191)&amp;"","")</f>
        <v/>
      </c>
      <c r="T194">
        <f>IFERROR(INDEX(tblCollectors[Collector ID],191)&amp;"","")</f>
        <v/>
      </c>
      <c r="U194">
        <f>IFERROR(INDEX(tblCollectors[Collector Name],189)&amp;"","")</f>
        <v/>
      </c>
      <c r="V194">
        <f>IFERROR(INDEX(tblCustomers[Customer ID],191)&amp;"","")</f>
        <v/>
      </c>
    </row>
    <row r="195">
      <c r="O195">
        <f>IFERROR(INDEX(tblAreas[Area Code],192)&amp;"","")</f>
        <v/>
      </c>
      <c r="P195">
        <f>IFERROR(INDEX(tblAreas[Area Name],191)&amp;"","")</f>
        <v/>
      </c>
      <c r="Q195">
        <f>IFERROR(INDEX(tblLocations[Location Code],192)&amp;"","")</f>
        <v/>
      </c>
      <c r="R195">
        <f>IFERROR(INDEX(tblLocations[Location Code],191)&amp;"","")</f>
        <v/>
      </c>
      <c r="S195">
        <f>IFERROR(INDEX(tblPackages[Package Name],192)&amp;"","")</f>
        <v/>
      </c>
      <c r="T195">
        <f>IFERROR(INDEX(tblCollectors[Collector ID],192)&amp;"","")</f>
        <v/>
      </c>
      <c r="U195">
        <f>IFERROR(INDEX(tblCollectors[Collector Name],190)&amp;"","")</f>
        <v/>
      </c>
      <c r="V195">
        <f>IFERROR(INDEX(tblCustomers[Customer ID],192)&amp;"","")</f>
        <v/>
      </c>
    </row>
    <row r="196">
      <c r="O196">
        <f>IFERROR(INDEX(tblAreas[Area Code],193)&amp;"","")</f>
        <v/>
      </c>
      <c r="P196">
        <f>IFERROR(INDEX(tblAreas[Area Name],192)&amp;"","")</f>
        <v/>
      </c>
      <c r="Q196">
        <f>IFERROR(INDEX(tblLocations[Location Code],193)&amp;"","")</f>
        <v/>
      </c>
      <c r="R196">
        <f>IFERROR(INDEX(tblLocations[Location Code],192)&amp;"","")</f>
        <v/>
      </c>
      <c r="S196">
        <f>IFERROR(INDEX(tblPackages[Package Name],193)&amp;"","")</f>
        <v/>
      </c>
      <c r="T196">
        <f>IFERROR(INDEX(tblCollectors[Collector ID],193)&amp;"","")</f>
        <v/>
      </c>
      <c r="U196">
        <f>IFERROR(INDEX(tblCollectors[Collector Name],191)&amp;"","")</f>
        <v/>
      </c>
      <c r="V196">
        <f>IFERROR(INDEX(tblCustomers[Customer ID],193)&amp;"","")</f>
        <v/>
      </c>
    </row>
    <row r="197">
      <c r="O197">
        <f>IFERROR(INDEX(tblAreas[Area Code],194)&amp;"","")</f>
        <v/>
      </c>
      <c r="P197">
        <f>IFERROR(INDEX(tblAreas[Area Name],193)&amp;"","")</f>
        <v/>
      </c>
      <c r="Q197">
        <f>IFERROR(INDEX(tblLocations[Location Code],194)&amp;"","")</f>
        <v/>
      </c>
      <c r="R197">
        <f>IFERROR(INDEX(tblLocations[Location Code],193)&amp;"","")</f>
        <v/>
      </c>
      <c r="S197">
        <f>IFERROR(INDEX(tblPackages[Package Name],194)&amp;"","")</f>
        <v/>
      </c>
      <c r="T197">
        <f>IFERROR(INDEX(tblCollectors[Collector ID],194)&amp;"","")</f>
        <v/>
      </c>
      <c r="U197">
        <f>IFERROR(INDEX(tblCollectors[Collector Name],192)&amp;"","")</f>
        <v/>
      </c>
      <c r="V197">
        <f>IFERROR(INDEX(tblCustomers[Customer ID],194)&amp;"","")</f>
        <v/>
      </c>
    </row>
    <row r="198">
      <c r="O198">
        <f>IFERROR(INDEX(tblAreas[Area Code],195)&amp;"","")</f>
        <v/>
      </c>
      <c r="P198">
        <f>IFERROR(INDEX(tblAreas[Area Name],194)&amp;"","")</f>
        <v/>
      </c>
      <c r="Q198">
        <f>IFERROR(INDEX(tblLocations[Location Code],195)&amp;"","")</f>
        <v/>
      </c>
      <c r="R198">
        <f>IFERROR(INDEX(tblLocations[Location Code],194)&amp;"","")</f>
        <v/>
      </c>
      <c r="S198">
        <f>IFERROR(INDEX(tblPackages[Package Name],195)&amp;"","")</f>
        <v/>
      </c>
      <c r="T198">
        <f>IFERROR(INDEX(tblCollectors[Collector ID],195)&amp;"","")</f>
        <v/>
      </c>
      <c r="U198">
        <f>IFERROR(INDEX(tblCollectors[Collector Name],193)&amp;"","")</f>
        <v/>
      </c>
      <c r="V198">
        <f>IFERROR(INDEX(tblCustomers[Customer ID],195)&amp;"","")</f>
        <v/>
      </c>
    </row>
    <row r="199">
      <c r="O199">
        <f>IFERROR(INDEX(tblAreas[Area Code],196)&amp;"","")</f>
        <v/>
      </c>
      <c r="P199">
        <f>IFERROR(INDEX(tblAreas[Area Name],195)&amp;"","")</f>
        <v/>
      </c>
      <c r="Q199">
        <f>IFERROR(INDEX(tblLocations[Location Code],196)&amp;"","")</f>
        <v/>
      </c>
      <c r="R199">
        <f>IFERROR(INDEX(tblLocations[Location Code],195)&amp;"","")</f>
        <v/>
      </c>
      <c r="S199">
        <f>IFERROR(INDEX(tblPackages[Package Name],196)&amp;"","")</f>
        <v/>
      </c>
      <c r="T199">
        <f>IFERROR(INDEX(tblCollectors[Collector ID],196)&amp;"","")</f>
        <v/>
      </c>
      <c r="U199">
        <f>IFERROR(INDEX(tblCollectors[Collector Name],194)&amp;"","")</f>
        <v/>
      </c>
      <c r="V199">
        <f>IFERROR(INDEX(tblCustomers[Customer ID],196)&amp;"","")</f>
        <v/>
      </c>
    </row>
    <row r="200">
      <c r="O200">
        <f>IFERROR(INDEX(tblAreas[Area Code],197)&amp;"","")</f>
        <v/>
      </c>
      <c r="P200">
        <f>IFERROR(INDEX(tblAreas[Area Name],196)&amp;"","")</f>
        <v/>
      </c>
      <c r="Q200">
        <f>IFERROR(INDEX(tblLocations[Location Code],197)&amp;"","")</f>
        <v/>
      </c>
      <c r="R200">
        <f>IFERROR(INDEX(tblLocations[Location Code],196)&amp;"","")</f>
        <v/>
      </c>
      <c r="S200">
        <f>IFERROR(INDEX(tblPackages[Package Name],197)&amp;"","")</f>
        <v/>
      </c>
      <c r="T200">
        <f>IFERROR(INDEX(tblCollectors[Collector ID],197)&amp;"","")</f>
        <v/>
      </c>
      <c r="U200">
        <f>IFERROR(INDEX(tblCollectors[Collector Name],195)&amp;"","")</f>
        <v/>
      </c>
      <c r="V200">
        <f>IFERROR(INDEX(tblCustomers[Customer ID],197)&amp;"","")</f>
        <v/>
      </c>
    </row>
    <row r="201">
      <c r="O201">
        <f>IFERROR(INDEX(tblAreas[Area Code],198)&amp;"","")</f>
        <v/>
      </c>
      <c r="P201">
        <f>IFERROR(INDEX(tblAreas[Area Name],197)&amp;"","")</f>
        <v/>
      </c>
      <c r="Q201">
        <f>IFERROR(INDEX(tblLocations[Location Code],198)&amp;"","")</f>
        <v/>
      </c>
      <c r="R201">
        <f>IFERROR(INDEX(tblLocations[Location Code],197)&amp;"","")</f>
        <v/>
      </c>
      <c r="S201">
        <f>IFERROR(INDEX(tblPackages[Package Name],198)&amp;"","")</f>
        <v/>
      </c>
      <c r="T201">
        <f>IFERROR(INDEX(tblCollectors[Collector ID],198)&amp;"","")</f>
        <v/>
      </c>
      <c r="U201">
        <f>IFERROR(INDEX(tblCollectors[Collector Name],196)&amp;"","")</f>
        <v/>
      </c>
      <c r="V201">
        <f>IFERROR(INDEX(tblCustomers[Customer ID],198)&amp;"","")</f>
        <v/>
      </c>
    </row>
    <row r="202">
      <c r="O202">
        <f>IFERROR(INDEX(tblAreas[Area Code],199)&amp;"","")</f>
        <v/>
      </c>
      <c r="P202">
        <f>IFERROR(INDEX(tblAreas[Area Name],198)&amp;"","")</f>
        <v/>
      </c>
      <c r="Q202">
        <f>IFERROR(INDEX(tblLocations[Location Code],199)&amp;"","")</f>
        <v/>
      </c>
      <c r="R202">
        <f>IFERROR(INDEX(tblLocations[Location Code],198)&amp;"","")</f>
        <v/>
      </c>
      <c r="S202">
        <f>IFERROR(INDEX(tblPackages[Package Name],199)&amp;"","")</f>
        <v/>
      </c>
      <c r="T202">
        <f>IFERROR(INDEX(tblCollectors[Collector ID],199)&amp;"","")</f>
        <v/>
      </c>
      <c r="U202">
        <f>IFERROR(INDEX(tblCollectors[Collector Name],197)&amp;"","")</f>
        <v/>
      </c>
      <c r="V202">
        <f>IFERROR(INDEX(tblCustomers[Customer ID],199)&amp;"","")</f>
        <v/>
      </c>
    </row>
    <row r="203">
      <c r="O203">
        <f>IFERROR(INDEX(tblAreas[Area Code],200)&amp;"","")</f>
        <v/>
      </c>
      <c r="P203">
        <f>IFERROR(INDEX(tblAreas[Area Name],199)&amp;"","")</f>
        <v/>
      </c>
      <c r="Q203">
        <f>IFERROR(INDEX(tblLocations[Location Code],200)&amp;"","")</f>
        <v/>
      </c>
      <c r="R203">
        <f>IFERROR(INDEX(tblLocations[Location Code],199)&amp;"","")</f>
        <v/>
      </c>
      <c r="S203">
        <f>IFERROR(INDEX(tblPackages[Package Name],200)&amp;"","")</f>
        <v/>
      </c>
      <c r="T203">
        <f>IFERROR(INDEX(tblCollectors[Collector ID],200)&amp;"","")</f>
        <v/>
      </c>
      <c r="U203">
        <f>IFERROR(INDEX(tblCollectors[Collector Name],198)&amp;"","")</f>
        <v/>
      </c>
      <c r="V203">
        <f>IFERROR(INDEX(tblCustomers[Customer ID],200)&amp;"","")</f>
        <v/>
      </c>
    </row>
    <row r="204">
      <c r="O204">
        <f>IFERROR(INDEX(tblAreas[Area Code],201)&amp;"","")</f>
        <v/>
      </c>
      <c r="P204">
        <f>IFERROR(INDEX(tblAreas[Area Name],200)&amp;"","")</f>
        <v/>
      </c>
      <c r="Q204">
        <f>IFERROR(INDEX(tblLocations[Location Code],201)&amp;"","")</f>
        <v/>
      </c>
      <c r="R204">
        <f>IFERROR(INDEX(tblLocations[Location Code],200)&amp;"","")</f>
        <v/>
      </c>
      <c r="S204">
        <f>IFERROR(INDEX(tblPackages[Package Name],201)&amp;"","")</f>
        <v/>
      </c>
      <c r="T204">
        <f>IFERROR(INDEX(tblCollectors[Collector ID],201)&amp;"","")</f>
        <v/>
      </c>
      <c r="U204">
        <f>IFERROR(INDEX(tblCollectors[Collector Name],199)&amp;"","")</f>
        <v/>
      </c>
      <c r="V204">
        <f>IFERROR(INDEX(tblCustomers[Customer ID],201)&amp;"","")</f>
        <v/>
      </c>
    </row>
    <row r="205">
      <c r="O205">
        <f>IFERROR(INDEX(tblAreas[Area Code],202)&amp;"","")</f>
        <v/>
      </c>
      <c r="P205">
        <f>IFERROR(INDEX(tblAreas[Area Name],201)&amp;"","")</f>
        <v/>
      </c>
      <c r="Q205">
        <f>IFERROR(INDEX(tblLocations[Location Code],202)&amp;"","")</f>
        <v/>
      </c>
      <c r="R205">
        <f>IFERROR(INDEX(tblLocations[Location Code],201)&amp;"","")</f>
        <v/>
      </c>
      <c r="S205">
        <f>IFERROR(INDEX(tblPackages[Package Name],202)&amp;"","")</f>
        <v/>
      </c>
      <c r="T205">
        <f>IFERROR(INDEX(tblCollectors[Collector ID],202)&amp;"","")</f>
        <v/>
      </c>
      <c r="U205">
        <f>IFERROR(INDEX(tblCollectors[Collector Name],200)&amp;"","")</f>
        <v/>
      </c>
      <c r="V205">
        <f>IFERROR(INDEX(tblCustomers[Customer ID],202)&amp;"","")</f>
        <v/>
      </c>
    </row>
    <row r="206">
      <c r="O206">
        <f>IFERROR(INDEX(tblAreas[Area Code],203)&amp;"","")</f>
        <v/>
      </c>
      <c r="P206">
        <f>IFERROR(INDEX(tblAreas[Area Name],202)&amp;"","")</f>
        <v/>
      </c>
      <c r="Q206">
        <f>IFERROR(INDEX(tblLocations[Location Code],203)&amp;"","")</f>
        <v/>
      </c>
      <c r="R206">
        <f>IFERROR(INDEX(tblLocations[Location Code],202)&amp;"","")</f>
        <v/>
      </c>
      <c r="S206">
        <f>IFERROR(INDEX(tblPackages[Package Name],203)&amp;"","")</f>
        <v/>
      </c>
      <c r="T206">
        <f>IFERROR(INDEX(tblCollectors[Collector ID],203)&amp;"","")</f>
        <v/>
      </c>
      <c r="U206">
        <f>IFERROR(INDEX(tblCollectors[Collector Name],201)&amp;"","")</f>
        <v/>
      </c>
      <c r="V206">
        <f>IFERROR(INDEX(tblCustomers[Customer ID],203)&amp;"","")</f>
        <v/>
      </c>
    </row>
    <row r="207">
      <c r="O207">
        <f>IFERROR(INDEX(tblAreas[Area Code],204)&amp;"","")</f>
        <v/>
      </c>
      <c r="P207">
        <f>IFERROR(INDEX(tblAreas[Area Name],203)&amp;"","")</f>
        <v/>
      </c>
      <c r="Q207">
        <f>IFERROR(INDEX(tblLocations[Location Code],204)&amp;"","")</f>
        <v/>
      </c>
      <c r="R207">
        <f>IFERROR(INDEX(tblLocations[Location Code],203)&amp;"","")</f>
        <v/>
      </c>
      <c r="S207">
        <f>IFERROR(INDEX(tblPackages[Package Name],204)&amp;"","")</f>
        <v/>
      </c>
      <c r="T207">
        <f>IFERROR(INDEX(tblCollectors[Collector ID],204)&amp;"","")</f>
        <v/>
      </c>
      <c r="U207">
        <f>IFERROR(INDEX(tblCollectors[Collector Name],202)&amp;"","")</f>
        <v/>
      </c>
      <c r="V207">
        <f>IFERROR(INDEX(tblCustomers[Customer ID],204)&amp;"","")</f>
        <v/>
      </c>
    </row>
    <row r="208">
      <c r="O208">
        <f>IFERROR(INDEX(tblAreas[Area Code],205)&amp;"","")</f>
        <v/>
      </c>
      <c r="P208">
        <f>IFERROR(INDEX(tblAreas[Area Name],204)&amp;"","")</f>
        <v/>
      </c>
      <c r="Q208">
        <f>IFERROR(INDEX(tblLocations[Location Code],205)&amp;"","")</f>
        <v/>
      </c>
      <c r="R208">
        <f>IFERROR(INDEX(tblLocations[Location Code],204)&amp;"","")</f>
        <v/>
      </c>
      <c r="S208">
        <f>IFERROR(INDEX(tblPackages[Package Name],205)&amp;"","")</f>
        <v/>
      </c>
      <c r="T208">
        <f>IFERROR(INDEX(tblCollectors[Collector ID],205)&amp;"","")</f>
        <v/>
      </c>
      <c r="U208">
        <f>IFERROR(INDEX(tblCollectors[Collector Name],203)&amp;"","")</f>
        <v/>
      </c>
      <c r="V208">
        <f>IFERROR(INDEX(tblCustomers[Customer ID],205)&amp;"","")</f>
        <v/>
      </c>
    </row>
    <row r="209">
      <c r="O209">
        <f>IFERROR(INDEX(tblAreas[Area Code],206)&amp;"","")</f>
        <v/>
      </c>
      <c r="P209">
        <f>IFERROR(INDEX(tblAreas[Area Name],205)&amp;"","")</f>
        <v/>
      </c>
      <c r="Q209">
        <f>IFERROR(INDEX(tblLocations[Location Code],206)&amp;"","")</f>
        <v/>
      </c>
      <c r="R209">
        <f>IFERROR(INDEX(tblLocations[Location Code],205)&amp;"","")</f>
        <v/>
      </c>
      <c r="S209">
        <f>IFERROR(INDEX(tblPackages[Package Name],206)&amp;"","")</f>
        <v/>
      </c>
      <c r="T209">
        <f>IFERROR(INDEX(tblCollectors[Collector ID],206)&amp;"","")</f>
        <v/>
      </c>
      <c r="U209">
        <f>IFERROR(INDEX(tblCollectors[Collector Name],204)&amp;"","")</f>
        <v/>
      </c>
      <c r="V209">
        <f>IFERROR(INDEX(tblCustomers[Customer ID],206)&amp;"","")</f>
        <v/>
      </c>
    </row>
    <row r="210">
      <c r="O210">
        <f>IFERROR(INDEX(tblAreas[Area Code],207)&amp;"","")</f>
        <v/>
      </c>
      <c r="P210">
        <f>IFERROR(INDEX(tblAreas[Area Name],206)&amp;"","")</f>
        <v/>
      </c>
      <c r="Q210">
        <f>IFERROR(INDEX(tblLocations[Location Code],207)&amp;"","")</f>
        <v/>
      </c>
      <c r="R210">
        <f>IFERROR(INDEX(tblLocations[Location Code],206)&amp;"","")</f>
        <v/>
      </c>
      <c r="S210">
        <f>IFERROR(INDEX(tblPackages[Package Name],207)&amp;"","")</f>
        <v/>
      </c>
      <c r="T210">
        <f>IFERROR(INDEX(tblCollectors[Collector ID],207)&amp;"","")</f>
        <v/>
      </c>
      <c r="U210">
        <f>IFERROR(INDEX(tblCollectors[Collector Name],205)&amp;"","")</f>
        <v/>
      </c>
      <c r="V210">
        <f>IFERROR(INDEX(tblCustomers[Customer ID],207)&amp;"","")</f>
        <v/>
      </c>
    </row>
    <row r="211">
      <c r="O211">
        <f>IFERROR(INDEX(tblAreas[Area Code],208)&amp;"","")</f>
        <v/>
      </c>
      <c r="P211">
        <f>IFERROR(INDEX(tblAreas[Area Name],207)&amp;"","")</f>
        <v/>
      </c>
      <c r="Q211">
        <f>IFERROR(INDEX(tblLocations[Location Code],208)&amp;"","")</f>
        <v/>
      </c>
      <c r="R211">
        <f>IFERROR(INDEX(tblLocations[Location Code],207)&amp;"","")</f>
        <v/>
      </c>
      <c r="S211">
        <f>IFERROR(INDEX(tblPackages[Package Name],208)&amp;"","")</f>
        <v/>
      </c>
      <c r="T211">
        <f>IFERROR(INDEX(tblCollectors[Collector ID],208)&amp;"","")</f>
        <v/>
      </c>
      <c r="U211">
        <f>IFERROR(INDEX(tblCollectors[Collector Name],206)&amp;"","")</f>
        <v/>
      </c>
      <c r="V211">
        <f>IFERROR(INDEX(tblCustomers[Customer ID],208)&amp;"","")</f>
        <v/>
      </c>
    </row>
    <row r="212">
      <c r="O212">
        <f>IFERROR(INDEX(tblAreas[Area Code],209)&amp;"","")</f>
        <v/>
      </c>
      <c r="P212">
        <f>IFERROR(INDEX(tblAreas[Area Name],208)&amp;"","")</f>
        <v/>
      </c>
      <c r="Q212">
        <f>IFERROR(INDEX(tblLocations[Location Code],209)&amp;"","")</f>
        <v/>
      </c>
      <c r="R212">
        <f>IFERROR(INDEX(tblLocations[Location Code],208)&amp;"","")</f>
        <v/>
      </c>
      <c r="S212">
        <f>IFERROR(INDEX(tblPackages[Package Name],209)&amp;"","")</f>
        <v/>
      </c>
      <c r="T212">
        <f>IFERROR(INDEX(tblCollectors[Collector ID],209)&amp;"","")</f>
        <v/>
      </c>
      <c r="U212">
        <f>IFERROR(INDEX(tblCollectors[Collector Name],207)&amp;"","")</f>
        <v/>
      </c>
      <c r="V212">
        <f>IFERROR(INDEX(tblCustomers[Customer ID],209)&amp;"","")</f>
        <v/>
      </c>
    </row>
    <row r="213">
      <c r="O213">
        <f>IFERROR(INDEX(tblAreas[Area Code],210)&amp;"","")</f>
        <v/>
      </c>
      <c r="P213">
        <f>IFERROR(INDEX(tblAreas[Area Name],209)&amp;"","")</f>
        <v/>
      </c>
      <c r="Q213">
        <f>IFERROR(INDEX(tblLocations[Location Code],210)&amp;"","")</f>
        <v/>
      </c>
      <c r="R213">
        <f>IFERROR(INDEX(tblLocations[Location Code],209)&amp;"","")</f>
        <v/>
      </c>
      <c r="S213">
        <f>IFERROR(INDEX(tblPackages[Package Name],210)&amp;"","")</f>
        <v/>
      </c>
      <c r="T213">
        <f>IFERROR(INDEX(tblCollectors[Collector ID],210)&amp;"","")</f>
        <v/>
      </c>
      <c r="U213">
        <f>IFERROR(INDEX(tblCollectors[Collector Name],208)&amp;"","")</f>
        <v/>
      </c>
      <c r="V213">
        <f>IFERROR(INDEX(tblCustomers[Customer ID],210)&amp;"","")</f>
        <v/>
      </c>
    </row>
    <row r="214">
      <c r="O214">
        <f>IFERROR(INDEX(tblAreas[Area Code],211)&amp;"","")</f>
        <v/>
      </c>
      <c r="P214">
        <f>IFERROR(INDEX(tblAreas[Area Name],210)&amp;"","")</f>
        <v/>
      </c>
      <c r="Q214">
        <f>IFERROR(INDEX(tblLocations[Location Code],211)&amp;"","")</f>
        <v/>
      </c>
      <c r="R214">
        <f>IFERROR(INDEX(tblLocations[Location Code],210)&amp;"","")</f>
        <v/>
      </c>
      <c r="S214">
        <f>IFERROR(INDEX(tblPackages[Package Name],211)&amp;"","")</f>
        <v/>
      </c>
      <c r="T214">
        <f>IFERROR(INDEX(tblCollectors[Collector ID],211)&amp;"","")</f>
        <v/>
      </c>
      <c r="U214">
        <f>IFERROR(INDEX(tblCollectors[Collector Name],209)&amp;"","")</f>
        <v/>
      </c>
      <c r="V214">
        <f>IFERROR(INDEX(tblCustomers[Customer ID],211)&amp;"","")</f>
        <v/>
      </c>
    </row>
    <row r="215">
      <c r="O215">
        <f>IFERROR(INDEX(tblAreas[Area Code],212)&amp;"","")</f>
        <v/>
      </c>
      <c r="P215">
        <f>IFERROR(INDEX(tblAreas[Area Name],211)&amp;"","")</f>
        <v/>
      </c>
      <c r="Q215">
        <f>IFERROR(INDEX(tblLocations[Location Code],212)&amp;"","")</f>
        <v/>
      </c>
      <c r="R215">
        <f>IFERROR(INDEX(tblLocations[Location Code],211)&amp;"","")</f>
        <v/>
      </c>
      <c r="S215">
        <f>IFERROR(INDEX(tblPackages[Package Name],212)&amp;"","")</f>
        <v/>
      </c>
      <c r="T215">
        <f>IFERROR(INDEX(tblCollectors[Collector ID],212)&amp;"","")</f>
        <v/>
      </c>
      <c r="U215">
        <f>IFERROR(INDEX(tblCollectors[Collector Name],210)&amp;"","")</f>
        <v/>
      </c>
      <c r="V215">
        <f>IFERROR(INDEX(tblCustomers[Customer ID],212)&amp;"","")</f>
        <v/>
      </c>
    </row>
    <row r="216">
      <c r="O216">
        <f>IFERROR(INDEX(tblAreas[Area Code],213)&amp;"","")</f>
        <v/>
      </c>
      <c r="P216">
        <f>IFERROR(INDEX(tblAreas[Area Name],212)&amp;"","")</f>
        <v/>
      </c>
      <c r="Q216">
        <f>IFERROR(INDEX(tblLocations[Location Code],213)&amp;"","")</f>
        <v/>
      </c>
      <c r="R216">
        <f>IFERROR(INDEX(tblLocations[Location Code],212)&amp;"","")</f>
        <v/>
      </c>
      <c r="S216">
        <f>IFERROR(INDEX(tblPackages[Package Name],213)&amp;"","")</f>
        <v/>
      </c>
      <c r="T216">
        <f>IFERROR(INDEX(tblCollectors[Collector ID],213)&amp;"","")</f>
        <v/>
      </c>
      <c r="U216">
        <f>IFERROR(INDEX(tblCollectors[Collector Name],211)&amp;"","")</f>
        <v/>
      </c>
      <c r="V216">
        <f>IFERROR(INDEX(tblCustomers[Customer ID],213)&amp;"","")</f>
        <v/>
      </c>
    </row>
    <row r="217">
      <c r="O217">
        <f>IFERROR(INDEX(tblAreas[Area Code],214)&amp;"","")</f>
        <v/>
      </c>
      <c r="P217">
        <f>IFERROR(INDEX(tblAreas[Area Name],213)&amp;"","")</f>
        <v/>
      </c>
      <c r="Q217">
        <f>IFERROR(INDEX(tblLocations[Location Code],214)&amp;"","")</f>
        <v/>
      </c>
      <c r="R217">
        <f>IFERROR(INDEX(tblLocations[Location Code],213)&amp;"","")</f>
        <v/>
      </c>
      <c r="S217">
        <f>IFERROR(INDEX(tblPackages[Package Name],214)&amp;"","")</f>
        <v/>
      </c>
      <c r="T217">
        <f>IFERROR(INDEX(tblCollectors[Collector ID],214)&amp;"","")</f>
        <v/>
      </c>
      <c r="U217">
        <f>IFERROR(INDEX(tblCollectors[Collector Name],212)&amp;"","")</f>
        <v/>
      </c>
      <c r="V217">
        <f>IFERROR(INDEX(tblCustomers[Customer ID],214)&amp;"","")</f>
        <v/>
      </c>
    </row>
    <row r="218">
      <c r="O218">
        <f>IFERROR(INDEX(tblAreas[Area Code],215)&amp;"","")</f>
        <v/>
      </c>
      <c r="P218">
        <f>IFERROR(INDEX(tblAreas[Area Name],214)&amp;"","")</f>
        <v/>
      </c>
      <c r="Q218">
        <f>IFERROR(INDEX(tblLocations[Location Code],215)&amp;"","")</f>
        <v/>
      </c>
      <c r="R218">
        <f>IFERROR(INDEX(tblLocations[Location Code],214)&amp;"","")</f>
        <v/>
      </c>
      <c r="S218">
        <f>IFERROR(INDEX(tblPackages[Package Name],215)&amp;"","")</f>
        <v/>
      </c>
      <c r="T218">
        <f>IFERROR(INDEX(tblCollectors[Collector ID],215)&amp;"","")</f>
        <v/>
      </c>
      <c r="U218">
        <f>IFERROR(INDEX(tblCollectors[Collector Name],213)&amp;"","")</f>
        <v/>
      </c>
      <c r="V218">
        <f>IFERROR(INDEX(tblCustomers[Customer ID],215)&amp;"","")</f>
        <v/>
      </c>
    </row>
    <row r="219">
      <c r="O219">
        <f>IFERROR(INDEX(tblAreas[Area Code],216)&amp;"","")</f>
        <v/>
      </c>
      <c r="P219">
        <f>IFERROR(INDEX(tblAreas[Area Name],215)&amp;"","")</f>
        <v/>
      </c>
      <c r="Q219">
        <f>IFERROR(INDEX(tblLocations[Location Code],216)&amp;"","")</f>
        <v/>
      </c>
      <c r="R219">
        <f>IFERROR(INDEX(tblLocations[Location Code],215)&amp;"","")</f>
        <v/>
      </c>
      <c r="S219">
        <f>IFERROR(INDEX(tblPackages[Package Name],216)&amp;"","")</f>
        <v/>
      </c>
      <c r="T219">
        <f>IFERROR(INDEX(tblCollectors[Collector ID],216)&amp;"","")</f>
        <v/>
      </c>
      <c r="U219">
        <f>IFERROR(INDEX(tblCollectors[Collector Name],214)&amp;"","")</f>
        <v/>
      </c>
      <c r="V219">
        <f>IFERROR(INDEX(tblCustomers[Customer ID],216)&amp;"","")</f>
        <v/>
      </c>
    </row>
    <row r="220">
      <c r="O220">
        <f>IFERROR(INDEX(tblAreas[Area Code],217)&amp;"","")</f>
        <v/>
      </c>
      <c r="P220">
        <f>IFERROR(INDEX(tblAreas[Area Name],216)&amp;"","")</f>
        <v/>
      </c>
      <c r="Q220">
        <f>IFERROR(INDEX(tblLocations[Location Code],217)&amp;"","")</f>
        <v/>
      </c>
      <c r="R220">
        <f>IFERROR(INDEX(tblLocations[Location Code],216)&amp;"","")</f>
        <v/>
      </c>
      <c r="S220">
        <f>IFERROR(INDEX(tblPackages[Package Name],217)&amp;"","")</f>
        <v/>
      </c>
      <c r="T220">
        <f>IFERROR(INDEX(tblCollectors[Collector ID],217)&amp;"","")</f>
        <v/>
      </c>
      <c r="U220">
        <f>IFERROR(INDEX(tblCollectors[Collector Name],215)&amp;"","")</f>
        <v/>
      </c>
      <c r="V220">
        <f>IFERROR(INDEX(tblCustomers[Customer ID],217)&amp;"","")</f>
        <v/>
      </c>
    </row>
    <row r="221">
      <c r="O221">
        <f>IFERROR(INDEX(tblAreas[Area Code],218)&amp;"","")</f>
        <v/>
      </c>
      <c r="P221">
        <f>IFERROR(INDEX(tblAreas[Area Name],217)&amp;"","")</f>
        <v/>
      </c>
      <c r="Q221">
        <f>IFERROR(INDEX(tblLocations[Location Code],218)&amp;"","")</f>
        <v/>
      </c>
      <c r="R221">
        <f>IFERROR(INDEX(tblLocations[Location Code],217)&amp;"","")</f>
        <v/>
      </c>
      <c r="S221">
        <f>IFERROR(INDEX(tblPackages[Package Name],218)&amp;"","")</f>
        <v/>
      </c>
      <c r="T221">
        <f>IFERROR(INDEX(tblCollectors[Collector ID],218)&amp;"","")</f>
        <v/>
      </c>
      <c r="U221">
        <f>IFERROR(INDEX(tblCollectors[Collector Name],216)&amp;"","")</f>
        <v/>
      </c>
      <c r="V221">
        <f>IFERROR(INDEX(tblCustomers[Customer ID],218)&amp;"","")</f>
        <v/>
      </c>
    </row>
    <row r="222">
      <c r="O222">
        <f>IFERROR(INDEX(tblAreas[Area Code],219)&amp;"","")</f>
        <v/>
      </c>
      <c r="P222">
        <f>IFERROR(INDEX(tblAreas[Area Name],218)&amp;"","")</f>
        <v/>
      </c>
      <c r="Q222">
        <f>IFERROR(INDEX(tblLocations[Location Code],219)&amp;"","")</f>
        <v/>
      </c>
      <c r="R222">
        <f>IFERROR(INDEX(tblLocations[Location Code],218)&amp;"","")</f>
        <v/>
      </c>
      <c r="S222">
        <f>IFERROR(INDEX(tblPackages[Package Name],219)&amp;"","")</f>
        <v/>
      </c>
      <c r="T222">
        <f>IFERROR(INDEX(tblCollectors[Collector ID],219)&amp;"","")</f>
        <v/>
      </c>
      <c r="U222">
        <f>IFERROR(INDEX(tblCollectors[Collector Name],217)&amp;"","")</f>
        <v/>
      </c>
      <c r="V222">
        <f>IFERROR(INDEX(tblCustomers[Customer ID],219)&amp;"","")</f>
        <v/>
      </c>
    </row>
    <row r="223">
      <c r="O223">
        <f>IFERROR(INDEX(tblAreas[Area Code],220)&amp;"","")</f>
        <v/>
      </c>
      <c r="P223">
        <f>IFERROR(INDEX(tblAreas[Area Name],219)&amp;"","")</f>
        <v/>
      </c>
      <c r="Q223">
        <f>IFERROR(INDEX(tblLocations[Location Code],220)&amp;"","")</f>
        <v/>
      </c>
      <c r="R223">
        <f>IFERROR(INDEX(tblLocations[Location Code],219)&amp;"","")</f>
        <v/>
      </c>
      <c r="S223">
        <f>IFERROR(INDEX(tblPackages[Package Name],220)&amp;"","")</f>
        <v/>
      </c>
      <c r="T223">
        <f>IFERROR(INDEX(tblCollectors[Collector ID],220)&amp;"","")</f>
        <v/>
      </c>
      <c r="U223">
        <f>IFERROR(INDEX(tblCollectors[Collector Name],218)&amp;"","")</f>
        <v/>
      </c>
      <c r="V223">
        <f>IFERROR(INDEX(tblCustomers[Customer ID],220)&amp;"","")</f>
        <v/>
      </c>
    </row>
    <row r="224">
      <c r="O224">
        <f>IFERROR(INDEX(tblAreas[Area Code],221)&amp;"","")</f>
        <v/>
      </c>
      <c r="P224">
        <f>IFERROR(INDEX(tblAreas[Area Name],220)&amp;"","")</f>
        <v/>
      </c>
      <c r="Q224">
        <f>IFERROR(INDEX(tblLocations[Location Code],221)&amp;"","")</f>
        <v/>
      </c>
      <c r="R224">
        <f>IFERROR(INDEX(tblLocations[Location Code],220)&amp;"","")</f>
        <v/>
      </c>
      <c r="S224">
        <f>IFERROR(INDEX(tblPackages[Package Name],221)&amp;"","")</f>
        <v/>
      </c>
      <c r="T224">
        <f>IFERROR(INDEX(tblCollectors[Collector ID],221)&amp;"","")</f>
        <v/>
      </c>
      <c r="U224">
        <f>IFERROR(INDEX(tblCollectors[Collector Name],219)&amp;"","")</f>
        <v/>
      </c>
      <c r="V224">
        <f>IFERROR(INDEX(tblCustomers[Customer ID],221)&amp;"","")</f>
        <v/>
      </c>
    </row>
    <row r="225">
      <c r="O225">
        <f>IFERROR(INDEX(tblAreas[Area Code],222)&amp;"","")</f>
        <v/>
      </c>
      <c r="P225">
        <f>IFERROR(INDEX(tblAreas[Area Name],221)&amp;"","")</f>
        <v/>
      </c>
      <c r="Q225">
        <f>IFERROR(INDEX(tblLocations[Location Code],222)&amp;"","")</f>
        <v/>
      </c>
      <c r="R225">
        <f>IFERROR(INDEX(tblLocations[Location Code],221)&amp;"","")</f>
        <v/>
      </c>
      <c r="S225">
        <f>IFERROR(INDEX(tblPackages[Package Name],222)&amp;"","")</f>
        <v/>
      </c>
      <c r="T225">
        <f>IFERROR(INDEX(tblCollectors[Collector ID],222)&amp;"","")</f>
        <v/>
      </c>
      <c r="U225">
        <f>IFERROR(INDEX(tblCollectors[Collector Name],220)&amp;"","")</f>
        <v/>
      </c>
      <c r="V225">
        <f>IFERROR(INDEX(tblCustomers[Customer ID],222)&amp;"","")</f>
        <v/>
      </c>
    </row>
    <row r="226">
      <c r="O226">
        <f>IFERROR(INDEX(tblAreas[Area Code],223)&amp;"","")</f>
        <v/>
      </c>
      <c r="P226">
        <f>IFERROR(INDEX(tblAreas[Area Name],222)&amp;"","")</f>
        <v/>
      </c>
      <c r="Q226">
        <f>IFERROR(INDEX(tblLocations[Location Code],223)&amp;"","")</f>
        <v/>
      </c>
      <c r="R226">
        <f>IFERROR(INDEX(tblLocations[Location Code],222)&amp;"","")</f>
        <v/>
      </c>
      <c r="S226">
        <f>IFERROR(INDEX(tblPackages[Package Name],223)&amp;"","")</f>
        <v/>
      </c>
      <c r="T226">
        <f>IFERROR(INDEX(tblCollectors[Collector ID],223)&amp;"","")</f>
        <v/>
      </c>
      <c r="U226">
        <f>IFERROR(INDEX(tblCollectors[Collector Name],221)&amp;"","")</f>
        <v/>
      </c>
      <c r="V226">
        <f>IFERROR(INDEX(tblCustomers[Customer ID],223)&amp;"","")</f>
        <v/>
      </c>
    </row>
    <row r="227">
      <c r="O227">
        <f>IFERROR(INDEX(tblAreas[Area Code],224)&amp;"","")</f>
        <v/>
      </c>
      <c r="P227">
        <f>IFERROR(INDEX(tblAreas[Area Name],223)&amp;"","")</f>
        <v/>
      </c>
      <c r="Q227">
        <f>IFERROR(INDEX(tblLocations[Location Code],224)&amp;"","")</f>
        <v/>
      </c>
      <c r="R227">
        <f>IFERROR(INDEX(tblLocations[Location Code],223)&amp;"","")</f>
        <v/>
      </c>
      <c r="S227">
        <f>IFERROR(INDEX(tblPackages[Package Name],224)&amp;"","")</f>
        <v/>
      </c>
      <c r="T227">
        <f>IFERROR(INDEX(tblCollectors[Collector ID],224)&amp;"","")</f>
        <v/>
      </c>
      <c r="U227">
        <f>IFERROR(INDEX(tblCollectors[Collector Name],222)&amp;"","")</f>
        <v/>
      </c>
      <c r="V227">
        <f>IFERROR(INDEX(tblCustomers[Customer ID],224)&amp;"","")</f>
        <v/>
      </c>
    </row>
    <row r="228">
      <c r="O228">
        <f>IFERROR(INDEX(tblAreas[Area Code],225)&amp;"","")</f>
        <v/>
      </c>
      <c r="P228">
        <f>IFERROR(INDEX(tblAreas[Area Name],224)&amp;"","")</f>
        <v/>
      </c>
      <c r="Q228">
        <f>IFERROR(INDEX(tblLocations[Location Code],225)&amp;"","")</f>
        <v/>
      </c>
      <c r="R228">
        <f>IFERROR(INDEX(tblLocations[Location Code],224)&amp;"","")</f>
        <v/>
      </c>
      <c r="S228">
        <f>IFERROR(INDEX(tblPackages[Package Name],225)&amp;"","")</f>
        <v/>
      </c>
      <c r="T228">
        <f>IFERROR(INDEX(tblCollectors[Collector ID],225)&amp;"","")</f>
        <v/>
      </c>
      <c r="U228">
        <f>IFERROR(INDEX(tblCollectors[Collector Name],223)&amp;"","")</f>
        <v/>
      </c>
      <c r="V228">
        <f>IFERROR(INDEX(tblCustomers[Customer ID],225)&amp;"","")</f>
        <v/>
      </c>
    </row>
    <row r="229">
      <c r="O229">
        <f>IFERROR(INDEX(tblAreas[Area Code],226)&amp;"","")</f>
        <v/>
      </c>
      <c r="P229">
        <f>IFERROR(INDEX(tblAreas[Area Name],225)&amp;"","")</f>
        <v/>
      </c>
      <c r="Q229">
        <f>IFERROR(INDEX(tblLocations[Location Code],226)&amp;"","")</f>
        <v/>
      </c>
      <c r="R229">
        <f>IFERROR(INDEX(tblLocations[Location Code],225)&amp;"","")</f>
        <v/>
      </c>
      <c r="S229">
        <f>IFERROR(INDEX(tblPackages[Package Name],226)&amp;"","")</f>
        <v/>
      </c>
      <c r="T229">
        <f>IFERROR(INDEX(tblCollectors[Collector ID],226)&amp;"","")</f>
        <v/>
      </c>
      <c r="U229">
        <f>IFERROR(INDEX(tblCollectors[Collector Name],224)&amp;"","")</f>
        <v/>
      </c>
      <c r="V229">
        <f>IFERROR(INDEX(tblCustomers[Customer ID],226)&amp;"","")</f>
        <v/>
      </c>
    </row>
    <row r="230">
      <c r="O230">
        <f>IFERROR(INDEX(tblAreas[Area Code],227)&amp;"","")</f>
        <v/>
      </c>
      <c r="P230">
        <f>IFERROR(INDEX(tblAreas[Area Name],226)&amp;"","")</f>
        <v/>
      </c>
      <c r="Q230">
        <f>IFERROR(INDEX(tblLocations[Location Code],227)&amp;"","")</f>
        <v/>
      </c>
      <c r="R230">
        <f>IFERROR(INDEX(tblLocations[Location Code],226)&amp;"","")</f>
        <v/>
      </c>
      <c r="S230">
        <f>IFERROR(INDEX(tblPackages[Package Name],227)&amp;"","")</f>
        <v/>
      </c>
      <c r="T230">
        <f>IFERROR(INDEX(tblCollectors[Collector ID],227)&amp;"","")</f>
        <v/>
      </c>
      <c r="U230">
        <f>IFERROR(INDEX(tblCollectors[Collector Name],225)&amp;"","")</f>
        <v/>
      </c>
      <c r="V230">
        <f>IFERROR(INDEX(tblCustomers[Customer ID],227)&amp;"","")</f>
        <v/>
      </c>
    </row>
    <row r="231">
      <c r="O231">
        <f>IFERROR(INDEX(tblAreas[Area Code],228)&amp;"","")</f>
        <v/>
      </c>
      <c r="P231">
        <f>IFERROR(INDEX(tblAreas[Area Name],227)&amp;"","")</f>
        <v/>
      </c>
      <c r="Q231">
        <f>IFERROR(INDEX(tblLocations[Location Code],228)&amp;"","")</f>
        <v/>
      </c>
      <c r="R231">
        <f>IFERROR(INDEX(tblLocations[Location Code],227)&amp;"","")</f>
        <v/>
      </c>
      <c r="S231">
        <f>IFERROR(INDEX(tblPackages[Package Name],228)&amp;"","")</f>
        <v/>
      </c>
      <c r="T231">
        <f>IFERROR(INDEX(tblCollectors[Collector ID],228)&amp;"","")</f>
        <v/>
      </c>
      <c r="U231">
        <f>IFERROR(INDEX(tblCollectors[Collector Name],226)&amp;"","")</f>
        <v/>
      </c>
      <c r="V231">
        <f>IFERROR(INDEX(tblCustomers[Customer ID],228)&amp;"","")</f>
        <v/>
      </c>
    </row>
    <row r="232">
      <c r="O232">
        <f>IFERROR(INDEX(tblAreas[Area Code],229)&amp;"","")</f>
        <v/>
      </c>
      <c r="P232">
        <f>IFERROR(INDEX(tblAreas[Area Name],228)&amp;"","")</f>
        <v/>
      </c>
      <c r="Q232">
        <f>IFERROR(INDEX(tblLocations[Location Code],229)&amp;"","")</f>
        <v/>
      </c>
      <c r="R232">
        <f>IFERROR(INDEX(tblLocations[Location Code],228)&amp;"","")</f>
        <v/>
      </c>
      <c r="S232">
        <f>IFERROR(INDEX(tblPackages[Package Name],229)&amp;"","")</f>
        <v/>
      </c>
      <c r="T232">
        <f>IFERROR(INDEX(tblCollectors[Collector ID],229)&amp;"","")</f>
        <v/>
      </c>
      <c r="U232">
        <f>IFERROR(INDEX(tblCollectors[Collector Name],227)&amp;"","")</f>
        <v/>
      </c>
      <c r="V232">
        <f>IFERROR(INDEX(tblCustomers[Customer ID],229)&amp;"","")</f>
        <v/>
      </c>
    </row>
    <row r="233">
      <c r="O233">
        <f>IFERROR(INDEX(tblAreas[Area Code],230)&amp;"","")</f>
        <v/>
      </c>
      <c r="P233">
        <f>IFERROR(INDEX(tblAreas[Area Name],229)&amp;"","")</f>
        <v/>
      </c>
      <c r="Q233">
        <f>IFERROR(INDEX(tblLocations[Location Code],230)&amp;"","")</f>
        <v/>
      </c>
      <c r="R233">
        <f>IFERROR(INDEX(tblLocations[Location Code],229)&amp;"","")</f>
        <v/>
      </c>
      <c r="S233">
        <f>IFERROR(INDEX(tblPackages[Package Name],230)&amp;"","")</f>
        <v/>
      </c>
      <c r="T233">
        <f>IFERROR(INDEX(tblCollectors[Collector ID],230)&amp;"","")</f>
        <v/>
      </c>
      <c r="U233">
        <f>IFERROR(INDEX(tblCollectors[Collector Name],228)&amp;"","")</f>
        <v/>
      </c>
      <c r="V233">
        <f>IFERROR(INDEX(tblCustomers[Customer ID],230)&amp;"","")</f>
        <v/>
      </c>
    </row>
    <row r="234">
      <c r="O234">
        <f>IFERROR(INDEX(tblAreas[Area Code],231)&amp;"","")</f>
        <v/>
      </c>
      <c r="P234">
        <f>IFERROR(INDEX(tblAreas[Area Name],230)&amp;"","")</f>
        <v/>
      </c>
      <c r="Q234">
        <f>IFERROR(INDEX(tblLocations[Location Code],231)&amp;"","")</f>
        <v/>
      </c>
      <c r="R234">
        <f>IFERROR(INDEX(tblLocations[Location Code],230)&amp;"","")</f>
        <v/>
      </c>
      <c r="S234">
        <f>IFERROR(INDEX(tblPackages[Package Name],231)&amp;"","")</f>
        <v/>
      </c>
      <c r="T234">
        <f>IFERROR(INDEX(tblCollectors[Collector ID],231)&amp;"","")</f>
        <v/>
      </c>
      <c r="U234">
        <f>IFERROR(INDEX(tblCollectors[Collector Name],229)&amp;"","")</f>
        <v/>
      </c>
      <c r="V234">
        <f>IFERROR(INDEX(tblCustomers[Customer ID],231)&amp;"","")</f>
        <v/>
      </c>
    </row>
    <row r="235">
      <c r="O235">
        <f>IFERROR(INDEX(tblAreas[Area Code],232)&amp;"","")</f>
        <v/>
      </c>
      <c r="P235">
        <f>IFERROR(INDEX(tblAreas[Area Name],231)&amp;"","")</f>
        <v/>
      </c>
      <c r="Q235">
        <f>IFERROR(INDEX(tblLocations[Location Code],232)&amp;"","")</f>
        <v/>
      </c>
      <c r="R235">
        <f>IFERROR(INDEX(tblLocations[Location Code],231)&amp;"","")</f>
        <v/>
      </c>
      <c r="S235">
        <f>IFERROR(INDEX(tblPackages[Package Name],232)&amp;"","")</f>
        <v/>
      </c>
      <c r="T235">
        <f>IFERROR(INDEX(tblCollectors[Collector ID],232)&amp;"","")</f>
        <v/>
      </c>
      <c r="U235">
        <f>IFERROR(INDEX(tblCollectors[Collector Name],230)&amp;"","")</f>
        <v/>
      </c>
      <c r="V235">
        <f>IFERROR(INDEX(tblCustomers[Customer ID],232)&amp;"","")</f>
        <v/>
      </c>
    </row>
    <row r="236">
      <c r="O236">
        <f>IFERROR(INDEX(tblAreas[Area Code],233)&amp;"","")</f>
        <v/>
      </c>
      <c r="P236">
        <f>IFERROR(INDEX(tblAreas[Area Name],232)&amp;"","")</f>
        <v/>
      </c>
      <c r="Q236">
        <f>IFERROR(INDEX(tblLocations[Location Code],233)&amp;"","")</f>
        <v/>
      </c>
      <c r="R236">
        <f>IFERROR(INDEX(tblLocations[Location Code],232)&amp;"","")</f>
        <v/>
      </c>
      <c r="S236">
        <f>IFERROR(INDEX(tblPackages[Package Name],233)&amp;"","")</f>
        <v/>
      </c>
      <c r="T236">
        <f>IFERROR(INDEX(tblCollectors[Collector ID],233)&amp;"","")</f>
        <v/>
      </c>
      <c r="U236">
        <f>IFERROR(INDEX(tblCollectors[Collector Name],231)&amp;"","")</f>
        <v/>
      </c>
      <c r="V236">
        <f>IFERROR(INDEX(tblCustomers[Customer ID],233)&amp;"","")</f>
        <v/>
      </c>
    </row>
    <row r="237">
      <c r="O237">
        <f>IFERROR(INDEX(tblAreas[Area Code],234)&amp;"","")</f>
        <v/>
      </c>
      <c r="P237">
        <f>IFERROR(INDEX(tblAreas[Area Name],233)&amp;"","")</f>
        <v/>
      </c>
      <c r="Q237">
        <f>IFERROR(INDEX(tblLocations[Location Code],234)&amp;"","")</f>
        <v/>
      </c>
      <c r="R237">
        <f>IFERROR(INDEX(tblLocations[Location Code],233)&amp;"","")</f>
        <v/>
      </c>
      <c r="S237">
        <f>IFERROR(INDEX(tblPackages[Package Name],234)&amp;"","")</f>
        <v/>
      </c>
      <c r="T237">
        <f>IFERROR(INDEX(tblCollectors[Collector ID],234)&amp;"","")</f>
        <v/>
      </c>
      <c r="U237">
        <f>IFERROR(INDEX(tblCollectors[Collector Name],232)&amp;"","")</f>
        <v/>
      </c>
      <c r="V237">
        <f>IFERROR(INDEX(tblCustomers[Customer ID],234)&amp;"","")</f>
        <v/>
      </c>
    </row>
    <row r="238">
      <c r="O238">
        <f>IFERROR(INDEX(tblAreas[Area Code],235)&amp;"","")</f>
        <v/>
      </c>
      <c r="P238">
        <f>IFERROR(INDEX(tblAreas[Area Name],234)&amp;"","")</f>
        <v/>
      </c>
      <c r="Q238">
        <f>IFERROR(INDEX(tblLocations[Location Code],235)&amp;"","")</f>
        <v/>
      </c>
      <c r="R238">
        <f>IFERROR(INDEX(tblLocations[Location Code],234)&amp;"","")</f>
        <v/>
      </c>
      <c r="S238">
        <f>IFERROR(INDEX(tblPackages[Package Name],235)&amp;"","")</f>
        <v/>
      </c>
      <c r="T238">
        <f>IFERROR(INDEX(tblCollectors[Collector ID],235)&amp;"","")</f>
        <v/>
      </c>
      <c r="U238">
        <f>IFERROR(INDEX(tblCollectors[Collector Name],233)&amp;"","")</f>
        <v/>
      </c>
      <c r="V238">
        <f>IFERROR(INDEX(tblCustomers[Customer ID],235)&amp;"","")</f>
        <v/>
      </c>
    </row>
    <row r="239">
      <c r="O239">
        <f>IFERROR(INDEX(tblAreas[Area Code],236)&amp;"","")</f>
        <v/>
      </c>
      <c r="P239">
        <f>IFERROR(INDEX(tblAreas[Area Name],235)&amp;"","")</f>
        <v/>
      </c>
      <c r="Q239">
        <f>IFERROR(INDEX(tblLocations[Location Code],236)&amp;"","")</f>
        <v/>
      </c>
      <c r="R239">
        <f>IFERROR(INDEX(tblLocations[Location Code],235)&amp;"","")</f>
        <v/>
      </c>
      <c r="S239">
        <f>IFERROR(INDEX(tblPackages[Package Name],236)&amp;"","")</f>
        <v/>
      </c>
      <c r="T239">
        <f>IFERROR(INDEX(tblCollectors[Collector ID],236)&amp;"","")</f>
        <v/>
      </c>
      <c r="U239">
        <f>IFERROR(INDEX(tblCollectors[Collector Name],234)&amp;"","")</f>
        <v/>
      </c>
      <c r="V239">
        <f>IFERROR(INDEX(tblCustomers[Customer ID],236)&amp;"","")</f>
        <v/>
      </c>
    </row>
    <row r="240">
      <c r="O240">
        <f>IFERROR(INDEX(tblAreas[Area Code],237)&amp;"","")</f>
        <v/>
      </c>
      <c r="P240">
        <f>IFERROR(INDEX(tblAreas[Area Name],236)&amp;"","")</f>
        <v/>
      </c>
      <c r="Q240">
        <f>IFERROR(INDEX(tblLocations[Location Code],237)&amp;"","")</f>
        <v/>
      </c>
      <c r="R240">
        <f>IFERROR(INDEX(tblLocations[Location Code],236)&amp;"","")</f>
        <v/>
      </c>
      <c r="S240">
        <f>IFERROR(INDEX(tblPackages[Package Name],237)&amp;"","")</f>
        <v/>
      </c>
      <c r="T240">
        <f>IFERROR(INDEX(tblCollectors[Collector ID],237)&amp;"","")</f>
        <v/>
      </c>
      <c r="U240">
        <f>IFERROR(INDEX(tblCollectors[Collector Name],235)&amp;"","")</f>
        <v/>
      </c>
      <c r="V240">
        <f>IFERROR(INDEX(tblCustomers[Customer ID],237)&amp;"","")</f>
        <v/>
      </c>
    </row>
    <row r="241">
      <c r="O241">
        <f>IFERROR(INDEX(tblAreas[Area Code],238)&amp;"","")</f>
        <v/>
      </c>
      <c r="P241">
        <f>IFERROR(INDEX(tblAreas[Area Name],237)&amp;"","")</f>
        <v/>
      </c>
      <c r="Q241">
        <f>IFERROR(INDEX(tblLocations[Location Code],238)&amp;"","")</f>
        <v/>
      </c>
      <c r="R241">
        <f>IFERROR(INDEX(tblLocations[Location Code],237)&amp;"","")</f>
        <v/>
      </c>
      <c r="S241">
        <f>IFERROR(INDEX(tblPackages[Package Name],238)&amp;"","")</f>
        <v/>
      </c>
      <c r="T241">
        <f>IFERROR(INDEX(tblCollectors[Collector ID],238)&amp;"","")</f>
        <v/>
      </c>
      <c r="U241">
        <f>IFERROR(INDEX(tblCollectors[Collector Name],236)&amp;"","")</f>
        <v/>
      </c>
      <c r="V241">
        <f>IFERROR(INDEX(tblCustomers[Customer ID],238)&amp;"","")</f>
        <v/>
      </c>
    </row>
    <row r="242">
      <c r="O242">
        <f>IFERROR(INDEX(tblAreas[Area Code],239)&amp;"","")</f>
        <v/>
      </c>
      <c r="P242">
        <f>IFERROR(INDEX(tblAreas[Area Name],238)&amp;"","")</f>
        <v/>
      </c>
      <c r="Q242">
        <f>IFERROR(INDEX(tblLocations[Location Code],239)&amp;"","")</f>
        <v/>
      </c>
      <c r="R242">
        <f>IFERROR(INDEX(tblLocations[Location Code],238)&amp;"","")</f>
        <v/>
      </c>
      <c r="S242">
        <f>IFERROR(INDEX(tblPackages[Package Name],239)&amp;"","")</f>
        <v/>
      </c>
      <c r="T242">
        <f>IFERROR(INDEX(tblCollectors[Collector ID],239)&amp;"","")</f>
        <v/>
      </c>
      <c r="U242">
        <f>IFERROR(INDEX(tblCollectors[Collector Name],237)&amp;"","")</f>
        <v/>
      </c>
      <c r="V242">
        <f>IFERROR(INDEX(tblCustomers[Customer ID],239)&amp;"","")</f>
        <v/>
      </c>
    </row>
    <row r="243">
      <c r="O243">
        <f>IFERROR(INDEX(tblAreas[Area Code],240)&amp;"","")</f>
        <v/>
      </c>
      <c r="P243">
        <f>IFERROR(INDEX(tblAreas[Area Name],239)&amp;"","")</f>
        <v/>
      </c>
      <c r="Q243">
        <f>IFERROR(INDEX(tblLocations[Location Code],240)&amp;"","")</f>
        <v/>
      </c>
      <c r="R243">
        <f>IFERROR(INDEX(tblLocations[Location Code],239)&amp;"","")</f>
        <v/>
      </c>
      <c r="S243">
        <f>IFERROR(INDEX(tblPackages[Package Name],240)&amp;"","")</f>
        <v/>
      </c>
      <c r="T243">
        <f>IFERROR(INDEX(tblCollectors[Collector ID],240)&amp;"","")</f>
        <v/>
      </c>
      <c r="U243">
        <f>IFERROR(INDEX(tblCollectors[Collector Name],238)&amp;"","")</f>
        <v/>
      </c>
      <c r="V243">
        <f>IFERROR(INDEX(tblCustomers[Customer ID],240)&amp;"","")</f>
        <v/>
      </c>
    </row>
    <row r="244">
      <c r="O244">
        <f>IFERROR(INDEX(tblAreas[Area Code],241)&amp;"","")</f>
        <v/>
      </c>
      <c r="P244">
        <f>IFERROR(INDEX(tblAreas[Area Name],240)&amp;"","")</f>
        <v/>
      </c>
      <c r="Q244">
        <f>IFERROR(INDEX(tblLocations[Location Code],241)&amp;"","")</f>
        <v/>
      </c>
      <c r="R244">
        <f>IFERROR(INDEX(tblLocations[Location Code],240)&amp;"","")</f>
        <v/>
      </c>
      <c r="S244">
        <f>IFERROR(INDEX(tblPackages[Package Name],241)&amp;"","")</f>
        <v/>
      </c>
      <c r="T244">
        <f>IFERROR(INDEX(tblCollectors[Collector ID],241)&amp;"","")</f>
        <v/>
      </c>
      <c r="U244">
        <f>IFERROR(INDEX(tblCollectors[Collector Name],239)&amp;"","")</f>
        <v/>
      </c>
      <c r="V244">
        <f>IFERROR(INDEX(tblCustomers[Customer ID],241)&amp;"","")</f>
        <v/>
      </c>
    </row>
    <row r="245">
      <c r="O245">
        <f>IFERROR(INDEX(tblAreas[Area Code],242)&amp;"","")</f>
        <v/>
      </c>
      <c r="P245">
        <f>IFERROR(INDEX(tblAreas[Area Name],241)&amp;"","")</f>
        <v/>
      </c>
      <c r="Q245">
        <f>IFERROR(INDEX(tblLocations[Location Code],242)&amp;"","")</f>
        <v/>
      </c>
      <c r="R245">
        <f>IFERROR(INDEX(tblLocations[Location Code],241)&amp;"","")</f>
        <v/>
      </c>
      <c r="S245">
        <f>IFERROR(INDEX(tblPackages[Package Name],242)&amp;"","")</f>
        <v/>
      </c>
      <c r="T245">
        <f>IFERROR(INDEX(tblCollectors[Collector ID],242)&amp;"","")</f>
        <v/>
      </c>
      <c r="U245">
        <f>IFERROR(INDEX(tblCollectors[Collector Name],240)&amp;"","")</f>
        <v/>
      </c>
      <c r="V245">
        <f>IFERROR(INDEX(tblCustomers[Customer ID],242)&amp;"","")</f>
        <v/>
      </c>
    </row>
    <row r="246">
      <c r="O246">
        <f>IFERROR(INDEX(tblAreas[Area Code],243)&amp;"","")</f>
        <v/>
      </c>
      <c r="P246">
        <f>IFERROR(INDEX(tblAreas[Area Name],242)&amp;"","")</f>
        <v/>
      </c>
      <c r="Q246">
        <f>IFERROR(INDEX(tblLocations[Location Code],243)&amp;"","")</f>
        <v/>
      </c>
      <c r="R246">
        <f>IFERROR(INDEX(tblLocations[Location Code],242)&amp;"","")</f>
        <v/>
      </c>
      <c r="S246">
        <f>IFERROR(INDEX(tblPackages[Package Name],243)&amp;"","")</f>
        <v/>
      </c>
      <c r="T246">
        <f>IFERROR(INDEX(tblCollectors[Collector ID],243)&amp;"","")</f>
        <v/>
      </c>
      <c r="U246">
        <f>IFERROR(INDEX(tblCollectors[Collector Name],241)&amp;"","")</f>
        <v/>
      </c>
      <c r="V246">
        <f>IFERROR(INDEX(tblCustomers[Customer ID],243)&amp;"","")</f>
        <v/>
      </c>
    </row>
    <row r="247">
      <c r="O247">
        <f>IFERROR(INDEX(tblAreas[Area Code],244)&amp;"","")</f>
        <v/>
      </c>
      <c r="P247">
        <f>IFERROR(INDEX(tblAreas[Area Name],243)&amp;"","")</f>
        <v/>
      </c>
      <c r="Q247">
        <f>IFERROR(INDEX(tblLocations[Location Code],244)&amp;"","")</f>
        <v/>
      </c>
      <c r="R247">
        <f>IFERROR(INDEX(tblLocations[Location Code],243)&amp;"","")</f>
        <v/>
      </c>
      <c r="S247">
        <f>IFERROR(INDEX(tblPackages[Package Name],244)&amp;"","")</f>
        <v/>
      </c>
      <c r="T247">
        <f>IFERROR(INDEX(tblCollectors[Collector ID],244)&amp;"","")</f>
        <v/>
      </c>
      <c r="U247">
        <f>IFERROR(INDEX(tblCollectors[Collector Name],242)&amp;"","")</f>
        <v/>
      </c>
      <c r="V247">
        <f>IFERROR(INDEX(tblCustomers[Customer ID],244)&amp;"","")</f>
        <v/>
      </c>
    </row>
    <row r="248">
      <c r="O248">
        <f>IFERROR(INDEX(tblAreas[Area Code],245)&amp;"","")</f>
        <v/>
      </c>
      <c r="P248">
        <f>IFERROR(INDEX(tblAreas[Area Name],244)&amp;"","")</f>
        <v/>
      </c>
      <c r="Q248">
        <f>IFERROR(INDEX(tblLocations[Location Code],245)&amp;"","")</f>
        <v/>
      </c>
      <c r="R248">
        <f>IFERROR(INDEX(tblLocations[Location Code],244)&amp;"","")</f>
        <v/>
      </c>
      <c r="S248">
        <f>IFERROR(INDEX(tblPackages[Package Name],245)&amp;"","")</f>
        <v/>
      </c>
      <c r="T248">
        <f>IFERROR(INDEX(tblCollectors[Collector ID],245)&amp;"","")</f>
        <v/>
      </c>
      <c r="U248">
        <f>IFERROR(INDEX(tblCollectors[Collector Name],243)&amp;"","")</f>
        <v/>
      </c>
      <c r="V248">
        <f>IFERROR(INDEX(tblCustomers[Customer ID],245)&amp;"","")</f>
        <v/>
      </c>
    </row>
    <row r="249">
      <c r="O249">
        <f>IFERROR(INDEX(tblAreas[Area Code],246)&amp;"","")</f>
        <v/>
      </c>
      <c r="P249">
        <f>IFERROR(INDEX(tblAreas[Area Name],245)&amp;"","")</f>
        <v/>
      </c>
      <c r="Q249">
        <f>IFERROR(INDEX(tblLocations[Location Code],246)&amp;"","")</f>
        <v/>
      </c>
      <c r="R249">
        <f>IFERROR(INDEX(tblLocations[Location Code],245)&amp;"","")</f>
        <v/>
      </c>
      <c r="S249">
        <f>IFERROR(INDEX(tblPackages[Package Name],246)&amp;"","")</f>
        <v/>
      </c>
      <c r="T249">
        <f>IFERROR(INDEX(tblCollectors[Collector ID],246)&amp;"","")</f>
        <v/>
      </c>
      <c r="U249">
        <f>IFERROR(INDEX(tblCollectors[Collector Name],244)&amp;"","")</f>
        <v/>
      </c>
      <c r="V249">
        <f>IFERROR(INDEX(tblCustomers[Customer ID],246)&amp;"","")</f>
        <v/>
      </c>
    </row>
    <row r="250">
      <c r="O250">
        <f>IFERROR(INDEX(tblAreas[Area Code],247)&amp;"","")</f>
        <v/>
      </c>
      <c r="P250">
        <f>IFERROR(INDEX(tblAreas[Area Name],246)&amp;"","")</f>
        <v/>
      </c>
      <c r="Q250">
        <f>IFERROR(INDEX(tblLocations[Location Code],247)&amp;"","")</f>
        <v/>
      </c>
      <c r="R250">
        <f>IFERROR(INDEX(tblLocations[Location Code],246)&amp;"","")</f>
        <v/>
      </c>
      <c r="S250">
        <f>IFERROR(INDEX(tblPackages[Package Name],247)&amp;"","")</f>
        <v/>
      </c>
      <c r="T250">
        <f>IFERROR(INDEX(tblCollectors[Collector ID],247)&amp;"","")</f>
        <v/>
      </c>
      <c r="U250">
        <f>IFERROR(INDEX(tblCollectors[Collector Name],245)&amp;"","")</f>
        <v/>
      </c>
      <c r="V250">
        <f>IFERROR(INDEX(tblCustomers[Customer ID],247)&amp;"","")</f>
        <v/>
      </c>
    </row>
    <row r="251">
      <c r="O251">
        <f>IFERROR(INDEX(tblAreas[Area Code],248)&amp;"","")</f>
        <v/>
      </c>
      <c r="P251">
        <f>IFERROR(INDEX(tblAreas[Area Name],247)&amp;"","")</f>
        <v/>
      </c>
      <c r="Q251">
        <f>IFERROR(INDEX(tblLocations[Location Code],248)&amp;"","")</f>
        <v/>
      </c>
      <c r="R251">
        <f>IFERROR(INDEX(tblLocations[Location Code],247)&amp;"","")</f>
        <v/>
      </c>
      <c r="S251">
        <f>IFERROR(INDEX(tblPackages[Package Name],248)&amp;"","")</f>
        <v/>
      </c>
      <c r="T251">
        <f>IFERROR(INDEX(tblCollectors[Collector ID],248)&amp;"","")</f>
        <v/>
      </c>
      <c r="U251">
        <f>IFERROR(INDEX(tblCollectors[Collector Name],246)&amp;"","")</f>
        <v/>
      </c>
      <c r="V251">
        <f>IFERROR(INDEX(tblCustomers[Customer ID],248)&amp;"","")</f>
        <v/>
      </c>
    </row>
    <row r="252">
      <c r="O252">
        <f>IFERROR(INDEX(tblAreas[Area Code],249)&amp;"","")</f>
        <v/>
      </c>
      <c r="P252">
        <f>IFERROR(INDEX(tblAreas[Area Name],248)&amp;"","")</f>
        <v/>
      </c>
      <c r="Q252">
        <f>IFERROR(INDEX(tblLocations[Location Code],249)&amp;"","")</f>
        <v/>
      </c>
      <c r="R252">
        <f>IFERROR(INDEX(tblLocations[Location Code],248)&amp;"","")</f>
        <v/>
      </c>
      <c r="S252">
        <f>IFERROR(INDEX(tblPackages[Package Name],249)&amp;"","")</f>
        <v/>
      </c>
      <c r="T252">
        <f>IFERROR(INDEX(tblCollectors[Collector ID],249)&amp;"","")</f>
        <v/>
      </c>
      <c r="U252">
        <f>IFERROR(INDEX(tblCollectors[Collector Name],247)&amp;"","")</f>
        <v/>
      </c>
      <c r="V252">
        <f>IFERROR(INDEX(tblCustomers[Customer ID],249)&amp;"","")</f>
        <v/>
      </c>
    </row>
    <row r="253">
      <c r="O253">
        <f>IFERROR(INDEX(tblAreas[Area Code],250)&amp;"","")</f>
        <v/>
      </c>
      <c r="P253">
        <f>IFERROR(INDEX(tblAreas[Area Name],249)&amp;"","")</f>
        <v/>
      </c>
      <c r="Q253">
        <f>IFERROR(INDEX(tblLocations[Location Code],250)&amp;"","")</f>
        <v/>
      </c>
      <c r="R253">
        <f>IFERROR(INDEX(tblLocations[Location Code],249)&amp;"","")</f>
        <v/>
      </c>
      <c r="S253">
        <f>IFERROR(INDEX(tblPackages[Package Name],250)&amp;"","")</f>
        <v/>
      </c>
      <c r="T253">
        <f>IFERROR(INDEX(tblCollectors[Collector ID],250)&amp;"","")</f>
        <v/>
      </c>
      <c r="U253">
        <f>IFERROR(INDEX(tblCollectors[Collector Name],248)&amp;"","")</f>
        <v/>
      </c>
      <c r="V253">
        <f>IFERROR(INDEX(tblCustomers[Customer ID],250)&amp;"","")</f>
        <v/>
      </c>
    </row>
    <row r="254">
      <c r="O254">
        <f>IFERROR(INDEX(tblAreas[Area Code],251)&amp;"","")</f>
        <v/>
      </c>
      <c r="P254">
        <f>IFERROR(INDEX(tblAreas[Area Name],250)&amp;"","")</f>
        <v/>
      </c>
      <c r="Q254">
        <f>IFERROR(INDEX(tblLocations[Location Code],251)&amp;"","")</f>
        <v/>
      </c>
      <c r="R254">
        <f>IFERROR(INDEX(tblLocations[Location Code],250)&amp;"","")</f>
        <v/>
      </c>
      <c r="S254">
        <f>IFERROR(INDEX(tblPackages[Package Name],251)&amp;"","")</f>
        <v/>
      </c>
      <c r="T254">
        <f>IFERROR(INDEX(tblCollectors[Collector ID],251)&amp;"","")</f>
        <v/>
      </c>
      <c r="U254">
        <f>IFERROR(INDEX(tblCollectors[Collector Name],249)&amp;"","")</f>
        <v/>
      </c>
      <c r="V254">
        <f>IFERROR(INDEX(tblCustomers[Customer ID],251)&amp;"","")</f>
        <v/>
      </c>
    </row>
    <row r="255">
      <c r="O255">
        <f>IFERROR(INDEX(tblAreas[Area Code],252)&amp;"","")</f>
        <v/>
      </c>
      <c r="P255">
        <f>IFERROR(INDEX(tblAreas[Area Name],251)&amp;"","")</f>
        <v/>
      </c>
      <c r="Q255">
        <f>IFERROR(INDEX(tblLocations[Location Code],252)&amp;"","")</f>
        <v/>
      </c>
      <c r="R255">
        <f>IFERROR(INDEX(tblLocations[Location Code],251)&amp;"","")</f>
        <v/>
      </c>
      <c r="S255">
        <f>IFERROR(INDEX(tblPackages[Package Name],252)&amp;"","")</f>
        <v/>
      </c>
      <c r="T255">
        <f>IFERROR(INDEX(tblCollectors[Collector ID],252)&amp;"","")</f>
        <v/>
      </c>
      <c r="U255">
        <f>IFERROR(INDEX(tblCollectors[Collector Name],250)&amp;"","")</f>
        <v/>
      </c>
      <c r="V255">
        <f>IFERROR(INDEX(tblCustomers[Customer ID],252)&amp;"","")</f>
        <v/>
      </c>
    </row>
    <row r="256">
      <c r="O256">
        <f>IFERROR(INDEX(tblAreas[Area Code],253)&amp;"","")</f>
        <v/>
      </c>
      <c r="P256">
        <f>IFERROR(INDEX(tblAreas[Area Name],252)&amp;"","")</f>
        <v/>
      </c>
      <c r="Q256">
        <f>IFERROR(INDEX(tblLocations[Location Code],253)&amp;"","")</f>
        <v/>
      </c>
      <c r="R256">
        <f>IFERROR(INDEX(tblLocations[Location Code],252)&amp;"","")</f>
        <v/>
      </c>
      <c r="S256">
        <f>IFERROR(INDEX(tblPackages[Package Name],253)&amp;"","")</f>
        <v/>
      </c>
      <c r="T256">
        <f>IFERROR(INDEX(tblCollectors[Collector ID],253)&amp;"","")</f>
        <v/>
      </c>
      <c r="U256">
        <f>IFERROR(INDEX(tblCollectors[Collector Name],251)&amp;"","")</f>
        <v/>
      </c>
      <c r="V256">
        <f>IFERROR(INDEX(tblCustomers[Customer ID],253)&amp;"","")</f>
        <v/>
      </c>
    </row>
    <row r="257">
      <c r="O257">
        <f>IFERROR(INDEX(tblAreas[Area Code],254)&amp;"","")</f>
        <v/>
      </c>
      <c r="P257">
        <f>IFERROR(INDEX(tblAreas[Area Name],253)&amp;"","")</f>
        <v/>
      </c>
      <c r="Q257">
        <f>IFERROR(INDEX(tblLocations[Location Code],254)&amp;"","")</f>
        <v/>
      </c>
      <c r="R257">
        <f>IFERROR(INDEX(tblLocations[Location Code],253)&amp;"","")</f>
        <v/>
      </c>
      <c r="S257">
        <f>IFERROR(INDEX(tblPackages[Package Name],254)&amp;"","")</f>
        <v/>
      </c>
      <c r="T257">
        <f>IFERROR(INDEX(tblCollectors[Collector ID],254)&amp;"","")</f>
        <v/>
      </c>
      <c r="U257">
        <f>IFERROR(INDEX(tblCollectors[Collector Name],252)&amp;"","")</f>
        <v/>
      </c>
      <c r="V257">
        <f>IFERROR(INDEX(tblCustomers[Customer ID],254)&amp;"","")</f>
        <v/>
      </c>
    </row>
    <row r="258">
      <c r="O258">
        <f>IFERROR(INDEX(tblAreas[Area Code],255)&amp;"","")</f>
        <v/>
      </c>
      <c r="P258">
        <f>IFERROR(INDEX(tblAreas[Area Name],254)&amp;"","")</f>
        <v/>
      </c>
      <c r="Q258">
        <f>IFERROR(INDEX(tblLocations[Location Code],255)&amp;"","")</f>
        <v/>
      </c>
      <c r="R258">
        <f>IFERROR(INDEX(tblLocations[Location Code],254)&amp;"","")</f>
        <v/>
      </c>
      <c r="S258">
        <f>IFERROR(INDEX(tblPackages[Package Name],255)&amp;"","")</f>
        <v/>
      </c>
      <c r="T258">
        <f>IFERROR(INDEX(tblCollectors[Collector ID],255)&amp;"","")</f>
        <v/>
      </c>
      <c r="U258">
        <f>IFERROR(INDEX(tblCollectors[Collector Name],253)&amp;"","")</f>
        <v/>
      </c>
      <c r="V258">
        <f>IFERROR(INDEX(tblCustomers[Customer ID],255)&amp;"","")</f>
        <v/>
      </c>
    </row>
    <row r="259">
      <c r="O259">
        <f>IFERROR(INDEX(tblAreas[Area Code],256)&amp;"","")</f>
        <v/>
      </c>
      <c r="P259">
        <f>IFERROR(INDEX(tblAreas[Area Name],255)&amp;"","")</f>
        <v/>
      </c>
      <c r="Q259">
        <f>IFERROR(INDEX(tblLocations[Location Code],256)&amp;"","")</f>
        <v/>
      </c>
      <c r="R259">
        <f>IFERROR(INDEX(tblLocations[Location Code],255)&amp;"","")</f>
        <v/>
      </c>
      <c r="S259">
        <f>IFERROR(INDEX(tblPackages[Package Name],256)&amp;"","")</f>
        <v/>
      </c>
      <c r="T259">
        <f>IFERROR(INDEX(tblCollectors[Collector ID],256)&amp;"","")</f>
        <v/>
      </c>
      <c r="U259">
        <f>IFERROR(INDEX(tblCollectors[Collector Name],254)&amp;"","")</f>
        <v/>
      </c>
      <c r="V259">
        <f>IFERROR(INDEX(tblCustomers[Customer ID],256)&amp;"","")</f>
        <v/>
      </c>
    </row>
    <row r="260">
      <c r="O260">
        <f>IFERROR(INDEX(tblAreas[Area Code],257)&amp;"","")</f>
        <v/>
      </c>
      <c r="P260">
        <f>IFERROR(INDEX(tblAreas[Area Name],256)&amp;"","")</f>
        <v/>
      </c>
      <c r="Q260">
        <f>IFERROR(INDEX(tblLocations[Location Code],257)&amp;"","")</f>
        <v/>
      </c>
      <c r="R260">
        <f>IFERROR(INDEX(tblLocations[Location Code],256)&amp;"","")</f>
        <v/>
      </c>
      <c r="S260">
        <f>IFERROR(INDEX(tblPackages[Package Name],257)&amp;"","")</f>
        <v/>
      </c>
      <c r="T260">
        <f>IFERROR(INDEX(tblCollectors[Collector ID],257)&amp;"","")</f>
        <v/>
      </c>
      <c r="U260">
        <f>IFERROR(INDEX(tblCollectors[Collector Name],255)&amp;"","")</f>
        <v/>
      </c>
      <c r="V260">
        <f>IFERROR(INDEX(tblCustomers[Customer ID],257)&amp;"","")</f>
        <v/>
      </c>
    </row>
    <row r="261">
      <c r="O261">
        <f>IFERROR(INDEX(tblAreas[Area Code],258)&amp;"","")</f>
        <v/>
      </c>
      <c r="P261">
        <f>IFERROR(INDEX(tblAreas[Area Name],257)&amp;"","")</f>
        <v/>
      </c>
      <c r="Q261">
        <f>IFERROR(INDEX(tblLocations[Location Code],258)&amp;"","")</f>
        <v/>
      </c>
      <c r="R261">
        <f>IFERROR(INDEX(tblLocations[Location Code],257)&amp;"","")</f>
        <v/>
      </c>
      <c r="S261">
        <f>IFERROR(INDEX(tblPackages[Package Name],258)&amp;"","")</f>
        <v/>
      </c>
      <c r="T261">
        <f>IFERROR(INDEX(tblCollectors[Collector ID],258)&amp;"","")</f>
        <v/>
      </c>
      <c r="U261">
        <f>IFERROR(INDEX(tblCollectors[Collector Name],256)&amp;"","")</f>
        <v/>
      </c>
      <c r="V261">
        <f>IFERROR(INDEX(tblCustomers[Customer ID],258)&amp;"","")</f>
        <v/>
      </c>
    </row>
    <row r="262">
      <c r="O262">
        <f>IFERROR(INDEX(tblAreas[Area Code],259)&amp;"","")</f>
        <v/>
      </c>
      <c r="P262">
        <f>IFERROR(INDEX(tblAreas[Area Name],258)&amp;"","")</f>
        <v/>
      </c>
      <c r="Q262">
        <f>IFERROR(INDEX(tblLocations[Location Code],259)&amp;"","")</f>
        <v/>
      </c>
      <c r="R262">
        <f>IFERROR(INDEX(tblLocations[Location Code],258)&amp;"","")</f>
        <v/>
      </c>
      <c r="S262">
        <f>IFERROR(INDEX(tblPackages[Package Name],259)&amp;"","")</f>
        <v/>
      </c>
      <c r="T262">
        <f>IFERROR(INDEX(tblCollectors[Collector ID],259)&amp;"","")</f>
        <v/>
      </c>
      <c r="U262">
        <f>IFERROR(INDEX(tblCollectors[Collector Name],257)&amp;"","")</f>
        <v/>
      </c>
      <c r="V262">
        <f>IFERROR(INDEX(tblCustomers[Customer ID],259)&amp;"","")</f>
        <v/>
      </c>
    </row>
    <row r="263">
      <c r="O263">
        <f>IFERROR(INDEX(tblAreas[Area Code],260)&amp;"","")</f>
        <v/>
      </c>
      <c r="P263">
        <f>IFERROR(INDEX(tblAreas[Area Name],259)&amp;"","")</f>
        <v/>
      </c>
      <c r="Q263">
        <f>IFERROR(INDEX(tblLocations[Location Code],260)&amp;"","")</f>
        <v/>
      </c>
      <c r="R263">
        <f>IFERROR(INDEX(tblLocations[Location Code],259)&amp;"","")</f>
        <v/>
      </c>
      <c r="S263">
        <f>IFERROR(INDEX(tblPackages[Package Name],260)&amp;"","")</f>
        <v/>
      </c>
      <c r="T263">
        <f>IFERROR(INDEX(tblCollectors[Collector ID],260)&amp;"","")</f>
        <v/>
      </c>
      <c r="U263">
        <f>IFERROR(INDEX(tblCollectors[Collector Name],258)&amp;"","")</f>
        <v/>
      </c>
      <c r="V263">
        <f>IFERROR(INDEX(tblCustomers[Customer ID],260)&amp;"","")</f>
        <v/>
      </c>
    </row>
    <row r="264">
      <c r="O264">
        <f>IFERROR(INDEX(tblAreas[Area Code],261)&amp;"","")</f>
        <v/>
      </c>
      <c r="P264">
        <f>IFERROR(INDEX(tblAreas[Area Name],260)&amp;"","")</f>
        <v/>
      </c>
      <c r="Q264">
        <f>IFERROR(INDEX(tblLocations[Location Code],261)&amp;"","")</f>
        <v/>
      </c>
      <c r="R264">
        <f>IFERROR(INDEX(tblLocations[Location Code],260)&amp;"","")</f>
        <v/>
      </c>
      <c r="S264">
        <f>IFERROR(INDEX(tblPackages[Package Name],261)&amp;"","")</f>
        <v/>
      </c>
      <c r="T264">
        <f>IFERROR(INDEX(tblCollectors[Collector ID],261)&amp;"","")</f>
        <v/>
      </c>
      <c r="U264">
        <f>IFERROR(INDEX(tblCollectors[Collector Name],259)&amp;"","")</f>
        <v/>
      </c>
      <c r="V264">
        <f>IFERROR(INDEX(tblCustomers[Customer ID],261)&amp;"","")</f>
        <v/>
      </c>
    </row>
    <row r="265">
      <c r="O265">
        <f>IFERROR(INDEX(tblAreas[Area Code],262)&amp;"","")</f>
        <v/>
      </c>
      <c r="P265">
        <f>IFERROR(INDEX(tblAreas[Area Name],261)&amp;"","")</f>
        <v/>
      </c>
      <c r="Q265">
        <f>IFERROR(INDEX(tblLocations[Location Code],262)&amp;"","")</f>
        <v/>
      </c>
      <c r="R265">
        <f>IFERROR(INDEX(tblLocations[Location Code],261)&amp;"","")</f>
        <v/>
      </c>
      <c r="S265">
        <f>IFERROR(INDEX(tblPackages[Package Name],262)&amp;"","")</f>
        <v/>
      </c>
      <c r="T265">
        <f>IFERROR(INDEX(tblCollectors[Collector ID],262)&amp;"","")</f>
        <v/>
      </c>
      <c r="U265">
        <f>IFERROR(INDEX(tblCollectors[Collector Name],260)&amp;"","")</f>
        <v/>
      </c>
      <c r="V265">
        <f>IFERROR(INDEX(tblCustomers[Customer ID],262)&amp;"","")</f>
        <v/>
      </c>
    </row>
    <row r="266">
      <c r="O266">
        <f>IFERROR(INDEX(tblAreas[Area Code],263)&amp;"","")</f>
        <v/>
      </c>
      <c r="P266">
        <f>IFERROR(INDEX(tblAreas[Area Name],262)&amp;"","")</f>
        <v/>
      </c>
      <c r="Q266">
        <f>IFERROR(INDEX(tblLocations[Location Code],263)&amp;"","")</f>
        <v/>
      </c>
      <c r="R266">
        <f>IFERROR(INDEX(tblLocations[Location Code],262)&amp;"","")</f>
        <v/>
      </c>
      <c r="S266">
        <f>IFERROR(INDEX(tblPackages[Package Name],263)&amp;"","")</f>
        <v/>
      </c>
      <c r="T266">
        <f>IFERROR(INDEX(tblCollectors[Collector ID],263)&amp;"","")</f>
        <v/>
      </c>
      <c r="U266">
        <f>IFERROR(INDEX(tblCollectors[Collector Name],261)&amp;"","")</f>
        <v/>
      </c>
      <c r="V266">
        <f>IFERROR(INDEX(tblCustomers[Customer ID],263)&amp;"","")</f>
        <v/>
      </c>
    </row>
    <row r="267">
      <c r="O267">
        <f>IFERROR(INDEX(tblAreas[Area Code],264)&amp;"","")</f>
        <v/>
      </c>
      <c r="P267">
        <f>IFERROR(INDEX(tblAreas[Area Name],263)&amp;"","")</f>
        <v/>
      </c>
      <c r="Q267">
        <f>IFERROR(INDEX(tblLocations[Location Code],264)&amp;"","")</f>
        <v/>
      </c>
      <c r="R267">
        <f>IFERROR(INDEX(tblLocations[Location Code],263)&amp;"","")</f>
        <v/>
      </c>
      <c r="S267">
        <f>IFERROR(INDEX(tblPackages[Package Name],264)&amp;"","")</f>
        <v/>
      </c>
      <c r="T267">
        <f>IFERROR(INDEX(tblCollectors[Collector ID],264)&amp;"","")</f>
        <v/>
      </c>
      <c r="U267">
        <f>IFERROR(INDEX(tblCollectors[Collector Name],262)&amp;"","")</f>
        <v/>
      </c>
      <c r="V267">
        <f>IFERROR(INDEX(tblCustomers[Customer ID],264)&amp;"","")</f>
        <v/>
      </c>
    </row>
    <row r="268">
      <c r="O268">
        <f>IFERROR(INDEX(tblAreas[Area Code],265)&amp;"","")</f>
        <v/>
      </c>
      <c r="P268">
        <f>IFERROR(INDEX(tblAreas[Area Name],264)&amp;"","")</f>
        <v/>
      </c>
      <c r="Q268">
        <f>IFERROR(INDEX(tblLocations[Location Code],265)&amp;"","")</f>
        <v/>
      </c>
      <c r="R268">
        <f>IFERROR(INDEX(tblLocations[Location Code],264)&amp;"","")</f>
        <v/>
      </c>
      <c r="S268">
        <f>IFERROR(INDEX(tblPackages[Package Name],265)&amp;"","")</f>
        <v/>
      </c>
      <c r="T268">
        <f>IFERROR(INDEX(tblCollectors[Collector ID],265)&amp;"","")</f>
        <v/>
      </c>
      <c r="U268">
        <f>IFERROR(INDEX(tblCollectors[Collector Name],263)&amp;"","")</f>
        <v/>
      </c>
      <c r="V268">
        <f>IFERROR(INDEX(tblCustomers[Customer ID],265)&amp;"","")</f>
        <v/>
      </c>
    </row>
    <row r="269">
      <c r="O269">
        <f>IFERROR(INDEX(tblAreas[Area Code],266)&amp;"","")</f>
        <v/>
      </c>
      <c r="P269">
        <f>IFERROR(INDEX(tblAreas[Area Name],265)&amp;"","")</f>
        <v/>
      </c>
      <c r="Q269">
        <f>IFERROR(INDEX(tblLocations[Location Code],266)&amp;"","")</f>
        <v/>
      </c>
      <c r="R269">
        <f>IFERROR(INDEX(tblLocations[Location Code],265)&amp;"","")</f>
        <v/>
      </c>
      <c r="S269">
        <f>IFERROR(INDEX(tblPackages[Package Name],266)&amp;"","")</f>
        <v/>
      </c>
      <c r="T269">
        <f>IFERROR(INDEX(tblCollectors[Collector ID],266)&amp;"","")</f>
        <v/>
      </c>
      <c r="U269">
        <f>IFERROR(INDEX(tblCollectors[Collector Name],264)&amp;"","")</f>
        <v/>
      </c>
      <c r="V269">
        <f>IFERROR(INDEX(tblCustomers[Customer ID],266)&amp;"","")</f>
        <v/>
      </c>
    </row>
    <row r="270">
      <c r="O270">
        <f>IFERROR(INDEX(tblAreas[Area Code],267)&amp;"","")</f>
        <v/>
      </c>
      <c r="P270">
        <f>IFERROR(INDEX(tblAreas[Area Name],266)&amp;"","")</f>
        <v/>
      </c>
      <c r="Q270">
        <f>IFERROR(INDEX(tblLocations[Location Code],267)&amp;"","")</f>
        <v/>
      </c>
      <c r="R270">
        <f>IFERROR(INDEX(tblLocations[Location Code],266)&amp;"","")</f>
        <v/>
      </c>
      <c r="S270">
        <f>IFERROR(INDEX(tblPackages[Package Name],267)&amp;"","")</f>
        <v/>
      </c>
      <c r="T270">
        <f>IFERROR(INDEX(tblCollectors[Collector ID],267)&amp;"","")</f>
        <v/>
      </c>
      <c r="U270">
        <f>IFERROR(INDEX(tblCollectors[Collector Name],265)&amp;"","")</f>
        <v/>
      </c>
      <c r="V270">
        <f>IFERROR(INDEX(tblCustomers[Customer ID],267)&amp;"","")</f>
        <v/>
      </c>
    </row>
    <row r="271">
      <c r="O271">
        <f>IFERROR(INDEX(tblAreas[Area Code],268)&amp;"","")</f>
        <v/>
      </c>
      <c r="P271">
        <f>IFERROR(INDEX(tblAreas[Area Name],267)&amp;"","")</f>
        <v/>
      </c>
      <c r="Q271">
        <f>IFERROR(INDEX(tblLocations[Location Code],268)&amp;"","")</f>
        <v/>
      </c>
      <c r="R271">
        <f>IFERROR(INDEX(tblLocations[Location Code],267)&amp;"","")</f>
        <v/>
      </c>
      <c r="S271">
        <f>IFERROR(INDEX(tblPackages[Package Name],268)&amp;"","")</f>
        <v/>
      </c>
      <c r="T271">
        <f>IFERROR(INDEX(tblCollectors[Collector ID],268)&amp;"","")</f>
        <v/>
      </c>
      <c r="U271">
        <f>IFERROR(INDEX(tblCollectors[Collector Name],266)&amp;"","")</f>
        <v/>
      </c>
      <c r="V271">
        <f>IFERROR(INDEX(tblCustomers[Customer ID],268)&amp;"","")</f>
        <v/>
      </c>
    </row>
    <row r="272">
      <c r="O272">
        <f>IFERROR(INDEX(tblAreas[Area Code],269)&amp;"","")</f>
        <v/>
      </c>
      <c r="P272">
        <f>IFERROR(INDEX(tblAreas[Area Name],268)&amp;"","")</f>
        <v/>
      </c>
      <c r="Q272">
        <f>IFERROR(INDEX(tblLocations[Location Code],269)&amp;"","")</f>
        <v/>
      </c>
      <c r="R272">
        <f>IFERROR(INDEX(tblLocations[Location Code],268)&amp;"","")</f>
        <v/>
      </c>
      <c r="S272">
        <f>IFERROR(INDEX(tblPackages[Package Name],269)&amp;"","")</f>
        <v/>
      </c>
      <c r="T272">
        <f>IFERROR(INDEX(tblCollectors[Collector ID],269)&amp;"","")</f>
        <v/>
      </c>
      <c r="U272">
        <f>IFERROR(INDEX(tblCollectors[Collector Name],267)&amp;"","")</f>
        <v/>
      </c>
      <c r="V272">
        <f>IFERROR(INDEX(tblCustomers[Customer ID],269)&amp;"","")</f>
        <v/>
      </c>
    </row>
    <row r="273">
      <c r="O273">
        <f>IFERROR(INDEX(tblAreas[Area Code],270)&amp;"","")</f>
        <v/>
      </c>
      <c r="P273">
        <f>IFERROR(INDEX(tblAreas[Area Name],269)&amp;"","")</f>
        <v/>
      </c>
      <c r="Q273">
        <f>IFERROR(INDEX(tblLocations[Location Code],270)&amp;"","")</f>
        <v/>
      </c>
      <c r="R273">
        <f>IFERROR(INDEX(tblLocations[Location Code],269)&amp;"","")</f>
        <v/>
      </c>
      <c r="S273">
        <f>IFERROR(INDEX(tblPackages[Package Name],270)&amp;"","")</f>
        <v/>
      </c>
      <c r="T273">
        <f>IFERROR(INDEX(tblCollectors[Collector ID],270)&amp;"","")</f>
        <v/>
      </c>
      <c r="U273">
        <f>IFERROR(INDEX(tblCollectors[Collector Name],268)&amp;"","")</f>
        <v/>
      </c>
      <c r="V273">
        <f>IFERROR(INDEX(tblCustomers[Customer ID],270)&amp;"","")</f>
        <v/>
      </c>
    </row>
    <row r="274">
      <c r="O274">
        <f>IFERROR(INDEX(tblAreas[Area Code],271)&amp;"","")</f>
        <v/>
      </c>
      <c r="P274">
        <f>IFERROR(INDEX(tblAreas[Area Name],270)&amp;"","")</f>
        <v/>
      </c>
      <c r="Q274">
        <f>IFERROR(INDEX(tblLocations[Location Code],271)&amp;"","")</f>
        <v/>
      </c>
      <c r="R274">
        <f>IFERROR(INDEX(tblLocations[Location Code],270)&amp;"","")</f>
        <v/>
      </c>
      <c r="S274">
        <f>IFERROR(INDEX(tblPackages[Package Name],271)&amp;"","")</f>
        <v/>
      </c>
      <c r="T274">
        <f>IFERROR(INDEX(tblCollectors[Collector ID],271)&amp;"","")</f>
        <v/>
      </c>
      <c r="U274">
        <f>IFERROR(INDEX(tblCollectors[Collector Name],269)&amp;"","")</f>
        <v/>
      </c>
      <c r="V274">
        <f>IFERROR(INDEX(tblCustomers[Customer ID],271)&amp;"","")</f>
        <v/>
      </c>
    </row>
    <row r="275">
      <c r="O275">
        <f>IFERROR(INDEX(tblAreas[Area Code],272)&amp;"","")</f>
        <v/>
      </c>
      <c r="P275">
        <f>IFERROR(INDEX(tblAreas[Area Name],271)&amp;"","")</f>
        <v/>
      </c>
      <c r="Q275">
        <f>IFERROR(INDEX(tblLocations[Location Code],272)&amp;"","")</f>
        <v/>
      </c>
      <c r="R275">
        <f>IFERROR(INDEX(tblLocations[Location Code],271)&amp;"","")</f>
        <v/>
      </c>
      <c r="S275">
        <f>IFERROR(INDEX(tblPackages[Package Name],272)&amp;"","")</f>
        <v/>
      </c>
      <c r="T275">
        <f>IFERROR(INDEX(tblCollectors[Collector ID],272)&amp;"","")</f>
        <v/>
      </c>
      <c r="U275">
        <f>IFERROR(INDEX(tblCollectors[Collector Name],270)&amp;"","")</f>
        <v/>
      </c>
      <c r="V275">
        <f>IFERROR(INDEX(tblCustomers[Customer ID],272)&amp;"","")</f>
        <v/>
      </c>
    </row>
    <row r="276">
      <c r="O276">
        <f>IFERROR(INDEX(tblAreas[Area Code],273)&amp;"","")</f>
        <v/>
      </c>
      <c r="P276">
        <f>IFERROR(INDEX(tblAreas[Area Name],272)&amp;"","")</f>
        <v/>
      </c>
      <c r="Q276">
        <f>IFERROR(INDEX(tblLocations[Location Code],273)&amp;"","")</f>
        <v/>
      </c>
      <c r="R276">
        <f>IFERROR(INDEX(tblLocations[Location Code],272)&amp;"","")</f>
        <v/>
      </c>
      <c r="S276">
        <f>IFERROR(INDEX(tblPackages[Package Name],273)&amp;"","")</f>
        <v/>
      </c>
      <c r="T276">
        <f>IFERROR(INDEX(tblCollectors[Collector ID],273)&amp;"","")</f>
        <v/>
      </c>
      <c r="U276">
        <f>IFERROR(INDEX(tblCollectors[Collector Name],271)&amp;"","")</f>
        <v/>
      </c>
      <c r="V276">
        <f>IFERROR(INDEX(tblCustomers[Customer ID],273)&amp;"","")</f>
        <v/>
      </c>
    </row>
    <row r="277">
      <c r="O277">
        <f>IFERROR(INDEX(tblAreas[Area Code],274)&amp;"","")</f>
        <v/>
      </c>
      <c r="P277">
        <f>IFERROR(INDEX(tblAreas[Area Name],273)&amp;"","")</f>
        <v/>
      </c>
      <c r="Q277">
        <f>IFERROR(INDEX(tblLocations[Location Code],274)&amp;"","")</f>
        <v/>
      </c>
      <c r="R277">
        <f>IFERROR(INDEX(tblLocations[Location Code],273)&amp;"","")</f>
        <v/>
      </c>
      <c r="S277">
        <f>IFERROR(INDEX(tblPackages[Package Name],274)&amp;"","")</f>
        <v/>
      </c>
      <c r="T277">
        <f>IFERROR(INDEX(tblCollectors[Collector ID],274)&amp;"","")</f>
        <v/>
      </c>
      <c r="U277">
        <f>IFERROR(INDEX(tblCollectors[Collector Name],272)&amp;"","")</f>
        <v/>
      </c>
      <c r="V277">
        <f>IFERROR(INDEX(tblCustomers[Customer ID],274)&amp;"","")</f>
        <v/>
      </c>
    </row>
    <row r="278">
      <c r="O278">
        <f>IFERROR(INDEX(tblAreas[Area Code],275)&amp;"","")</f>
        <v/>
      </c>
      <c r="P278">
        <f>IFERROR(INDEX(tblAreas[Area Name],274)&amp;"","")</f>
        <v/>
      </c>
      <c r="Q278">
        <f>IFERROR(INDEX(tblLocations[Location Code],275)&amp;"","")</f>
        <v/>
      </c>
      <c r="R278">
        <f>IFERROR(INDEX(tblLocations[Location Code],274)&amp;"","")</f>
        <v/>
      </c>
      <c r="S278">
        <f>IFERROR(INDEX(tblPackages[Package Name],275)&amp;"","")</f>
        <v/>
      </c>
      <c r="T278">
        <f>IFERROR(INDEX(tblCollectors[Collector ID],275)&amp;"","")</f>
        <v/>
      </c>
      <c r="U278">
        <f>IFERROR(INDEX(tblCollectors[Collector Name],273)&amp;"","")</f>
        <v/>
      </c>
      <c r="V278">
        <f>IFERROR(INDEX(tblCustomers[Customer ID],275)&amp;"","")</f>
        <v/>
      </c>
    </row>
    <row r="279">
      <c r="O279">
        <f>IFERROR(INDEX(tblAreas[Area Code],276)&amp;"","")</f>
        <v/>
      </c>
      <c r="P279">
        <f>IFERROR(INDEX(tblAreas[Area Name],275)&amp;"","")</f>
        <v/>
      </c>
      <c r="Q279">
        <f>IFERROR(INDEX(tblLocations[Location Code],276)&amp;"","")</f>
        <v/>
      </c>
      <c r="R279">
        <f>IFERROR(INDEX(tblLocations[Location Code],275)&amp;"","")</f>
        <v/>
      </c>
      <c r="S279">
        <f>IFERROR(INDEX(tblPackages[Package Name],276)&amp;"","")</f>
        <v/>
      </c>
      <c r="T279">
        <f>IFERROR(INDEX(tblCollectors[Collector ID],276)&amp;"","")</f>
        <v/>
      </c>
      <c r="U279">
        <f>IFERROR(INDEX(tblCollectors[Collector Name],274)&amp;"","")</f>
        <v/>
      </c>
      <c r="V279">
        <f>IFERROR(INDEX(tblCustomers[Customer ID],276)&amp;"","")</f>
        <v/>
      </c>
    </row>
    <row r="280">
      <c r="O280">
        <f>IFERROR(INDEX(tblAreas[Area Code],277)&amp;"","")</f>
        <v/>
      </c>
      <c r="P280">
        <f>IFERROR(INDEX(tblAreas[Area Name],276)&amp;"","")</f>
        <v/>
      </c>
      <c r="Q280">
        <f>IFERROR(INDEX(tblLocations[Location Code],277)&amp;"","")</f>
        <v/>
      </c>
      <c r="R280">
        <f>IFERROR(INDEX(tblLocations[Location Code],276)&amp;"","")</f>
        <v/>
      </c>
      <c r="S280">
        <f>IFERROR(INDEX(tblPackages[Package Name],277)&amp;"","")</f>
        <v/>
      </c>
      <c r="T280">
        <f>IFERROR(INDEX(tblCollectors[Collector ID],277)&amp;"","")</f>
        <v/>
      </c>
      <c r="U280">
        <f>IFERROR(INDEX(tblCollectors[Collector Name],275)&amp;"","")</f>
        <v/>
      </c>
      <c r="V280">
        <f>IFERROR(INDEX(tblCustomers[Customer ID],277)&amp;"","")</f>
        <v/>
      </c>
    </row>
    <row r="281">
      <c r="O281">
        <f>IFERROR(INDEX(tblAreas[Area Code],278)&amp;"","")</f>
        <v/>
      </c>
      <c r="P281">
        <f>IFERROR(INDEX(tblAreas[Area Name],277)&amp;"","")</f>
        <v/>
      </c>
      <c r="Q281">
        <f>IFERROR(INDEX(tblLocations[Location Code],278)&amp;"","")</f>
        <v/>
      </c>
      <c r="R281">
        <f>IFERROR(INDEX(tblLocations[Location Code],277)&amp;"","")</f>
        <v/>
      </c>
      <c r="S281">
        <f>IFERROR(INDEX(tblPackages[Package Name],278)&amp;"","")</f>
        <v/>
      </c>
      <c r="T281">
        <f>IFERROR(INDEX(tblCollectors[Collector ID],278)&amp;"","")</f>
        <v/>
      </c>
      <c r="U281">
        <f>IFERROR(INDEX(tblCollectors[Collector Name],276)&amp;"","")</f>
        <v/>
      </c>
      <c r="V281">
        <f>IFERROR(INDEX(tblCustomers[Customer ID],278)&amp;"","")</f>
        <v/>
      </c>
    </row>
    <row r="282">
      <c r="O282">
        <f>IFERROR(INDEX(tblAreas[Area Code],279)&amp;"","")</f>
        <v/>
      </c>
      <c r="P282">
        <f>IFERROR(INDEX(tblAreas[Area Name],278)&amp;"","")</f>
        <v/>
      </c>
      <c r="Q282">
        <f>IFERROR(INDEX(tblLocations[Location Code],279)&amp;"","")</f>
        <v/>
      </c>
      <c r="R282">
        <f>IFERROR(INDEX(tblLocations[Location Code],278)&amp;"","")</f>
        <v/>
      </c>
      <c r="S282">
        <f>IFERROR(INDEX(tblPackages[Package Name],279)&amp;"","")</f>
        <v/>
      </c>
      <c r="T282">
        <f>IFERROR(INDEX(tblCollectors[Collector ID],279)&amp;"","")</f>
        <v/>
      </c>
      <c r="U282">
        <f>IFERROR(INDEX(tblCollectors[Collector Name],277)&amp;"","")</f>
        <v/>
      </c>
      <c r="V282">
        <f>IFERROR(INDEX(tblCustomers[Customer ID],279)&amp;"","")</f>
        <v/>
      </c>
    </row>
    <row r="283">
      <c r="O283">
        <f>IFERROR(INDEX(tblAreas[Area Code],280)&amp;"","")</f>
        <v/>
      </c>
      <c r="P283">
        <f>IFERROR(INDEX(tblAreas[Area Name],279)&amp;"","")</f>
        <v/>
      </c>
      <c r="Q283">
        <f>IFERROR(INDEX(tblLocations[Location Code],280)&amp;"","")</f>
        <v/>
      </c>
      <c r="R283">
        <f>IFERROR(INDEX(tblLocations[Location Code],279)&amp;"","")</f>
        <v/>
      </c>
      <c r="S283">
        <f>IFERROR(INDEX(tblPackages[Package Name],280)&amp;"","")</f>
        <v/>
      </c>
      <c r="T283">
        <f>IFERROR(INDEX(tblCollectors[Collector ID],280)&amp;"","")</f>
        <v/>
      </c>
      <c r="U283">
        <f>IFERROR(INDEX(tblCollectors[Collector Name],278)&amp;"","")</f>
        <v/>
      </c>
      <c r="V283">
        <f>IFERROR(INDEX(tblCustomers[Customer ID],280)&amp;"","")</f>
        <v/>
      </c>
    </row>
    <row r="284">
      <c r="O284">
        <f>IFERROR(INDEX(tblAreas[Area Code],281)&amp;"","")</f>
        <v/>
      </c>
      <c r="P284">
        <f>IFERROR(INDEX(tblAreas[Area Name],280)&amp;"","")</f>
        <v/>
      </c>
      <c r="Q284">
        <f>IFERROR(INDEX(tblLocations[Location Code],281)&amp;"","")</f>
        <v/>
      </c>
      <c r="R284">
        <f>IFERROR(INDEX(tblLocations[Location Code],280)&amp;"","")</f>
        <v/>
      </c>
      <c r="S284">
        <f>IFERROR(INDEX(tblPackages[Package Name],281)&amp;"","")</f>
        <v/>
      </c>
      <c r="T284">
        <f>IFERROR(INDEX(tblCollectors[Collector ID],281)&amp;"","")</f>
        <v/>
      </c>
      <c r="U284">
        <f>IFERROR(INDEX(tblCollectors[Collector Name],279)&amp;"","")</f>
        <v/>
      </c>
      <c r="V284">
        <f>IFERROR(INDEX(tblCustomers[Customer ID],281)&amp;"","")</f>
        <v/>
      </c>
    </row>
    <row r="285">
      <c r="O285">
        <f>IFERROR(INDEX(tblAreas[Area Code],282)&amp;"","")</f>
        <v/>
      </c>
      <c r="P285">
        <f>IFERROR(INDEX(tblAreas[Area Name],281)&amp;"","")</f>
        <v/>
      </c>
      <c r="Q285">
        <f>IFERROR(INDEX(tblLocations[Location Code],282)&amp;"","")</f>
        <v/>
      </c>
      <c r="R285">
        <f>IFERROR(INDEX(tblLocations[Location Code],281)&amp;"","")</f>
        <v/>
      </c>
      <c r="S285">
        <f>IFERROR(INDEX(tblPackages[Package Name],282)&amp;"","")</f>
        <v/>
      </c>
      <c r="T285">
        <f>IFERROR(INDEX(tblCollectors[Collector ID],282)&amp;"","")</f>
        <v/>
      </c>
      <c r="U285">
        <f>IFERROR(INDEX(tblCollectors[Collector Name],280)&amp;"","")</f>
        <v/>
      </c>
      <c r="V285">
        <f>IFERROR(INDEX(tblCustomers[Customer ID],282)&amp;"","")</f>
        <v/>
      </c>
    </row>
    <row r="286">
      <c r="O286">
        <f>IFERROR(INDEX(tblAreas[Area Code],283)&amp;"","")</f>
        <v/>
      </c>
      <c r="P286">
        <f>IFERROR(INDEX(tblAreas[Area Name],282)&amp;"","")</f>
        <v/>
      </c>
      <c r="Q286">
        <f>IFERROR(INDEX(tblLocations[Location Code],283)&amp;"","")</f>
        <v/>
      </c>
      <c r="R286">
        <f>IFERROR(INDEX(tblLocations[Location Code],282)&amp;"","")</f>
        <v/>
      </c>
      <c r="S286">
        <f>IFERROR(INDEX(tblPackages[Package Name],283)&amp;"","")</f>
        <v/>
      </c>
      <c r="T286">
        <f>IFERROR(INDEX(tblCollectors[Collector ID],283)&amp;"","")</f>
        <v/>
      </c>
      <c r="U286">
        <f>IFERROR(INDEX(tblCollectors[Collector Name],281)&amp;"","")</f>
        <v/>
      </c>
      <c r="V286">
        <f>IFERROR(INDEX(tblCustomers[Customer ID],283)&amp;"","")</f>
        <v/>
      </c>
    </row>
    <row r="287">
      <c r="O287">
        <f>IFERROR(INDEX(tblAreas[Area Code],284)&amp;"","")</f>
        <v/>
      </c>
      <c r="P287">
        <f>IFERROR(INDEX(tblAreas[Area Name],283)&amp;"","")</f>
        <v/>
      </c>
      <c r="Q287">
        <f>IFERROR(INDEX(tblLocations[Location Code],284)&amp;"","")</f>
        <v/>
      </c>
      <c r="R287">
        <f>IFERROR(INDEX(tblLocations[Location Code],283)&amp;"","")</f>
        <v/>
      </c>
      <c r="S287">
        <f>IFERROR(INDEX(tblPackages[Package Name],284)&amp;"","")</f>
        <v/>
      </c>
      <c r="T287">
        <f>IFERROR(INDEX(tblCollectors[Collector ID],284)&amp;"","")</f>
        <v/>
      </c>
      <c r="U287">
        <f>IFERROR(INDEX(tblCollectors[Collector Name],282)&amp;"","")</f>
        <v/>
      </c>
      <c r="V287">
        <f>IFERROR(INDEX(tblCustomers[Customer ID],284)&amp;"","")</f>
        <v/>
      </c>
    </row>
    <row r="288">
      <c r="O288">
        <f>IFERROR(INDEX(tblAreas[Area Code],285)&amp;"","")</f>
        <v/>
      </c>
      <c r="P288">
        <f>IFERROR(INDEX(tblAreas[Area Name],284)&amp;"","")</f>
        <v/>
      </c>
      <c r="Q288">
        <f>IFERROR(INDEX(tblLocations[Location Code],285)&amp;"","")</f>
        <v/>
      </c>
      <c r="R288">
        <f>IFERROR(INDEX(tblLocations[Location Code],284)&amp;"","")</f>
        <v/>
      </c>
      <c r="S288">
        <f>IFERROR(INDEX(tblPackages[Package Name],285)&amp;"","")</f>
        <v/>
      </c>
      <c r="T288">
        <f>IFERROR(INDEX(tblCollectors[Collector ID],285)&amp;"","")</f>
        <v/>
      </c>
      <c r="U288">
        <f>IFERROR(INDEX(tblCollectors[Collector Name],283)&amp;"","")</f>
        <v/>
      </c>
      <c r="V288">
        <f>IFERROR(INDEX(tblCustomers[Customer ID],285)&amp;"","")</f>
        <v/>
      </c>
    </row>
    <row r="289">
      <c r="O289">
        <f>IFERROR(INDEX(tblAreas[Area Code],286)&amp;"","")</f>
        <v/>
      </c>
      <c r="P289">
        <f>IFERROR(INDEX(tblAreas[Area Name],285)&amp;"","")</f>
        <v/>
      </c>
      <c r="Q289">
        <f>IFERROR(INDEX(tblLocations[Location Code],286)&amp;"","")</f>
        <v/>
      </c>
      <c r="R289">
        <f>IFERROR(INDEX(tblLocations[Location Code],285)&amp;"","")</f>
        <v/>
      </c>
      <c r="S289">
        <f>IFERROR(INDEX(tblPackages[Package Name],286)&amp;"","")</f>
        <v/>
      </c>
      <c r="T289">
        <f>IFERROR(INDEX(tblCollectors[Collector ID],286)&amp;"","")</f>
        <v/>
      </c>
      <c r="U289">
        <f>IFERROR(INDEX(tblCollectors[Collector Name],284)&amp;"","")</f>
        <v/>
      </c>
      <c r="V289">
        <f>IFERROR(INDEX(tblCustomers[Customer ID],286)&amp;"","")</f>
        <v/>
      </c>
    </row>
    <row r="290">
      <c r="O290">
        <f>IFERROR(INDEX(tblAreas[Area Code],287)&amp;"","")</f>
        <v/>
      </c>
      <c r="P290">
        <f>IFERROR(INDEX(tblAreas[Area Name],286)&amp;"","")</f>
        <v/>
      </c>
      <c r="Q290">
        <f>IFERROR(INDEX(tblLocations[Location Code],287)&amp;"","")</f>
        <v/>
      </c>
      <c r="R290">
        <f>IFERROR(INDEX(tblLocations[Location Code],286)&amp;"","")</f>
        <v/>
      </c>
      <c r="S290">
        <f>IFERROR(INDEX(tblPackages[Package Name],287)&amp;"","")</f>
        <v/>
      </c>
      <c r="T290">
        <f>IFERROR(INDEX(tblCollectors[Collector ID],287)&amp;"","")</f>
        <v/>
      </c>
      <c r="U290">
        <f>IFERROR(INDEX(tblCollectors[Collector Name],285)&amp;"","")</f>
        <v/>
      </c>
      <c r="V290">
        <f>IFERROR(INDEX(tblCustomers[Customer ID],287)&amp;"","")</f>
        <v/>
      </c>
    </row>
    <row r="291">
      <c r="O291">
        <f>IFERROR(INDEX(tblAreas[Area Code],288)&amp;"","")</f>
        <v/>
      </c>
      <c r="P291">
        <f>IFERROR(INDEX(tblAreas[Area Name],287)&amp;"","")</f>
        <v/>
      </c>
      <c r="Q291">
        <f>IFERROR(INDEX(tblLocations[Location Code],288)&amp;"","")</f>
        <v/>
      </c>
      <c r="R291">
        <f>IFERROR(INDEX(tblLocations[Location Code],287)&amp;"","")</f>
        <v/>
      </c>
      <c r="S291">
        <f>IFERROR(INDEX(tblPackages[Package Name],288)&amp;"","")</f>
        <v/>
      </c>
      <c r="T291">
        <f>IFERROR(INDEX(tblCollectors[Collector ID],288)&amp;"","")</f>
        <v/>
      </c>
      <c r="U291">
        <f>IFERROR(INDEX(tblCollectors[Collector Name],286)&amp;"","")</f>
        <v/>
      </c>
      <c r="V291">
        <f>IFERROR(INDEX(tblCustomers[Customer ID],288)&amp;"","")</f>
        <v/>
      </c>
    </row>
    <row r="292">
      <c r="O292">
        <f>IFERROR(INDEX(tblAreas[Area Code],289)&amp;"","")</f>
        <v/>
      </c>
      <c r="P292">
        <f>IFERROR(INDEX(tblAreas[Area Name],288)&amp;"","")</f>
        <v/>
      </c>
      <c r="Q292">
        <f>IFERROR(INDEX(tblLocations[Location Code],289)&amp;"","")</f>
        <v/>
      </c>
      <c r="R292">
        <f>IFERROR(INDEX(tblLocations[Location Code],288)&amp;"","")</f>
        <v/>
      </c>
      <c r="S292">
        <f>IFERROR(INDEX(tblPackages[Package Name],289)&amp;"","")</f>
        <v/>
      </c>
      <c r="T292">
        <f>IFERROR(INDEX(tblCollectors[Collector ID],289)&amp;"","")</f>
        <v/>
      </c>
      <c r="U292">
        <f>IFERROR(INDEX(tblCollectors[Collector Name],287)&amp;"","")</f>
        <v/>
      </c>
      <c r="V292">
        <f>IFERROR(INDEX(tblCustomers[Customer ID],289)&amp;"","")</f>
        <v/>
      </c>
    </row>
    <row r="293">
      <c r="O293">
        <f>IFERROR(INDEX(tblAreas[Area Code],290)&amp;"","")</f>
        <v/>
      </c>
      <c r="P293">
        <f>IFERROR(INDEX(tblAreas[Area Name],289)&amp;"","")</f>
        <v/>
      </c>
      <c r="Q293">
        <f>IFERROR(INDEX(tblLocations[Location Code],290)&amp;"","")</f>
        <v/>
      </c>
      <c r="R293">
        <f>IFERROR(INDEX(tblLocations[Location Code],289)&amp;"","")</f>
        <v/>
      </c>
      <c r="S293">
        <f>IFERROR(INDEX(tblPackages[Package Name],290)&amp;"","")</f>
        <v/>
      </c>
      <c r="T293">
        <f>IFERROR(INDEX(tblCollectors[Collector ID],290)&amp;"","")</f>
        <v/>
      </c>
      <c r="U293">
        <f>IFERROR(INDEX(tblCollectors[Collector Name],288)&amp;"","")</f>
        <v/>
      </c>
      <c r="V293">
        <f>IFERROR(INDEX(tblCustomers[Customer ID],290)&amp;"","")</f>
        <v/>
      </c>
    </row>
    <row r="294">
      <c r="O294">
        <f>IFERROR(INDEX(tblAreas[Area Code],291)&amp;"","")</f>
        <v/>
      </c>
      <c r="P294">
        <f>IFERROR(INDEX(tblAreas[Area Name],290)&amp;"","")</f>
        <v/>
      </c>
      <c r="Q294">
        <f>IFERROR(INDEX(tblLocations[Location Code],291)&amp;"","")</f>
        <v/>
      </c>
      <c r="R294">
        <f>IFERROR(INDEX(tblLocations[Location Code],290)&amp;"","")</f>
        <v/>
      </c>
      <c r="S294">
        <f>IFERROR(INDEX(tblPackages[Package Name],291)&amp;"","")</f>
        <v/>
      </c>
      <c r="T294">
        <f>IFERROR(INDEX(tblCollectors[Collector ID],291)&amp;"","")</f>
        <v/>
      </c>
      <c r="U294">
        <f>IFERROR(INDEX(tblCollectors[Collector Name],289)&amp;"","")</f>
        <v/>
      </c>
      <c r="V294">
        <f>IFERROR(INDEX(tblCustomers[Customer ID],291)&amp;"","")</f>
        <v/>
      </c>
    </row>
    <row r="295">
      <c r="O295">
        <f>IFERROR(INDEX(tblAreas[Area Code],292)&amp;"","")</f>
        <v/>
      </c>
      <c r="P295">
        <f>IFERROR(INDEX(tblAreas[Area Name],291)&amp;"","")</f>
        <v/>
      </c>
      <c r="Q295">
        <f>IFERROR(INDEX(tblLocations[Location Code],292)&amp;"","")</f>
        <v/>
      </c>
      <c r="R295">
        <f>IFERROR(INDEX(tblLocations[Location Code],291)&amp;"","")</f>
        <v/>
      </c>
      <c r="S295">
        <f>IFERROR(INDEX(tblPackages[Package Name],292)&amp;"","")</f>
        <v/>
      </c>
      <c r="T295">
        <f>IFERROR(INDEX(tblCollectors[Collector ID],292)&amp;"","")</f>
        <v/>
      </c>
      <c r="U295">
        <f>IFERROR(INDEX(tblCollectors[Collector Name],290)&amp;"","")</f>
        <v/>
      </c>
      <c r="V295">
        <f>IFERROR(INDEX(tblCustomers[Customer ID],292)&amp;"","")</f>
        <v/>
      </c>
    </row>
    <row r="296">
      <c r="O296">
        <f>IFERROR(INDEX(tblAreas[Area Code],293)&amp;"","")</f>
        <v/>
      </c>
      <c r="P296">
        <f>IFERROR(INDEX(tblAreas[Area Name],292)&amp;"","")</f>
        <v/>
      </c>
      <c r="Q296">
        <f>IFERROR(INDEX(tblLocations[Location Code],293)&amp;"","")</f>
        <v/>
      </c>
      <c r="R296">
        <f>IFERROR(INDEX(tblLocations[Location Code],292)&amp;"","")</f>
        <v/>
      </c>
      <c r="S296">
        <f>IFERROR(INDEX(tblPackages[Package Name],293)&amp;"","")</f>
        <v/>
      </c>
      <c r="T296">
        <f>IFERROR(INDEX(tblCollectors[Collector ID],293)&amp;"","")</f>
        <v/>
      </c>
      <c r="U296">
        <f>IFERROR(INDEX(tblCollectors[Collector Name],291)&amp;"","")</f>
        <v/>
      </c>
      <c r="V296">
        <f>IFERROR(INDEX(tblCustomers[Customer ID],293)&amp;"","")</f>
        <v/>
      </c>
    </row>
    <row r="297">
      <c r="O297">
        <f>IFERROR(INDEX(tblAreas[Area Code],294)&amp;"","")</f>
        <v/>
      </c>
      <c r="P297">
        <f>IFERROR(INDEX(tblAreas[Area Name],293)&amp;"","")</f>
        <v/>
      </c>
      <c r="Q297">
        <f>IFERROR(INDEX(tblLocations[Location Code],294)&amp;"","")</f>
        <v/>
      </c>
      <c r="R297">
        <f>IFERROR(INDEX(tblLocations[Location Code],293)&amp;"","")</f>
        <v/>
      </c>
      <c r="S297">
        <f>IFERROR(INDEX(tblPackages[Package Name],294)&amp;"","")</f>
        <v/>
      </c>
      <c r="T297">
        <f>IFERROR(INDEX(tblCollectors[Collector ID],294)&amp;"","")</f>
        <v/>
      </c>
      <c r="U297">
        <f>IFERROR(INDEX(tblCollectors[Collector Name],292)&amp;"","")</f>
        <v/>
      </c>
      <c r="V297">
        <f>IFERROR(INDEX(tblCustomers[Customer ID],294)&amp;"","")</f>
        <v/>
      </c>
    </row>
    <row r="298">
      <c r="O298">
        <f>IFERROR(INDEX(tblAreas[Area Code],295)&amp;"","")</f>
        <v/>
      </c>
      <c r="P298">
        <f>IFERROR(INDEX(tblAreas[Area Name],294)&amp;"","")</f>
        <v/>
      </c>
      <c r="Q298">
        <f>IFERROR(INDEX(tblLocations[Location Code],295)&amp;"","")</f>
        <v/>
      </c>
      <c r="R298">
        <f>IFERROR(INDEX(tblLocations[Location Code],294)&amp;"","")</f>
        <v/>
      </c>
      <c r="S298">
        <f>IFERROR(INDEX(tblPackages[Package Name],295)&amp;"","")</f>
        <v/>
      </c>
      <c r="T298">
        <f>IFERROR(INDEX(tblCollectors[Collector ID],295)&amp;"","")</f>
        <v/>
      </c>
      <c r="U298">
        <f>IFERROR(INDEX(tblCollectors[Collector Name],293)&amp;"","")</f>
        <v/>
      </c>
      <c r="V298">
        <f>IFERROR(INDEX(tblCustomers[Customer ID],295)&amp;"","")</f>
        <v/>
      </c>
    </row>
    <row r="299">
      <c r="O299">
        <f>IFERROR(INDEX(tblAreas[Area Code],296)&amp;"","")</f>
        <v/>
      </c>
      <c r="P299">
        <f>IFERROR(INDEX(tblAreas[Area Name],295)&amp;"","")</f>
        <v/>
      </c>
      <c r="Q299">
        <f>IFERROR(INDEX(tblLocations[Location Code],296)&amp;"","")</f>
        <v/>
      </c>
      <c r="R299">
        <f>IFERROR(INDEX(tblLocations[Location Code],295)&amp;"","")</f>
        <v/>
      </c>
      <c r="S299">
        <f>IFERROR(INDEX(tblPackages[Package Name],296)&amp;"","")</f>
        <v/>
      </c>
      <c r="T299">
        <f>IFERROR(INDEX(tblCollectors[Collector ID],296)&amp;"","")</f>
        <v/>
      </c>
      <c r="U299">
        <f>IFERROR(INDEX(tblCollectors[Collector Name],294)&amp;"","")</f>
        <v/>
      </c>
      <c r="V299">
        <f>IFERROR(INDEX(tblCustomers[Customer ID],296)&amp;"","")</f>
        <v/>
      </c>
    </row>
    <row r="300">
      <c r="O300">
        <f>IFERROR(INDEX(tblAreas[Area Code],297)&amp;"","")</f>
        <v/>
      </c>
      <c r="P300">
        <f>IFERROR(INDEX(tblAreas[Area Name],296)&amp;"","")</f>
        <v/>
      </c>
      <c r="Q300">
        <f>IFERROR(INDEX(tblLocations[Location Code],297)&amp;"","")</f>
        <v/>
      </c>
      <c r="R300">
        <f>IFERROR(INDEX(tblLocations[Location Code],296)&amp;"","")</f>
        <v/>
      </c>
      <c r="S300">
        <f>IFERROR(INDEX(tblPackages[Package Name],297)&amp;"","")</f>
        <v/>
      </c>
      <c r="T300">
        <f>IFERROR(INDEX(tblCollectors[Collector ID],297)&amp;"","")</f>
        <v/>
      </c>
      <c r="U300">
        <f>IFERROR(INDEX(tblCollectors[Collector Name],295)&amp;"","")</f>
        <v/>
      </c>
      <c r="V300">
        <f>IFERROR(INDEX(tblCustomers[Customer ID],297)&amp;"","")</f>
        <v/>
      </c>
    </row>
    <row r="301">
      <c r="O301">
        <f>IFERROR(INDEX(tblAreas[Area Code],298)&amp;"","")</f>
        <v/>
      </c>
      <c r="P301">
        <f>IFERROR(INDEX(tblAreas[Area Name],297)&amp;"","")</f>
        <v/>
      </c>
      <c r="Q301">
        <f>IFERROR(INDEX(tblLocations[Location Code],298)&amp;"","")</f>
        <v/>
      </c>
      <c r="R301">
        <f>IFERROR(INDEX(tblLocations[Location Code],297)&amp;"","")</f>
        <v/>
      </c>
      <c r="S301">
        <f>IFERROR(INDEX(tblPackages[Package Name],298)&amp;"","")</f>
        <v/>
      </c>
      <c r="T301">
        <f>IFERROR(INDEX(tblCollectors[Collector ID],298)&amp;"","")</f>
        <v/>
      </c>
      <c r="U301">
        <f>IFERROR(INDEX(tblCollectors[Collector Name],296)&amp;"","")</f>
        <v/>
      </c>
      <c r="V301">
        <f>IFERROR(INDEX(tblCustomers[Customer ID],298)&amp;"","")</f>
        <v/>
      </c>
    </row>
    <row r="302">
      <c r="O302">
        <f>IFERROR(INDEX(tblAreas[Area Code],299)&amp;"","")</f>
        <v/>
      </c>
      <c r="P302">
        <f>IFERROR(INDEX(tblAreas[Area Name],298)&amp;"","")</f>
        <v/>
      </c>
      <c r="Q302">
        <f>IFERROR(INDEX(tblLocations[Location Code],299)&amp;"","")</f>
        <v/>
      </c>
      <c r="R302">
        <f>IFERROR(INDEX(tblLocations[Location Code],298)&amp;"","")</f>
        <v/>
      </c>
      <c r="S302">
        <f>IFERROR(INDEX(tblPackages[Package Name],299)&amp;"","")</f>
        <v/>
      </c>
      <c r="T302">
        <f>IFERROR(INDEX(tblCollectors[Collector ID],299)&amp;"","")</f>
        <v/>
      </c>
      <c r="U302">
        <f>IFERROR(INDEX(tblCollectors[Collector Name],297)&amp;"","")</f>
        <v/>
      </c>
      <c r="V302">
        <f>IFERROR(INDEX(tblCustomers[Customer ID],299)&amp;"","")</f>
        <v/>
      </c>
    </row>
    <row r="303">
      <c r="O303">
        <f>IFERROR(INDEX(tblAreas[Area Code],300)&amp;"","")</f>
        <v/>
      </c>
      <c r="P303">
        <f>IFERROR(INDEX(tblAreas[Area Name],299)&amp;"","")</f>
        <v/>
      </c>
      <c r="Q303">
        <f>IFERROR(INDEX(tblLocations[Location Code],300)&amp;"","")</f>
        <v/>
      </c>
      <c r="R303">
        <f>IFERROR(INDEX(tblLocations[Location Code],299)&amp;"","")</f>
        <v/>
      </c>
      <c r="S303">
        <f>IFERROR(INDEX(tblPackages[Package Name],300)&amp;"","")</f>
        <v/>
      </c>
      <c r="T303">
        <f>IFERROR(INDEX(tblCollectors[Collector ID],300)&amp;"","")</f>
        <v/>
      </c>
      <c r="U303">
        <f>IFERROR(INDEX(tblCollectors[Collector Name],298)&amp;"","")</f>
        <v/>
      </c>
      <c r="V303">
        <f>IFERROR(INDEX(tblCustomers[Customer ID],300)&amp;"","")</f>
        <v/>
      </c>
    </row>
    <row r="304">
      <c r="P304">
        <f>IFERROR(INDEX(tblAreas[Area Name],300)&amp;"","")</f>
        <v/>
      </c>
      <c r="R304">
        <f>IFERROR(INDEX(tblLocations[Location Code],300)&amp;"","")</f>
        <v/>
      </c>
      <c r="U304">
        <f>IFERROR(INDEX(tblCollectors[Collector Name],299)&amp;"","")</f>
        <v/>
      </c>
    </row>
    <row r="305">
      <c r="U305">
        <f>IFERROR(INDEX(tblCollectors[Collector Name],300)&amp;"","")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Location Code</t>
        </is>
      </c>
      <c r="D1" t="inlineStr">
        <is>
          <t>Address Detail</t>
        </is>
      </c>
      <c r="E1" t="inlineStr">
        <is>
          <t>VLAN ID</t>
        </is>
      </c>
      <c r="F1" t="inlineStr">
        <is>
          <t>Package</t>
        </is>
      </c>
      <c r="G1" t="inlineStr">
        <is>
          <t>Fee Override</t>
        </is>
      </c>
      <c r="H1" t="inlineStr">
        <is>
          <t>Due Date</t>
        </is>
      </c>
      <c r="I1" t="inlineStr">
        <is>
          <t>Mobile Number</t>
        </is>
      </c>
      <c r="J1" t="inlineStr">
        <is>
          <t>Customer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2026-10-01T13:57:55Z</dcterms:created>
  <dcterms:modified xsi:type="dcterms:W3CDTF">2026-10-01T13:57:57Z</dcterms:modified>
</cp:coreProperties>
</file>